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av_Micheal\Pictures\"/>
    </mc:Choice>
  </mc:AlternateContent>
  <xr:revisionPtr revIDLastSave="0" documentId="13_ncr:41000001_{DF0C7C6C-5D91-7F44-B37D-A26A8CBE4B52}" xr6:coauthVersionLast="47" xr6:coauthVersionMax="47" xr10:uidLastSave="{00000000-0000-0000-0000-000000000000}"/>
  <bookViews>
    <workbookView xWindow="-108" yWindow="-108" windowWidth="23256" windowHeight="12576" activeTab="3" xr2:uid="{346724B3-1C49-40AE-AA36-C77CF5D6DD09}"/>
  </bookViews>
  <sheets>
    <sheet name="Data" sheetId="1" r:id="rId1"/>
    <sheet name="Questions &amp; KPIs" sheetId="2" r:id="rId2"/>
    <sheet name="Workings" sheetId="5" r:id="rId3"/>
    <sheet name="Dashboard" sheetId="6" r:id="rId4"/>
  </sheets>
  <definedNames>
    <definedName name="_xlchart.v5.0" hidden="1">Workings!$G$91:$H$91</definedName>
    <definedName name="_xlchart.v5.1" hidden="1">Workings!$G$92:$H$149</definedName>
    <definedName name="_xlchart.v5.2" hidden="1">Workings!$I$91</definedName>
    <definedName name="_xlchart.v5.3" hidden="1">Workings!$I$92:$I$149</definedName>
    <definedName name="_xlchart.v5.4" hidden="1">Workings!$K$91:$L$91</definedName>
    <definedName name="_xlchart.v5.5" hidden="1">Workings!$K$92:$L$149</definedName>
    <definedName name="_xlchart.v5.6" hidden="1">Workings!$M$91</definedName>
    <definedName name="_xlchart.v5.7" hidden="1">Workings!$M$92:$M$149</definedName>
    <definedName name="_xlchart.v5.8" hidden="1">Workings!$N$91</definedName>
    <definedName name="_xlchart.v5.9" hidden="1">Workings!$N$92:$N$149</definedName>
    <definedName name="_xlnm.Print_Area" localSheetId="3">Dashboard!$A$1:$AB$44</definedName>
    <definedName name="Slicer_Gender_Value">#N/A</definedName>
    <definedName name="Slicer_Order_Mode">#N/A</definedName>
  </definedNames>
  <calcPr calcId="191028"/>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3" i="5" l="1"/>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92"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L93" i="5"/>
  <c r="M93" i="5"/>
  <c r="L94" i="5"/>
  <c r="M94" i="5"/>
  <c r="L95" i="5"/>
  <c r="M95" i="5"/>
  <c r="L96" i="5"/>
  <c r="M96" i="5"/>
  <c r="L97" i="5"/>
  <c r="M97" i="5"/>
  <c r="L98" i="5"/>
  <c r="M98" i="5"/>
  <c r="L99" i="5"/>
  <c r="M99" i="5"/>
  <c r="L100" i="5"/>
  <c r="M100" i="5"/>
  <c r="L101" i="5"/>
  <c r="M101" i="5"/>
  <c r="L102" i="5"/>
  <c r="M102" i="5"/>
  <c r="L103" i="5"/>
  <c r="M103" i="5"/>
  <c r="L104" i="5"/>
  <c r="M104" i="5"/>
  <c r="L105" i="5"/>
  <c r="M105" i="5"/>
  <c r="L106" i="5"/>
  <c r="M106" i="5"/>
  <c r="L107" i="5"/>
  <c r="M107" i="5"/>
  <c r="L108" i="5"/>
  <c r="M108" i="5"/>
  <c r="L109" i="5"/>
  <c r="M109" i="5"/>
  <c r="L110" i="5"/>
  <c r="M110" i="5"/>
  <c r="L111" i="5"/>
  <c r="M111" i="5"/>
  <c r="L112" i="5"/>
  <c r="M112" i="5"/>
  <c r="L113" i="5"/>
  <c r="M113" i="5"/>
  <c r="L114" i="5"/>
  <c r="M114" i="5"/>
  <c r="L115" i="5"/>
  <c r="M115" i="5"/>
  <c r="L116" i="5"/>
  <c r="M116" i="5"/>
  <c r="L117" i="5"/>
  <c r="M117" i="5"/>
  <c r="L118" i="5"/>
  <c r="M118" i="5"/>
  <c r="L119" i="5"/>
  <c r="M119" i="5"/>
  <c r="L120" i="5"/>
  <c r="M120" i="5"/>
  <c r="L121" i="5"/>
  <c r="M121" i="5"/>
  <c r="L122" i="5"/>
  <c r="M122" i="5"/>
  <c r="L123" i="5"/>
  <c r="M123" i="5"/>
  <c r="L124" i="5"/>
  <c r="M124" i="5"/>
  <c r="L125" i="5"/>
  <c r="M125" i="5"/>
  <c r="L126" i="5"/>
  <c r="M126" i="5"/>
  <c r="L127" i="5"/>
  <c r="M127" i="5"/>
  <c r="L128" i="5"/>
  <c r="M128" i="5"/>
  <c r="L129" i="5"/>
  <c r="M129" i="5"/>
  <c r="L92" i="5"/>
  <c r="M92" i="5"/>
  <c r="H93" i="5"/>
  <c r="I93" i="5"/>
  <c r="H94" i="5"/>
  <c r="I94" i="5"/>
  <c r="H95" i="5"/>
  <c r="I95" i="5"/>
  <c r="H96" i="5"/>
  <c r="I96" i="5"/>
  <c r="H97" i="5"/>
  <c r="I97" i="5"/>
  <c r="H98" i="5"/>
  <c r="I98" i="5"/>
  <c r="H99" i="5"/>
  <c r="I99" i="5"/>
  <c r="H100" i="5"/>
  <c r="I100" i="5"/>
  <c r="H101" i="5"/>
  <c r="I101" i="5"/>
  <c r="H102" i="5"/>
  <c r="I102" i="5"/>
  <c r="H103" i="5"/>
  <c r="I103" i="5"/>
  <c r="H104" i="5"/>
  <c r="I104" i="5"/>
  <c r="H105" i="5"/>
  <c r="I105" i="5"/>
  <c r="H106" i="5"/>
  <c r="I106" i="5"/>
  <c r="H107" i="5"/>
  <c r="I107" i="5"/>
  <c r="H108" i="5"/>
  <c r="I108" i="5"/>
  <c r="H109" i="5"/>
  <c r="I109" i="5"/>
  <c r="H110" i="5"/>
  <c r="I110" i="5"/>
  <c r="H111" i="5"/>
  <c r="I111" i="5"/>
  <c r="H112" i="5"/>
  <c r="I112" i="5"/>
  <c r="H113" i="5"/>
  <c r="I113" i="5"/>
  <c r="H114" i="5"/>
  <c r="I114" i="5"/>
  <c r="H115" i="5"/>
  <c r="I115" i="5"/>
  <c r="H116" i="5"/>
  <c r="I116" i="5"/>
  <c r="H117" i="5"/>
  <c r="I117" i="5"/>
  <c r="H118" i="5"/>
  <c r="I118" i="5"/>
  <c r="H119" i="5"/>
  <c r="I119" i="5"/>
  <c r="H120" i="5"/>
  <c r="I120" i="5"/>
  <c r="H121" i="5"/>
  <c r="I121" i="5"/>
  <c r="H122" i="5"/>
  <c r="I122" i="5"/>
  <c r="H123" i="5"/>
  <c r="I123" i="5"/>
  <c r="H124" i="5"/>
  <c r="I124" i="5"/>
  <c r="H125" i="5"/>
  <c r="I125" i="5"/>
  <c r="H126" i="5"/>
  <c r="I126" i="5"/>
  <c r="H127" i="5"/>
  <c r="I127" i="5"/>
  <c r="H128" i="5"/>
  <c r="I128" i="5"/>
  <c r="H129" i="5"/>
  <c r="I129" i="5"/>
  <c r="H92" i="5"/>
  <c r="I92" i="5"/>
  <c r="O2401" i="1" a="1"/>
  <c r="O2401" i="1"/>
  <c r="N2401" i="1"/>
  <c r="M2401" i="1"/>
  <c r="O2400" i="1" a="1"/>
  <c r="O2400" i="1"/>
  <c r="N2400" i="1"/>
  <c r="M2400" i="1"/>
  <c r="O2399" i="1" a="1"/>
  <c r="O2399" i="1"/>
  <c r="N2399" i="1"/>
  <c r="M2399" i="1"/>
  <c r="O2398" i="1" a="1"/>
  <c r="O2398" i="1"/>
  <c r="N2398" i="1"/>
  <c r="M2398" i="1"/>
  <c r="O2397" i="1" a="1"/>
  <c r="O2397" i="1"/>
  <c r="N2397" i="1"/>
  <c r="M2397" i="1"/>
  <c r="O2396" i="1" a="1"/>
  <c r="O2396" i="1"/>
  <c r="N2396" i="1"/>
  <c r="M2396" i="1"/>
  <c r="O2395" i="1" a="1"/>
  <c r="O2395" i="1"/>
  <c r="N2395" i="1"/>
  <c r="M2395" i="1"/>
  <c r="O2394" i="1" a="1"/>
  <c r="O2394" i="1"/>
  <c r="N2394" i="1"/>
  <c r="M2394" i="1"/>
  <c r="O2393" i="1" a="1"/>
  <c r="O2393" i="1"/>
  <c r="N2393" i="1"/>
  <c r="M2393" i="1"/>
  <c r="O2392" i="1" a="1"/>
  <c r="O2392" i="1"/>
  <c r="N2392" i="1"/>
  <c r="M2392" i="1"/>
  <c r="O2391" i="1" a="1"/>
  <c r="O2391" i="1"/>
  <c r="N2391" i="1"/>
  <c r="M2391" i="1"/>
  <c r="O2390" i="1" a="1"/>
  <c r="O2390" i="1"/>
  <c r="N2390" i="1"/>
  <c r="M2390" i="1"/>
  <c r="O2389" i="1" a="1"/>
  <c r="O2389" i="1"/>
  <c r="N2389" i="1"/>
  <c r="M2389" i="1"/>
  <c r="O2388" i="1" a="1"/>
  <c r="O2388" i="1"/>
  <c r="N2388" i="1"/>
  <c r="M2388" i="1"/>
  <c r="O2387" i="1" a="1"/>
  <c r="O2387" i="1"/>
  <c r="N2387" i="1"/>
  <c r="M2387" i="1"/>
  <c r="O2386" i="1" a="1"/>
  <c r="O2386" i="1"/>
  <c r="N2386" i="1"/>
  <c r="M2386" i="1"/>
  <c r="O2385" i="1" a="1"/>
  <c r="O2385" i="1"/>
  <c r="N2385" i="1"/>
  <c r="M2385" i="1"/>
  <c r="O2384" i="1" a="1"/>
  <c r="O2384" i="1"/>
  <c r="N2384" i="1"/>
  <c r="M2384" i="1"/>
  <c r="O2383" i="1" a="1"/>
  <c r="O2383" i="1"/>
  <c r="N2383" i="1"/>
  <c r="M2383" i="1"/>
  <c r="O2382" i="1" a="1"/>
  <c r="O2382" i="1"/>
  <c r="N2382" i="1"/>
  <c r="M2382" i="1"/>
  <c r="O2381" i="1" a="1"/>
  <c r="O2381" i="1"/>
  <c r="N2381" i="1"/>
  <c r="M2381" i="1"/>
  <c r="O2380" i="1" a="1"/>
  <c r="O2380" i="1"/>
  <c r="N2380" i="1"/>
  <c r="M2380" i="1"/>
  <c r="O2379" i="1" a="1"/>
  <c r="O2379" i="1"/>
  <c r="N2379" i="1"/>
  <c r="M2379" i="1"/>
  <c r="O2378" i="1" a="1"/>
  <c r="O2378" i="1"/>
  <c r="N2378" i="1"/>
  <c r="M2378" i="1"/>
  <c r="O2377" i="1" a="1"/>
  <c r="O2377" i="1"/>
  <c r="N2377" i="1"/>
  <c r="M2377" i="1"/>
  <c r="O2376" i="1" a="1"/>
  <c r="O2376" i="1"/>
  <c r="N2376" i="1"/>
  <c r="M2376" i="1"/>
  <c r="O2375" i="1" a="1"/>
  <c r="O2375" i="1"/>
  <c r="N2375" i="1"/>
  <c r="M2375" i="1"/>
  <c r="O2374" i="1" a="1"/>
  <c r="O2374" i="1"/>
  <c r="N2374" i="1"/>
  <c r="M2374" i="1"/>
  <c r="O2373" i="1" a="1"/>
  <c r="O2373" i="1"/>
  <c r="N2373" i="1"/>
  <c r="M2373" i="1"/>
  <c r="O2372" i="1" a="1"/>
  <c r="O2372" i="1"/>
  <c r="N2372" i="1"/>
  <c r="M2372" i="1"/>
  <c r="O2371" i="1" a="1"/>
  <c r="O2371" i="1"/>
  <c r="N2371" i="1"/>
  <c r="M2371" i="1"/>
  <c r="O2370" i="1" a="1"/>
  <c r="O2370" i="1"/>
  <c r="N2370" i="1"/>
  <c r="M2370" i="1"/>
  <c r="O2369" i="1" a="1"/>
  <c r="O2369" i="1"/>
  <c r="N2369" i="1"/>
  <c r="M2369" i="1"/>
  <c r="O2368" i="1" a="1"/>
  <c r="O2368" i="1"/>
  <c r="N2368" i="1"/>
  <c r="M2368" i="1"/>
  <c r="O2367" i="1" a="1"/>
  <c r="O2367" i="1"/>
  <c r="N2367" i="1"/>
  <c r="M2367" i="1"/>
  <c r="O2366" i="1" a="1"/>
  <c r="O2366" i="1"/>
  <c r="N2366" i="1"/>
  <c r="M2366" i="1"/>
  <c r="O2365" i="1" a="1"/>
  <c r="O2365" i="1"/>
  <c r="N2365" i="1"/>
  <c r="M2365" i="1"/>
  <c r="O2364" i="1" a="1"/>
  <c r="O2364" i="1"/>
  <c r="N2364" i="1"/>
  <c r="M2364" i="1"/>
  <c r="O2363" i="1" a="1"/>
  <c r="O2363" i="1"/>
  <c r="N2363" i="1"/>
  <c r="M2363" i="1"/>
  <c r="O2362" i="1" a="1"/>
  <c r="O2362" i="1"/>
  <c r="N2362" i="1"/>
  <c r="M2362" i="1"/>
  <c r="O2361" i="1" a="1"/>
  <c r="O2361" i="1"/>
  <c r="N2361" i="1"/>
  <c r="M2361" i="1"/>
  <c r="O2360" i="1" a="1"/>
  <c r="O2360" i="1"/>
  <c r="N2360" i="1"/>
  <c r="M2360" i="1"/>
  <c r="O2359" i="1" a="1"/>
  <c r="O2359" i="1"/>
  <c r="N2359" i="1"/>
  <c r="M2359" i="1"/>
  <c r="O2358" i="1" a="1"/>
  <c r="O2358" i="1"/>
  <c r="N2358" i="1"/>
  <c r="M2358" i="1"/>
  <c r="O2357" i="1" a="1"/>
  <c r="O2357" i="1"/>
  <c r="N2357" i="1"/>
  <c r="M2357" i="1"/>
  <c r="O2356" i="1" a="1"/>
  <c r="O2356" i="1"/>
  <c r="N2356" i="1"/>
  <c r="M2356" i="1"/>
  <c r="O2355" i="1" a="1"/>
  <c r="O2355" i="1"/>
  <c r="N2355" i="1"/>
  <c r="M2355" i="1"/>
  <c r="O2354" i="1" a="1"/>
  <c r="O2354" i="1"/>
  <c r="N2354" i="1"/>
  <c r="M2354" i="1"/>
  <c r="O2353" i="1" a="1"/>
  <c r="O2353" i="1"/>
  <c r="N2353" i="1"/>
  <c r="M2353" i="1"/>
  <c r="O2352" i="1" a="1"/>
  <c r="O2352" i="1"/>
  <c r="N2352" i="1"/>
  <c r="M2352" i="1"/>
  <c r="O2351" i="1" a="1"/>
  <c r="O2351" i="1"/>
  <c r="N2351" i="1"/>
  <c r="M2351" i="1"/>
  <c r="O2350" i="1" a="1"/>
  <c r="O2350" i="1"/>
  <c r="N2350" i="1"/>
  <c r="M2350" i="1"/>
  <c r="O2349" i="1" a="1"/>
  <c r="O2349" i="1"/>
  <c r="N2349" i="1"/>
  <c r="M2349" i="1"/>
  <c r="O2348" i="1" a="1"/>
  <c r="O2348" i="1"/>
  <c r="N2348" i="1"/>
  <c r="M2348" i="1"/>
  <c r="O2347" i="1" a="1"/>
  <c r="O2347" i="1"/>
  <c r="N2347" i="1"/>
  <c r="M2347" i="1"/>
  <c r="O2346" i="1" a="1"/>
  <c r="O2346" i="1"/>
  <c r="N2346" i="1"/>
  <c r="M2346" i="1"/>
  <c r="O2345" i="1" a="1"/>
  <c r="O2345" i="1"/>
  <c r="N2345" i="1"/>
  <c r="M2345" i="1"/>
  <c r="O2344" i="1" a="1"/>
  <c r="O2344" i="1"/>
  <c r="N2344" i="1"/>
  <c r="M2344" i="1"/>
  <c r="O2343" i="1" a="1"/>
  <c r="O2343" i="1"/>
  <c r="N2343" i="1"/>
  <c r="M2343" i="1"/>
  <c r="O2342" i="1" a="1"/>
  <c r="O2342" i="1"/>
  <c r="N2342" i="1"/>
  <c r="M2342" i="1"/>
  <c r="O2341" i="1" a="1"/>
  <c r="O2341" i="1"/>
  <c r="N2341" i="1"/>
  <c r="M2341" i="1"/>
  <c r="O2340" i="1" a="1"/>
  <c r="O2340" i="1"/>
  <c r="N2340" i="1"/>
  <c r="M2340" i="1"/>
  <c r="O2339" i="1" a="1"/>
  <c r="O2339" i="1"/>
  <c r="N2339" i="1"/>
  <c r="M2339" i="1"/>
  <c r="O2338" i="1" a="1"/>
  <c r="O2338" i="1"/>
  <c r="N2338" i="1"/>
  <c r="M2338" i="1"/>
  <c r="O2337" i="1" a="1"/>
  <c r="O2337" i="1"/>
  <c r="N2337" i="1"/>
  <c r="M2337" i="1"/>
  <c r="O2336" i="1" a="1"/>
  <c r="O2336" i="1"/>
  <c r="N2336" i="1"/>
  <c r="M2336" i="1"/>
  <c r="O2335" i="1" a="1"/>
  <c r="O2335" i="1"/>
  <c r="N2335" i="1"/>
  <c r="M2335" i="1"/>
  <c r="O2334" i="1" a="1"/>
  <c r="O2334" i="1"/>
  <c r="N2334" i="1"/>
  <c r="M2334" i="1"/>
  <c r="O2333" i="1" a="1"/>
  <c r="O2333" i="1"/>
  <c r="N2333" i="1"/>
  <c r="M2333" i="1"/>
  <c r="O2332" i="1" a="1"/>
  <c r="O2332" i="1"/>
  <c r="N2332" i="1"/>
  <c r="M2332" i="1"/>
  <c r="O2331" i="1" a="1"/>
  <c r="O2331" i="1"/>
  <c r="N2331" i="1"/>
  <c r="M2331" i="1"/>
  <c r="O2330" i="1" a="1"/>
  <c r="O2330" i="1"/>
  <c r="N2330" i="1"/>
  <c r="M2330" i="1"/>
  <c r="O2329" i="1" a="1"/>
  <c r="O2329" i="1"/>
  <c r="N2329" i="1"/>
  <c r="M2329" i="1"/>
  <c r="O2328" i="1" a="1"/>
  <c r="O2328" i="1"/>
  <c r="N2328" i="1"/>
  <c r="M2328" i="1"/>
  <c r="O2327" i="1" a="1"/>
  <c r="O2327" i="1"/>
  <c r="N2327" i="1"/>
  <c r="M2327" i="1"/>
  <c r="O2326" i="1" a="1"/>
  <c r="O2326" i="1"/>
  <c r="N2326" i="1"/>
  <c r="M2326" i="1"/>
  <c r="O2325" i="1" a="1"/>
  <c r="O2325" i="1"/>
  <c r="N2325" i="1"/>
  <c r="M2325" i="1"/>
  <c r="O2324" i="1" a="1"/>
  <c r="O2324" i="1"/>
  <c r="N2324" i="1"/>
  <c r="M2324" i="1"/>
  <c r="O2323" i="1" a="1"/>
  <c r="O2323" i="1"/>
  <c r="N2323" i="1"/>
  <c r="M2323" i="1"/>
  <c r="O2322" i="1" a="1"/>
  <c r="O2322" i="1"/>
  <c r="N2322" i="1"/>
  <c r="M2322" i="1"/>
  <c r="O2321" i="1" a="1"/>
  <c r="O2321" i="1"/>
  <c r="N2321" i="1"/>
  <c r="M2321" i="1"/>
  <c r="O2320" i="1" a="1"/>
  <c r="O2320" i="1"/>
  <c r="N2320" i="1"/>
  <c r="M2320" i="1"/>
  <c r="O2319" i="1" a="1"/>
  <c r="O2319" i="1"/>
  <c r="N2319" i="1"/>
  <c r="M2319" i="1"/>
  <c r="O2318" i="1" a="1"/>
  <c r="O2318" i="1"/>
  <c r="N2318" i="1"/>
  <c r="M2318" i="1"/>
  <c r="O2317" i="1" a="1"/>
  <c r="O2317" i="1"/>
  <c r="N2317" i="1"/>
  <c r="M2317" i="1"/>
  <c r="O2316" i="1" a="1"/>
  <c r="O2316" i="1"/>
  <c r="N2316" i="1"/>
  <c r="M2316" i="1"/>
  <c r="O2315" i="1" a="1"/>
  <c r="O2315" i="1"/>
  <c r="N2315" i="1"/>
  <c r="M2315" i="1"/>
  <c r="O2314" i="1" a="1"/>
  <c r="O2314" i="1"/>
  <c r="N2314" i="1"/>
  <c r="M2314" i="1"/>
  <c r="O2313" i="1" a="1"/>
  <c r="O2313" i="1"/>
  <c r="N2313" i="1"/>
  <c r="M2313" i="1"/>
  <c r="O2312" i="1" a="1"/>
  <c r="O2312" i="1"/>
  <c r="N2312" i="1"/>
  <c r="M2312" i="1"/>
  <c r="O2311" i="1" a="1"/>
  <c r="O2311" i="1"/>
  <c r="N2311" i="1"/>
  <c r="M2311" i="1"/>
  <c r="O2310" i="1" a="1"/>
  <c r="O2310" i="1"/>
  <c r="N2310" i="1"/>
  <c r="M2310" i="1"/>
  <c r="O2309" i="1" a="1"/>
  <c r="O2309" i="1"/>
  <c r="N2309" i="1"/>
  <c r="M2309" i="1"/>
  <c r="O2308" i="1" a="1"/>
  <c r="O2308" i="1"/>
  <c r="N2308" i="1"/>
  <c r="M2308" i="1"/>
  <c r="O2307" i="1" a="1"/>
  <c r="O2307" i="1"/>
  <c r="N2307" i="1"/>
  <c r="M2307" i="1"/>
  <c r="O2306" i="1" a="1"/>
  <c r="O2306" i="1"/>
  <c r="N2306" i="1"/>
  <c r="M2306" i="1"/>
  <c r="O2305" i="1" a="1"/>
  <c r="O2305" i="1"/>
  <c r="N2305" i="1"/>
  <c r="M2305" i="1"/>
  <c r="O2304" i="1" a="1"/>
  <c r="O2304" i="1"/>
  <c r="N2304" i="1"/>
  <c r="M2304" i="1"/>
  <c r="O2303" i="1" a="1"/>
  <c r="O2303" i="1"/>
  <c r="N2303" i="1"/>
  <c r="M2303" i="1"/>
  <c r="O2302" i="1" a="1"/>
  <c r="O2302" i="1"/>
  <c r="N2302" i="1"/>
  <c r="M2302" i="1"/>
  <c r="O2301" i="1" a="1"/>
  <c r="O2301" i="1"/>
  <c r="N2301" i="1"/>
  <c r="M2301" i="1"/>
  <c r="O2300" i="1" a="1"/>
  <c r="O2300" i="1"/>
  <c r="N2300" i="1"/>
  <c r="M2300" i="1"/>
  <c r="O2299" i="1" a="1"/>
  <c r="O2299" i="1"/>
  <c r="N2299" i="1"/>
  <c r="M2299" i="1"/>
  <c r="O2298" i="1" a="1"/>
  <c r="O2298" i="1"/>
  <c r="N2298" i="1"/>
  <c r="M2298" i="1"/>
  <c r="O2297" i="1" a="1"/>
  <c r="O2297" i="1"/>
  <c r="N2297" i="1"/>
  <c r="M2297" i="1"/>
  <c r="O2296" i="1" a="1"/>
  <c r="O2296" i="1"/>
  <c r="N2296" i="1"/>
  <c r="M2296" i="1"/>
  <c r="O2295" i="1" a="1"/>
  <c r="O2295" i="1"/>
  <c r="N2295" i="1"/>
  <c r="M2295" i="1"/>
  <c r="O2294" i="1" a="1"/>
  <c r="O2294" i="1"/>
  <c r="N2294" i="1"/>
  <c r="M2294" i="1"/>
  <c r="O2293" i="1" a="1"/>
  <c r="O2293" i="1"/>
  <c r="N2293" i="1"/>
  <c r="M2293" i="1"/>
  <c r="O2292" i="1" a="1"/>
  <c r="O2292" i="1"/>
  <c r="N2292" i="1"/>
  <c r="M2292" i="1"/>
  <c r="O2291" i="1" a="1"/>
  <c r="O2291" i="1"/>
  <c r="N2291" i="1"/>
  <c r="M2291" i="1"/>
  <c r="O2290" i="1" a="1"/>
  <c r="O2290" i="1"/>
  <c r="N2290" i="1"/>
  <c r="M2290" i="1"/>
  <c r="O2289" i="1" a="1"/>
  <c r="O2289" i="1"/>
  <c r="N2289" i="1"/>
  <c r="M2289" i="1"/>
  <c r="O2288" i="1" a="1"/>
  <c r="O2288" i="1"/>
  <c r="N2288" i="1"/>
  <c r="M2288" i="1"/>
  <c r="O2287" i="1" a="1"/>
  <c r="O2287" i="1"/>
  <c r="N2287" i="1"/>
  <c r="M2287" i="1"/>
  <c r="O2286" i="1" a="1"/>
  <c r="O2286" i="1"/>
  <c r="N2286" i="1"/>
  <c r="M2286" i="1"/>
  <c r="O2285" i="1" a="1"/>
  <c r="O2285" i="1"/>
  <c r="N2285" i="1"/>
  <c r="M2285" i="1"/>
  <c r="O2284" i="1" a="1"/>
  <c r="O2284" i="1"/>
  <c r="N2284" i="1"/>
  <c r="M2284" i="1"/>
  <c r="O2283" i="1" a="1"/>
  <c r="O2283" i="1"/>
  <c r="N2283" i="1"/>
  <c r="M2283" i="1"/>
  <c r="O2282" i="1" a="1"/>
  <c r="O2282" i="1"/>
  <c r="N2282" i="1"/>
  <c r="M2282" i="1"/>
  <c r="O2281" i="1" a="1"/>
  <c r="O2281" i="1"/>
  <c r="N2281" i="1"/>
  <c r="M2281" i="1"/>
  <c r="O2280" i="1" a="1"/>
  <c r="O2280" i="1"/>
  <c r="N2280" i="1"/>
  <c r="M2280" i="1"/>
  <c r="O2279" i="1" a="1"/>
  <c r="O2279" i="1"/>
  <c r="N2279" i="1"/>
  <c r="M2279" i="1"/>
  <c r="O2278" i="1" a="1"/>
  <c r="O2278" i="1"/>
  <c r="N2278" i="1"/>
  <c r="M2278" i="1"/>
  <c r="O2277" i="1" a="1"/>
  <c r="O2277" i="1"/>
  <c r="N2277" i="1"/>
  <c r="M2277" i="1"/>
  <c r="O2276" i="1" a="1"/>
  <c r="O2276" i="1"/>
  <c r="N2276" i="1"/>
  <c r="M2276" i="1"/>
  <c r="O2275" i="1" a="1"/>
  <c r="O2275" i="1"/>
  <c r="N2275" i="1"/>
  <c r="M2275" i="1"/>
  <c r="O2274" i="1" a="1"/>
  <c r="O2274" i="1"/>
  <c r="N2274" i="1"/>
  <c r="M2274" i="1"/>
  <c r="O2273" i="1" a="1"/>
  <c r="O2273" i="1"/>
  <c r="N2273" i="1"/>
  <c r="M2273" i="1"/>
  <c r="O2272" i="1" a="1"/>
  <c r="O2272" i="1"/>
  <c r="N2272" i="1"/>
  <c r="M2272" i="1"/>
  <c r="O2271" i="1" a="1"/>
  <c r="O2271" i="1"/>
  <c r="N2271" i="1"/>
  <c r="M2271" i="1"/>
  <c r="O2270" i="1" a="1"/>
  <c r="O2270" i="1"/>
  <c r="N2270" i="1"/>
  <c r="M2270" i="1"/>
  <c r="O2269" i="1" a="1"/>
  <c r="O2269" i="1"/>
  <c r="N2269" i="1"/>
  <c r="M2269" i="1"/>
  <c r="O2268" i="1" a="1"/>
  <c r="O2268" i="1"/>
  <c r="N2268" i="1"/>
  <c r="M2268" i="1"/>
  <c r="O2267" i="1" a="1"/>
  <c r="O2267" i="1"/>
  <c r="N2267" i="1"/>
  <c r="M2267" i="1"/>
  <c r="O2266" i="1" a="1"/>
  <c r="O2266" i="1"/>
  <c r="N2266" i="1"/>
  <c r="M2266" i="1"/>
  <c r="O2265" i="1" a="1"/>
  <c r="O2265" i="1"/>
  <c r="N2265" i="1"/>
  <c r="M2265" i="1"/>
  <c r="O2264" i="1" a="1"/>
  <c r="O2264" i="1"/>
  <c r="N2264" i="1"/>
  <c r="M2264" i="1"/>
  <c r="O2263" i="1" a="1"/>
  <c r="O2263" i="1"/>
  <c r="N2263" i="1"/>
  <c r="M2263" i="1"/>
  <c r="O2262" i="1" a="1"/>
  <c r="O2262" i="1"/>
  <c r="N2262" i="1"/>
  <c r="M2262" i="1"/>
  <c r="O2261" i="1" a="1"/>
  <c r="O2261" i="1"/>
  <c r="N2261" i="1"/>
  <c r="M2261" i="1"/>
  <c r="O2260" i="1" a="1"/>
  <c r="O2260" i="1"/>
  <c r="N2260" i="1"/>
  <c r="M2260" i="1"/>
  <c r="O2259" i="1" a="1"/>
  <c r="O2259" i="1"/>
  <c r="N2259" i="1"/>
  <c r="M2259" i="1"/>
  <c r="O2258" i="1" a="1"/>
  <c r="O2258" i="1"/>
  <c r="N2258" i="1"/>
  <c r="M2258" i="1"/>
  <c r="O2257" i="1" a="1"/>
  <c r="O2257" i="1"/>
  <c r="N2257" i="1"/>
  <c r="M2257" i="1"/>
  <c r="O2256" i="1" a="1"/>
  <c r="O2256" i="1"/>
  <c r="N2256" i="1"/>
  <c r="M2256" i="1"/>
  <c r="O2255" i="1" a="1"/>
  <c r="O2255" i="1"/>
  <c r="N2255" i="1"/>
  <c r="M2255" i="1"/>
  <c r="O2254" i="1" a="1"/>
  <c r="O2254" i="1"/>
  <c r="N2254" i="1"/>
  <c r="M2254" i="1"/>
  <c r="O2253" i="1" a="1"/>
  <c r="O2253" i="1"/>
  <c r="N2253" i="1"/>
  <c r="M2253" i="1"/>
  <c r="O2252" i="1" a="1"/>
  <c r="O2252" i="1"/>
  <c r="N2252" i="1"/>
  <c r="M2252" i="1"/>
  <c r="O2251" i="1" a="1"/>
  <c r="O2251" i="1"/>
  <c r="N2251" i="1"/>
  <c r="M2251" i="1"/>
  <c r="O2250" i="1" a="1"/>
  <c r="O2250" i="1"/>
  <c r="N2250" i="1"/>
  <c r="M2250" i="1"/>
  <c r="O2249" i="1" a="1"/>
  <c r="O2249" i="1"/>
  <c r="N2249" i="1"/>
  <c r="M2249" i="1"/>
  <c r="O2248" i="1" a="1"/>
  <c r="O2248" i="1"/>
  <c r="N2248" i="1"/>
  <c r="M2248" i="1"/>
  <c r="O2247" i="1" a="1"/>
  <c r="O2247" i="1"/>
  <c r="N2247" i="1"/>
  <c r="M2247" i="1"/>
  <c r="O2246" i="1" a="1"/>
  <c r="O2246" i="1"/>
  <c r="N2246" i="1"/>
  <c r="M2246" i="1"/>
  <c r="O2245" i="1" a="1"/>
  <c r="O2245" i="1"/>
  <c r="N2245" i="1"/>
  <c r="M2245" i="1"/>
  <c r="O2244" i="1" a="1"/>
  <c r="O2244" i="1"/>
  <c r="N2244" i="1"/>
  <c r="M2244" i="1"/>
  <c r="O2243" i="1" a="1"/>
  <c r="O2243" i="1"/>
  <c r="N2243" i="1"/>
  <c r="M2243" i="1"/>
  <c r="O2242" i="1" a="1"/>
  <c r="O2242" i="1"/>
  <c r="N2242" i="1"/>
  <c r="M2242" i="1"/>
  <c r="O2241" i="1" a="1"/>
  <c r="O2241" i="1"/>
  <c r="N2241" i="1"/>
  <c r="M2241" i="1"/>
  <c r="O2240" i="1" a="1"/>
  <c r="O2240" i="1"/>
  <c r="N2240" i="1"/>
  <c r="M2240" i="1"/>
  <c r="O2239" i="1" a="1"/>
  <c r="O2239" i="1"/>
  <c r="N2239" i="1"/>
  <c r="M2239" i="1"/>
  <c r="O2238" i="1" a="1"/>
  <c r="O2238" i="1"/>
  <c r="N2238" i="1"/>
  <c r="M2238" i="1"/>
  <c r="O2237" i="1" a="1"/>
  <c r="O2237" i="1"/>
  <c r="N2237" i="1"/>
  <c r="M2237" i="1"/>
  <c r="O2236" i="1" a="1"/>
  <c r="O2236" i="1"/>
  <c r="N2236" i="1"/>
  <c r="M2236" i="1"/>
  <c r="O2235" i="1" a="1"/>
  <c r="O2235" i="1"/>
  <c r="N2235" i="1"/>
  <c r="M2235" i="1"/>
  <c r="O2234" i="1" a="1"/>
  <c r="O2234" i="1"/>
  <c r="N2234" i="1"/>
  <c r="M2234" i="1"/>
  <c r="O2233" i="1" a="1"/>
  <c r="O2233" i="1"/>
  <c r="N2233" i="1"/>
  <c r="M2233" i="1"/>
  <c r="O2232" i="1" a="1"/>
  <c r="O2232" i="1"/>
  <c r="N2232" i="1"/>
  <c r="M2232" i="1"/>
  <c r="O2231" i="1" a="1"/>
  <c r="O2231" i="1"/>
  <c r="N2231" i="1"/>
  <c r="M2231" i="1"/>
  <c r="O2230" i="1" a="1"/>
  <c r="O2230" i="1"/>
  <c r="N2230" i="1"/>
  <c r="M2230" i="1"/>
  <c r="O2229" i="1" a="1"/>
  <c r="O2229" i="1"/>
  <c r="N2229" i="1"/>
  <c r="M2229" i="1"/>
  <c r="O2228" i="1" a="1"/>
  <c r="O2228" i="1"/>
  <c r="N2228" i="1"/>
  <c r="M2228" i="1"/>
  <c r="O2227" i="1" a="1"/>
  <c r="O2227" i="1"/>
  <c r="N2227" i="1"/>
  <c r="M2227" i="1"/>
  <c r="O2226" i="1" a="1"/>
  <c r="O2226" i="1"/>
  <c r="N2226" i="1"/>
  <c r="M2226" i="1"/>
  <c r="O2225" i="1" a="1"/>
  <c r="O2225" i="1"/>
  <c r="N2225" i="1"/>
  <c r="M2225" i="1"/>
  <c r="O2224" i="1" a="1"/>
  <c r="O2224" i="1"/>
  <c r="N2224" i="1"/>
  <c r="M2224" i="1"/>
  <c r="O2223" i="1" a="1"/>
  <c r="O2223" i="1"/>
  <c r="N2223" i="1"/>
  <c r="M2223" i="1"/>
  <c r="O2222" i="1" a="1"/>
  <c r="O2222" i="1"/>
  <c r="N2222" i="1"/>
  <c r="M2222" i="1"/>
  <c r="O2221" i="1" a="1"/>
  <c r="O2221" i="1"/>
  <c r="N2221" i="1"/>
  <c r="M2221" i="1"/>
  <c r="O2220" i="1" a="1"/>
  <c r="O2220" i="1"/>
  <c r="N2220" i="1"/>
  <c r="M2220" i="1"/>
  <c r="O2219" i="1" a="1"/>
  <c r="O2219" i="1"/>
  <c r="N2219" i="1"/>
  <c r="M2219" i="1"/>
  <c r="O2218" i="1" a="1"/>
  <c r="O2218" i="1"/>
  <c r="N2218" i="1"/>
  <c r="M2218" i="1"/>
  <c r="O2217" i="1" a="1"/>
  <c r="O2217" i="1"/>
  <c r="N2217" i="1"/>
  <c r="M2217" i="1"/>
  <c r="O2216" i="1" a="1"/>
  <c r="O2216" i="1"/>
  <c r="N2216" i="1"/>
  <c r="M2216" i="1"/>
  <c r="O2215" i="1" a="1"/>
  <c r="O2215" i="1"/>
  <c r="N2215" i="1"/>
  <c r="M2215" i="1"/>
  <c r="O2214" i="1" a="1"/>
  <c r="O2214" i="1"/>
  <c r="N2214" i="1"/>
  <c r="M2214" i="1"/>
  <c r="O2213" i="1" a="1"/>
  <c r="O2213" i="1"/>
  <c r="N2213" i="1"/>
  <c r="M2213" i="1"/>
  <c r="O2212" i="1" a="1"/>
  <c r="O2212" i="1"/>
  <c r="N2212" i="1"/>
  <c r="M2212" i="1"/>
  <c r="O2211" i="1" a="1"/>
  <c r="O2211" i="1"/>
  <c r="N2211" i="1"/>
  <c r="M2211" i="1"/>
  <c r="O2210" i="1" a="1"/>
  <c r="O2210" i="1"/>
  <c r="N2210" i="1"/>
  <c r="M2210" i="1"/>
  <c r="O2209" i="1" a="1"/>
  <c r="O2209" i="1"/>
  <c r="N2209" i="1"/>
  <c r="M2209" i="1"/>
  <c r="O2208" i="1" a="1"/>
  <c r="O2208" i="1"/>
  <c r="N2208" i="1"/>
  <c r="M2208" i="1"/>
  <c r="O2207" i="1" a="1"/>
  <c r="O2207" i="1"/>
  <c r="N2207" i="1"/>
  <c r="M2207" i="1"/>
  <c r="O2206" i="1" a="1"/>
  <c r="O2206" i="1"/>
  <c r="N2206" i="1"/>
  <c r="M2206" i="1"/>
  <c r="O2205" i="1" a="1"/>
  <c r="O2205" i="1"/>
  <c r="N2205" i="1"/>
  <c r="M2205" i="1"/>
  <c r="O2204" i="1" a="1"/>
  <c r="O2204" i="1"/>
  <c r="N2204" i="1"/>
  <c r="M2204" i="1"/>
  <c r="O2203" i="1" a="1"/>
  <c r="O2203" i="1"/>
  <c r="N2203" i="1"/>
  <c r="M2203" i="1"/>
  <c r="O2202" i="1" a="1"/>
  <c r="O2202" i="1"/>
  <c r="N2202" i="1"/>
  <c r="M2202" i="1"/>
  <c r="O2201" i="1" a="1"/>
  <c r="O2201" i="1"/>
  <c r="N2201" i="1"/>
  <c r="M2201" i="1"/>
  <c r="O2200" i="1" a="1"/>
  <c r="O2200" i="1"/>
  <c r="N2200" i="1"/>
  <c r="M2200" i="1"/>
  <c r="O2199" i="1" a="1"/>
  <c r="O2199" i="1"/>
  <c r="N2199" i="1"/>
  <c r="M2199" i="1"/>
  <c r="O2198" i="1" a="1"/>
  <c r="O2198" i="1"/>
  <c r="N2198" i="1"/>
  <c r="M2198" i="1"/>
  <c r="O2197" i="1" a="1"/>
  <c r="O2197" i="1"/>
  <c r="N2197" i="1"/>
  <c r="M2197" i="1"/>
  <c r="O2196" i="1" a="1"/>
  <c r="O2196" i="1"/>
  <c r="N2196" i="1"/>
  <c r="M2196" i="1"/>
  <c r="O2195" i="1" a="1"/>
  <c r="O2195" i="1"/>
  <c r="N2195" i="1"/>
  <c r="M2195" i="1"/>
  <c r="O2194" i="1" a="1"/>
  <c r="O2194" i="1"/>
  <c r="N2194" i="1"/>
  <c r="M2194" i="1"/>
  <c r="O2193" i="1" a="1"/>
  <c r="O2193" i="1"/>
  <c r="N2193" i="1"/>
  <c r="M2193" i="1"/>
  <c r="O2192" i="1" a="1"/>
  <c r="O2192" i="1"/>
  <c r="N2192" i="1"/>
  <c r="M2192" i="1"/>
  <c r="O2191" i="1" a="1"/>
  <c r="O2191" i="1"/>
  <c r="N2191" i="1"/>
  <c r="M2191" i="1"/>
  <c r="O2190" i="1" a="1"/>
  <c r="O2190" i="1"/>
  <c r="N2190" i="1"/>
  <c r="M2190" i="1"/>
  <c r="O2189" i="1" a="1"/>
  <c r="O2189" i="1"/>
  <c r="N2189" i="1"/>
  <c r="M2189" i="1"/>
  <c r="O2188" i="1" a="1"/>
  <c r="O2188" i="1"/>
  <c r="N2188" i="1"/>
  <c r="M2188" i="1"/>
  <c r="O2187" i="1" a="1"/>
  <c r="O2187" i="1"/>
  <c r="N2187" i="1"/>
  <c r="M2187" i="1"/>
  <c r="O2186" i="1" a="1"/>
  <c r="O2186" i="1"/>
  <c r="N2186" i="1"/>
  <c r="M2186" i="1"/>
  <c r="O2185" i="1" a="1"/>
  <c r="O2185" i="1"/>
  <c r="N2185" i="1"/>
  <c r="M2185" i="1"/>
  <c r="O2184" i="1" a="1"/>
  <c r="O2184" i="1"/>
  <c r="N2184" i="1"/>
  <c r="M2184" i="1"/>
  <c r="O2183" i="1" a="1"/>
  <c r="O2183" i="1"/>
  <c r="N2183" i="1"/>
  <c r="M2183" i="1"/>
  <c r="O2182" i="1" a="1"/>
  <c r="O2182" i="1"/>
  <c r="N2182" i="1"/>
  <c r="M2182" i="1"/>
  <c r="O2181" i="1" a="1"/>
  <c r="O2181" i="1"/>
  <c r="N2181" i="1"/>
  <c r="M2181" i="1"/>
  <c r="O2180" i="1" a="1"/>
  <c r="O2180" i="1"/>
  <c r="N2180" i="1"/>
  <c r="M2180" i="1"/>
  <c r="O2179" i="1" a="1"/>
  <c r="O2179" i="1"/>
  <c r="N2179" i="1"/>
  <c r="M2179" i="1"/>
  <c r="O2178" i="1" a="1"/>
  <c r="O2178" i="1"/>
  <c r="N2178" i="1"/>
  <c r="M2178" i="1"/>
  <c r="O2177" i="1" a="1"/>
  <c r="O2177" i="1"/>
  <c r="N2177" i="1"/>
  <c r="M2177" i="1"/>
  <c r="O2176" i="1" a="1"/>
  <c r="O2176" i="1"/>
  <c r="N2176" i="1"/>
  <c r="M2176" i="1"/>
  <c r="O2175" i="1" a="1"/>
  <c r="O2175" i="1"/>
  <c r="N2175" i="1"/>
  <c r="M2175" i="1"/>
  <c r="O2174" i="1" a="1"/>
  <c r="O2174" i="1"/>
  <c r="N2174" i="1"/>
  <c r="M2174" i="1"/>
  <c r="O2173" i="1" a="1"/>
  <c r="O2173" i="1"/>
  <c r="N2173" i="1"/>
  <c r="M2173" i="1"/>
  <c r="O2172" i="1" a="1"/>
  <c r="O2172" i="1"/>
  <c r="N2172" i="1"/>
  <c r="M2172" i="1"/>
  <c r="O2171" i="1" a="1"/>
  <c r="O2171" i="1"/>
  <c r="N2171" i="1"/>
  <c r="M2171" i="1"/>
  <c r="O2170" i="1" a="1"/>
  <c r="O2170" i="1"/>
  <c r="N2170" i="1"/>
  <c r="M2170" i="1"/>
  <c r="O2169" i="1" a="1"/>
  <c r="O2169" i="1"/>
  <c r="N2169" i="1"/>
  <c r="M2169" i="1"/>
  <c r="O2168" i="1" a="1"/>
  <c r="O2168" i="1"/>
  <c r="N2168" i="1"/>
  <c r="M2168" i="1"/>
  <c r="O2167" i="1" a="1"/>
  <c r="O2167" i="1"/>
  <c r="N2167" i="1"/>
  <c r="M2167" i="1"/>
  <c r="O2166" i="1" a="1"/>
  <c r="O2166" i="1"/>
  <c r="N2166" i="1"/>
  <c r="M2166" i="1"/>
  <c r="O2165" i="1" a="1"/>
  <c r="O2165" i="1"/>
  <c r="N2165" i="1"/>
  <c r="M2165" i="1"/>
  <c r="O2164" i="1" a="1"/>
  <c r="O2164" i="1"/>
  <c r="N2164" i="1"/>
  <c r="M2164" i="1"/>
  <c r="O2163" i="1" a="1"/>
  <c r="O2163" i="1"/>
  <c r="N2163" i="1"/>
  <c r="M2163" i="1"/>
  <c r="O2162" i="1" a="1"/>
  <c r="O2162" i="1"/>
  <c r="N2162" i="1"/>
  <c r="M2162" i="1"/>
  <c r="O2161" i="1" a="1"/>
  <c r="O2161" i="1"/>
  <c r="N2161" i="1"/>
  <c r="M2161" i="1"/>
  <c r="O2160" i="1" a="1"/>
  <c r="O2160" i="1"/>
  <c r="N2160" i="1"/>
  <c r="M2160" i="1"/>
  <c r="O2159" i="1" a="1"/>
  <c r="O2159" i="1"/>
  <c r="N2159" i="1"/>
  <c r="M2159" i="1"/>
  <c r="O2158" i="1" a="1"/>
  <c r="O2158" i="1"/>
  <c r="N2158" i="1"/>
  <c r="M2158" i="1"/>
  <c r="O2157" i="1" a="1"/>
  <c r="O2157" i="1"/>
  <c r="N2157" i="1"/>
  <c r="M2157" i="1"/>
  <c r="O2156" i="1" a="1"/>
  <c r="O2156" i="1"/>
  <c r="N2156" i="1"/>
  <c r="M2156" i="1"/>
  <c r="O2155" i="1" a="1"/>
  <c r="O2155" i="1"/>
  <c r="N2155" i="1"/>
  <c r="M2155" i="1"/>
  <c r="O2154" i="1" a="1"/>
  <c r="O2154" i="1"/>
  <c r="N2154" i="1"/>
  <c r="M2154" i="1"/>
  <c r="O2153" i="1" a="1"/>
  <c r="O2153" i="1"/>
  <c r="N2153" i="1"/>
  <c r="M2153" i="1"/>
  <c r="O2152" i="1" a="1"/>
  <c r="O2152" i="1"/>
  <c r="N2152" i="1"/>
  <c r="M2152" i="1"/>
  <c r="O2151" i="1" a="1"/>
  <c r="O2151" i="1"/>
  <c r="N2151" i="1"/>
  <c r="M2151" i="1"/>
  <c r="O2150" i="1" a="1"/>
  <c r="O2150" i="1"/>
  <c r="N2150" i="1"/>
  <c r="M2150" i="1"/>
  <c r="O2149" i="1" a="1"/>
  <c r="O2149" i="1"/>
  <c r="N2149" i="1"/>
  <c r="M2149" i="1"/>
  <c r="O2148" i="1" a="1"/>
  <c r="O2148" i="1"/>
  <c r="N2148" i="1"/>
  <c r="M2148" i="1"/>
  <c r="O2147" i="1" a="1"/>
  <c r="O2147" i="1"/>
  <c r="N2147" i="1"/>
  <c r="M2147" i="1"/>
  <c r="O2146" i="1" a="1"/>
  <c r="O2146" i="1"/>
  <c r="N2146" i="1"/>
  <c r="M2146" i="1"/>
  <c r="O2145" i="1" a="1"/>
  <c r="O2145" i="1"/>
  <c r="N2145" i="1"/>
  <c r="M2145" i="1"/>
  <c r="O2144" i="1" a="1"/>
  <c r="O2144" i="1"/>
  <c r="N2144" i="1"/>
  <c r="M2144" i="1"/>
  <c r="O2143" i="1" a="1"/>
  <c r="O2143" i="1"/>
  <c r="N2143" i="1"/>
  <c r="M2143" i="1"/>
  <c r="O2142" i="1" a="1"/>
  <c r="O2142" i="1"/>
  <c r="N2142" i="1"/>
  <c r="M2142" i="1"/>
  <c r="O2141" i="1" a="1"/>
  <c r="O2141" i="1"/>
  <c r="N2141" i="1"/>
  <c r="M2141" i="1"/>
  <c r="O2140" i="1" a="1"/>
  <c r="O2140" i="1"/>
  <c r="N2140" i="1"/>
  <c r="M2140" i="1"/>
  <c r="O2139" i="1" a="1"/>
  <c r="O2139" i="1"/>
  <c r="N2139" i="1"/>
  <c r="M2139" i="1"/>
  <c r="O2138" i="1" a="1"/>
  <c r="O2138" i="1"/>
  <c r="N2138" i="1"/>
  <c r="M2138" i="1"/>
  <c r="O2137" i="1" a="1"/>
  <c r="O2137" i="1"/>
  <c r="N2137" i="1"/>
  <c r="M2137" i="1"/>
  <c r="O2136" i="1" a="1"/>
  <c r="O2136" i="1"/>
  <c r="N2136" i="1"/>
  <c r="M2136" i="1"/>
  <c r="O2135" i="1" a="1"/>
  <c r="O2135" i="1"/>
  <c r="N2135" i="1"/>
  <c r="M2135" i="1"/>
  <c r="O2134" i="1" a="1"/>
  <c r="O2134" i="1"/>
  <c r="N2134" i="1"/>
  <c r="M2134" i="1"/>
  <c r="O2133" i="1" a="1"/>
  <c r="O2133" i="1"/>
  <c r="N2133" i="1"/>
  <c r="M2133" i="1"/>
  <c r="O2132" i="1" a="1"/>
  <c r="O2132" i="1"/>
  <c r="N2132" i="1"/>
  <c r="M2132" i="1"/>
  <c r="O2131" i="1" a="1"/>
  <c r="O2131" i="1"/>
  <c r="N2131" i="1"/>
  <c r="M2131" i="1"/>
  <c r="O2130" i="1" a="1"/>
  <c r="O2130" i="1"/>
  <c r="N2130" i="1"/>
  <c r="M2130" i="1"/>
  <c r="O2129" i="1" a="1"/>
  <c r="O2129" i="1"/>
  <c r="N2129" i="1"/>
  <c r="M2129" i="1"/>
  <c r="O2128" i="1" a="1"/>
  <c r="O2128" i="1"/>
  <c r="N2128" i="1"/>
  <c r="M2128" i="1"/>
  <c r="O2127" i="1" a="1"/>
  <c r="O2127" i="1"/>
  <c r="N2127" i="1"/>
  <c r="M2127" i="1"/>
  <c r="O2126" i="1" a="1"/>
  <c r="O2126" i="1"/>
  <c r="N2126" i="1"/>
  <c r="M2126" i="1"/>
  <c r="O2125" i="1" a="1"/>
  <c r="O2125" i="1"/>
  <c r="N2125" i="1"/>
  <c r="M2125" i="1"/>
  <c r="O2124" i="1" a="1"/>
  <c r="O2124" i="1"/>
  <c r="N2124" i="1"/>
  <c r="M2124" i="1"/>
  <c r="O2123" i="1" a="1"/>
  <c r="O2123" i="1"/>
  <c r="N2123" i="1"/>
  <c r="M2123" i="1"/>
  <c r="O2122" i="1" a="1"/>
  <c r="O2122" i="1"/>
  <c r="N2122" i="1"/>
  <c r="M2122" i="1"/>
  <c r="O2121" i="1" a="1"/>
  <c r="O2121" i="1"/>
  <c r="N2121" i="1"/>
  <c r="M2121" i="1"/>
  <c r="O2120" i="1" a="1"/>
  <c r="O2120" i="1"/>
  <c r="N2120" i="1"/>
  <c r="M2120" i="1"/>
  <c r="O2119" i="1" a="1"/>
  <c r="O2119" i="1"/>
  <c r="N2119" i="1"/>
  <c r="M2119" i="1"/>
  <c r="O2118" i="1" a="1"/>
  <c r="O2118" i="1"/>
  <c r="N2118" i="1"/>
  <c r="M2118" i="1"/>
  <c r="O2117" i="1" a="1"/>
  <c r="O2117" i="1"/>
  <c r="N2117" i="1"/>
  <c r="M2117" i="1"/>
  <c r="O2116" i="1" a="1"/>
  <c r="O2116" i="1"/>
  <c r="N2116" i="1"/>
  <c r="M2116" i="1"/>
  <c r="O2115" i="1" a="1"/>
  <c r="O2115" i="1"/>
  <c r="N2115" i="1"/>
  <c r="M2115" i="1"/>
  <c r="O2114" i="1" a="1"/>
  <c r="O2114" i="1"/>
  <c r="N2114" i="1"/>
  <c r="M2114" i="1"/>
  <c r="O2113" i="1" a="1"/>
  <c r="O2113" i="1"/>
  <c r="N2113" i="1"/>
  <c r="M2113" i="1"/>
  <c r="O2112" i="1" a="1"/>
  <c r="O2112" i="1"/>
  <c r="N2112" i="1"/>
  <c r="M2112" i="1"/>
  <c r="O2111" i="1" a="1"/>
  <c r="O2111" i="1"/>
  <c r="N2111" i="1"/>
  <c r="M2111" i="1"/>
  <c r="O2110" i="1" a="1"/>
  <c r="O2110" i="1"/>
  <c r="N2110" i="1"/>
  <c r="M2110" i="1"/>
  <c r="O2109" i="1" a="1"/>
  <c r="O2109" i="1"/>
  <c r="N2109" i="1"/>
  <c r="M2109" i="1"/>
  <c r="O2108" i="1" a="1"/>
  <c r="O2108" i="1"/>
  <c r="N2108" i="1"/>
  <c r="M2108" i="1"/>
  <c r="O2107" i="1" a="1"/>
  <c r="O2107" i="1"/>
  <c r="N2107" i="1"/>
  <c r="M2107" i="1"/>
  <c r="O2106" i="1" a="1"/>
  <c r="O2106" i="1"/>
  <c r="N2106" i="1"/>
  <c r="M2106" i="1"/>
  <c r="O2105" i="1" a="1"/>
  <c r="O2105" i="1"/>
  <c r="N2105" i="1"/>
  <c r="M2105" i="1"/>
  <c r="O2104" i="1" a="1"/>
  <c r="O2104" i="1"/>
  <c r="N2104" i="1"/>
  <c r="M2104" i="1"/>
  <c r="O2103" i="1" a="1"/>
  <c r="O2103" i="1"/>
  <c r="N2103" i="1"/>
  <c r="M2103" i="1"/>
  <c r="O2102" i="1" a="1"/>
  <c r="O2102" i="1"/>
  <c r="N2102" i="1"/>
  <c r="M2102" i="1"/>
  <c r="O2101" i="1" a="1"/>
  <c r="O2101" i="1"/>
  <c r="N2101" i="1"/>
  <c r="M2101" i="1"/>
  <c r="O2100" i="1" a="1"/>
  <c r="O2100" i="1"/>
  <c r="N2100" i="1"/>
  <c r="M2100" i="1"/>
  <c r="O2099" i="1" a="1"/>
  <c r="O2099" i="1"/>
  <c r="N2099" i="1"/>
  <c r="M2099" i="1"/>
  <c r="O2098" i="1" a="1"/>
  <c r="O2098" i="1"/>
  <c r="N2098" i="1"/>
  <c r="M2098" i="1"/>
  <c r="O2097" i="1" a="1"/>
  <c r="O2097" i="1"/>
  <c r="N2097" i="1"/>
  <c r="M2097" i="1"/>
  <c r="O2096" i="1" a="1"/>
  <c r="O2096" i="1"/>
  <c r="N2096" i="1"/>
  <c r="M2096" i="1"/>
  <c r="O2095" i="1" a="1"/>
  <c r="O2095" i="1"/>
  <c r="N2095" i="1"/>
  <c r="M2095" i="1"/>
  <c r="O2094" i="1" a="1"/>
  <c r="O2094" i="1"/>
  <c r="N2094" i="1"/>
  <c r="M2094" i="1"/>
  <c r="O2093" i="1" a="1"/>
  <c r="O2093" i="1"/>
  <c r="N2093" i="1"/>
  <c r="M2093" i="1"/>
  <c r="O2092" i="1" a="1"/>
  <c r="O2092" i="1"/>
  <c r="N2092" i="1"/>
  <c r="M2092" i="1"/>
  <c r="O2091" i="1" a="1"/>
  <c r="O2091" i="1"/>
  <c r="N2091" i="1"/>
  <c r="M2091" i="1"/>
  <c r="O2090" i="1" a="1"/>
  <c r="O2090" i="1"/>
  <c r="N2090" i="1"/>
  <c r="M2090" i="1"/>
  <c r="O2089" i="1" a="1"/>
  <c r="O2089" i="1"/>
  <c r="N2089" i="1"/>
  <c r="M2089" i="1"/>
  <c r="O2088" i="1" a="1"/>
  <c r="O2088" i="1"/>
  <c r="N2088" i="1"/>
  <c r="M2088" i="1"/>
  <c r="O2087" i="1" a="1"/>
  <c r="O2087" i="1"/>
  <c r="N2087" i="1"/>
  <c r="M2087" i="1"/>
  <c r="O2086" i="1" a="1"/>
  <c r="O2086" i="1"/>
  <c r="N2086" i="1"/>
  <c r="M2086" i="1"/>
  <c r="O2085" i="1" a="1"/>
  <c r="O2085" i="1"/>
  <c r="N2085" i="1"/>
  <c r="M2085" i="1"/>
  <c r="O2084" i="1" a="1"/>
  <c r="O2084" i="1"/>
  <c r="N2084" i="1"/>
  <c r="M2084" i="1"/>
  <c r="O2083" i="1" a="1"/>
  <c r="O2083" i="1"/>
  <c r="N2083" i="1"/>
  <c r="M2083" i="1"/>
  <c r="O2082" i="1" a="1"/>
  <c r="O2082" i="1"/>
  <c r="N2082" i="1"/>
  <c r="M2082" i="1"/>
  <c r="O2081" i="1" a="1"/>
  <c r="O2081" i="1"/>
  <c r="N2081" i="1"/>
  <c r="M2081" i="1"/>
  <c r="O2080" i="1" a="1"/>
  <c r="O2080" i="1"/>
  <c r="N2080" i="1"/>
  <c r="M2080" i="1"/>
  <c r="O2079" i="1" a="1"/>
  <c r="O2079" i="1"/>
  <c r="N2079" i="1"/>
  <c r="M2079" i="1"/>
  <c r="O2078" i="1" a="1"/>
  <c r="O2078" i="1"/>
  <c r="N2078" i="1"/>
  <c r="M2078" i="1"/>
  <c r="O2077" i="1" a="1"/>
  <c r="O2077" i="1"/>
  <c r="N2077" i="1"/>
  <c r="M2077" i="1"/>
  <c r="O2076" i="1" a="1"/>
  <c r="O2076" i="1"/>
  <c r="N2076" i="1"/>
  <c r="M2076" i="1"/>
  <c r="O2075" i="1" a="1"/>
  <c r="O2075" i="1"/>
  <c r="N2075" i="1"/>
  <c r="M2075" i="1"/>
  <c r="O2074" i="1" a="1"/>
  <c r="O2074" i="1"/>
  <c r="N2074" i="1"/>
  <c r="M2074" i="1"/>
  <c r="O2073" i="1" a="1"/>
  <c r="O2073" i="1"/>
  <c r="N2073" i="1"/>
  <c r="M2073" i="1"/>
  <c r="O2072" i="1" a="1"/>
  <c r="O2072" i="1"/>
  <c r="N2072" i="1"/>
  <c r="M2072" i="1"/>
  <c r="O2071" i="1" a="1"/>
  <c r="O2071" i="1"/>
  <c r="N2071" i="1"/>
  <c r="M2071" i="1"/>
  <c r="O2070" i="1" a="1"/>
  <c r="O2070" i="1"/>
  <c r="N2070" i="1"/>
  <c r="M2070" i="1"/>
  <c r="O2069" i="1" a="1"/>
  <c r="O2069" i="1"/>
  <c r="N2069" i="1"/>
  <c r="M2069" i="1"/>
  <c r="O2068" i="1" a="1"/>
  <c r="O2068" i="1"/>
  <c r="N2068" i="1"/>
  <c r="M2068" i="1"/>
  <c r="O2067" i="1" a="1"/>
  <c r="O2067" i="1"/>
  <c r="N2067" i="1"/>
  <c r="M2067" i="1"/>
  <c r="O2066" i="1" a="1"/>
  <c r="O2066" i="1"/>
  <c r="N2066" i="1"/>
  <c r="M2066" i="1"/>
  <c r="O2065" i="1" a="1"/>
  <c r="O2065" i="1"/>
  <c r="N2065" i="1"/>
  <c r="M2065" i="1"/>
  <c r="O2064" i="1" a="1"/>
  <c r="O2064" i="1"/>
  <c r="N2064" i="1"/>
  <c r="M2064" i="1"/>
  <c r="O2063" i="1" a="1"/>
  <c r="O2063" i="1"/>
  <c r="N2063" i="1"/>
  <c r="M2063" i="1"/>
  <c r="O2062" i="1" a="1"/>
  <c r="O2062" i="1"/>
  <c r="N2062" i="1"/>
  <c r="M2062" i="1"/>
  <c r="O2061" i="1" a="1"/>
  <c r="O2061" i="1"/>
  <c r="N2061" i="1"/>
  <c r="M2061" i="1"/>
  <c r="O2060" i="1" a="1"/>
  <c r="O2060" i="1"/>
  <c r="N2060" i="1"/>
  <c r="M2060" i="1"/>
  <c r="O2059" i="1" a="1"/>
  <c r="O2059" i="1"/>
  <c r="N2059" i="1"/>
  <c r="M2059" i="1"/>
  <c r="O2058" i="1" a="1"/>
  <c r="O2058" i="1"/>
  <c r="N2058" i="1"/>
  <c r="M2058" i="1"/>
  <c r="O2057" i="1" a="1"/>
  <c r="O2057" i="1"/>
  <c r="N2057" i="1"/>
  <c r="M2057" i="1"/>
  <c r="O2056" i="1" a="1"/>
  <c r="O2056" i="1"/>
  <c r="N2056" i="1"/>
  <c r="M2056" i="1"/>
  <c r="O2055" i="1" a="1"/>
  <c r="O2055" i="1"/>
  <c r="N2055" i="1"/>
  <c r="M2055" i="1"/>
  <c r="O2054" i="1" a="1"/>
  <c r="O2054" i="1"/>
  <c r="N2054" i="1"/>
  <c r="M2054" i="1"/>
  <c r="O2053" i="1" a="1"/>
  <c r="O2053" i="1"/>
  <c r="N2053" i="1"/>
  <c r="M2053" i="1"/>
  <c r="O2052" i="1" a="1"/>
  <c r="O2052" i="1"/>
  <c r="N2052" i="1"/>
  <c r="M2052" i="1"/>
  <c r="O2051" i="1" a="1"/>
  <c r="O2051" i="1"/>
  <c r="N2051" i="1"/>
  <c r="M2051" i="1"/>
  <c r="O2050" i="1" a="1"/>
  <c r="O2050" i="1"/>
  <c r="N2050" i="1"/>
  <c r="M2050" i="1"/>
  <c r="O2049" i="1" a="1"/>
  <c r="O2049" i="1"/>
  <c r="N2049" i="1"/>
  <c r="M2049" i="1"/>
  <c r="O2048" i="1" a="1"/>
  <c r="O2048" i="1"/>
  <c r="N2048" i="1"/>
  <c r="M2048" i="1"/>
  <c r="O2047" i="1" a="1"/>
  <c r="O2047" i="1"/>
  <c r="N2047" i="1"/>
  <c r="M2047" i="1"/>
  <c r="O2046" i="1" a="1"/>
  <c r="O2046" i="1"/>
  <c r="N2046" i="1"/>
  <c r="M2046" i="1"/>
  <c r="O2045" i="1" a="1"/>
  <c r="O2045" i="1"/>
  <c r="N2045" i="1"/>
  <c r="M2045" i="1"/>
  <c r="O2044" i="1" a="1"/>
  <c r="O2044" i="1"/>
  <c r="N2044" i="1"/>
  <c r="M2044" i="1"/>
  <c r="O2043" i="1" a="1"/>
  <c r="O2043" i="1"/>
  <c r="N2043" i="1"/>
  <c r="M2043" i="1"/>
  <c r="O2042" i="1" a="1"/>
  <c r="O2042" i="1"/>
  <c r="N2042" i="1"/>
  <c r="M2042" i="1"/>
  <c r="O2041" i="1" a="1"/>
  <c r="O2041" i="1"/>
  <c r="N2041" i="1"/>
  <c r="M2041" i="1"/>
  <c r="O2040" i="1" a="1"/>
  <c r="O2040" i="1"/>
  <c r="N2040" i="1"/>
  <c r="M2040" i="1"/>
  <c r="O2039" i="1" a="1"/>
  <c r="O2039" i="1"/>
  <c r="N2039" i="1"/>
  <c r="M2039" i="1"/>
  <c r="O2038" i="1" a="1"/>
  <c r="O2038" i="1"/>
  <c r="N2038" i="1"/>
  <c r="M2038" i="1"/>
  <c r="O2037" i="1" a="1"/>
  <c r="O2037" i="1"/>
  <c r="N2037" i="1"/>
  <c r="M2037" i="1"/>
  <c r="O2036" i="1" a="1"/>
  <c r="O2036" i="1"/>
  <c r="N2036" i="1"/>
  <c r="M2036" i="1"/>
  <c r="O2035" i="1" a="1"/>
  <c r="O2035" i="1"/>
  <c r="N2035" i="1"/>
  <c r="M2035" i="1"/>
  <c r="O2034" i="1" a="1"/>
  <c r="O2034" i="1"/>
  <c r="N2034" i="1"/>
  <c r="M2034" i="1"/>
  <c r="O2033" i="1" a="1"/>
  <c r="O2033" i="1"/>
  <c r="N2033" i="1"/>
  <c r="M2033" i="1"/>
  <c r="O2032" i="1" a="1"/>
  <c r="O2032" i="1"/>
  <c r="N2032" i="1"/>
  <c r="M2032" i="1"/>
  <c r="O2031" i="1" a="1"/>
  <c r="O2031" i="1"/>
  <c r="N2031" i="1"/>
  <c r="M2031" i="1"/>
  <c r="O2030" i="1" a="1"/>
  <c r="O2030" i="1"/>
  <c r="N2030" i="1"/>
  <c r="M2030" i="1"/>
  <c r="O2029" i="1" a="1"/>
  <c r="O2029" i="1"/>
  <c r="N2029" i="1"/>
  <c r="M2029" i="1"/>
  <c r="O2028" i="1" a="1"/>
  <c r="O2028" i="1"/>
  <c r="N2028" i="1"/>
  <c r="M2028" i="1"/>
  <c r="O2027" i="1" a="1"/>
  <c r="O2027" i="1"/>
  <c r="N2027" i="1"/>
  <c r="M2027" i="1"/>
  <c r="O2026" i="1" a="1"/>
  <c r="O2026" i="1"/>
  <c r="N2026" i="1"/>
  <c r="M2026" i="1"/>
  <c r="O2025" i="1" a="1"/>
  <c r="O2025" i="1"/>
  <c r="N2025" i="1"/>
  <c r="M2025" i="1"/>
  <c r="O2024" i="1" a="1"/>
  <c r="O2024" i="1"/>
  <c r="N2024" i="1"/>
  <c r="M2024" i="1"/>
  <c r="O2023" i="1" a="1"/>
  <c r="O2023" i="1"/>
  <c r="N2023" i="1"/>
  <c r="M2023" i="1"/>
  <c r="O2022" i="1" a="1"/>
  <c r="O2022" i="1"/>
  <c r="N2022" i="1"/>
  <c r="M2022" i="1"/>
  <c r="O2021" i="1" a="1"/>
  <c r="O2021" i="1"/>
  <c r="N2021" i="1"/>
  <c r="M2021" i="1"/>
  <c r="O2020" i="1" a="1"/>
  <c r="O2020" i="1"/>
  <c r="N2020" i="1"/>
  <c r="M2020" i="1"/>
  <c r="O2019" i="1" a="1"/>
  <c r="O2019" i="1"/>
  <c r="N2019" i="1"/>
  <c r="M2019" i="1"/>
  <c r="O2018" i="1" a="1"/>
  <c r="O2018" i="1"/>
  <c r="N2018" i="1"/>
  <c r="M2018" i="1"/>
  <c r="O2017" i="1" a="1"/>
  <c r="O2017" i="1"/>
  <c r="N2017" i="1"/>
  <c r="M2017" i="1"/>
  <c r="O2016" i="1" a="1"/>
  <c r="O2016" i="1"/>
  <c r="N2016" i="1"/>
  <c r="M2016" i="1"/>
  <c r="O2015" i="1" a="1"/>
  <c r="O2015" i="1"/>
  <c r="N2015" i="1"/>
  <c r="M2015" i="1"/>
  <c r="O2014" i="1" a="1"/>
  <c r="O2014" i="1"/>
  <c r="N2014" i="1"/>
  <c r="M2014" i="1"/>
  <c r="O2013" i="1" a="1"/>
  <c r="O2013" i="1"/>
  <c r="N2013" i="1"/>
  <c r="M2013" i="1"/>
  <c r="O2012" i="1" a="1"/>
  <c r="O2012" i="1"/>
  <c r="N2012" i="1"/>
  <c r="M2012" i="1"/>
  <c r="O2011" i="1" a="1"/>
  <c r="O2011" i="1"/>
  <c r="N2011" i="1"/>
  <c r="M2011" i="1"/>
  <c r="O2010" i="1" a="1"/>
  <c r="O2010" i="1"/>
  <c r="N2010" i="1"/>
  <c r="M2010" i="1"/>
  <c r="O2009" i="1" a="1"/>
  <c r="O2009" i="1"/>
  <c r="N2009" i="1"/>
  <c r="M2009" i="1"/>
  <c r="O2008" i="1" a="1"/>
  <c r="O2008" i="1"/>
  <c r="N2008" i="1"/>
  <c r="M2008" i="1"/>
  <c r="O2007" i="1" a="1"/>
  <c r="O2007" i="1"/>
  <c r="N2007" i="1"/>
  <c r="M2007" i="1"/>
  <c r="O2006" i="1" a="1"/>
  <c r="O2006" i="1"/>
  <c r="N2006" i="1"/>
  <c r="M2006" i="1"/>
  <c r="O2005" i="1" a="1"/>
  <c r="O2005" i="1"/>
  <c r="N2005" i="1"/>
  <c r="M2005" i="1"/>
  <c r="O2004" i="1" a="1"/>
  <c r="O2004" i="1"/>
  <c r="N2004" i="1"/>
  <c r="M2004" i="1"/>
  <c r="O2003" i="1" a="1"/>
  <c r="O2003" i="1"/>
  <c r="N2003" i="1"/>
  <c r="M2003" i="1"/>
  <c r="O2002" i="1" a="1"/>
  <c r="O2002" i="1"/>
  <c r="N2002" i="1"/>
  <c r="M2002" i="1"/>
  <c r="O2001" i="1" a="1"/>
  <c r="O2001" i="1"/>
  <c r="N2001" i="1"/>
  <c r="M2001" i="1"/>
  <c r="O2000" i="1" a="1"/>
  <c r="O2000" i="1"/>
  <c r="N2000" i="1"/>
  <c r="M2000" i="1"/>
  <c r="O1999" i="1" a="1"/>
  <c r="O1999" i="1"/>
  <c r="N1999" i="1"/>
  <c r="M1999" i="1"/>
  <c r="O1998" i="1" a="1"/>
  <c r="O1998" i="1"/>
  <c r="N1998" i="1"/>
  <c r="M1998" i="1"/>
  <c r="O1997" i="1" a="1"/>
  <c r="O1997" i="1"/>
  <c r="N1997" i="1"/>
  <c r="M1997" i="1"/>
  <c r="O1996" i="1" a="1"/>
  <c r="O1996" i="1"/>
  <c r="N1996" i="1"/>
  <c r="M1996" i="1"/>
  <c r="O1995" i="1" a="1"/>
  <c r="O1995" i="1"/>
  <c r="N1995" i="1"/>
  <c r="M1995" i="1"/>
  <c r="O1994" i="1" a="1"/>
  <c r="O1994" i="1"/>
  <c r="N1994" i="1"/>
  <c r="M1994" i="1"/>
  <c r="O1993" i="1" a="1"/>
  <c r="O1993" i="1"/>
  <c r="N1993" i="1"/>
  <c r="M1993" i="1"/>
  <c r="O1992" i="1" a="1"/>
  <c r="O1992" i="1"/>
  <c r="N1992" i="1"/>
  <c r="M1992" i="1"/>
  <c r="O1991" i="1" a="1"/>
  <c r="O1991" i="1"/>
  <c r="N1991" i="1"/>
  <c r="M1991" i="1"/>
  <c r="O1990" i="1" a="1"/>
  <c r="O1990" i="1"/>
  <c r="N1990" i="1"/>
  <c r="M1990" i="1"/>
  <c r="O1989" i="1" a="1"/>
  <c r="O1989" i="1"/>
  <c r="N1989" i="1"/>
  <c r="M1989" i="1"/>
  <c r="O1988" i="1" a="1"/>
  <c r="O1988" i="1"/>
  <c r="N1988" i="1"/>
  <c r="M1988" i="1"/>
  <c r="O1987" i="1" a="1"/>
  <c r="O1987" i="1"/>
  <c r="N1987" i="1"/>
  <c r="M1987" i="1"/>
  <c r="O1986" i="1" a="1"/>
  <c r="O1986" i="1"/>
  <c r="N1986" i="1"/>
  <c r="M1986" i="1"/>
  <c r="O1985" i="1" a="1"/>
  <c r="O1985" i="1"/>
  <c r="N1985" i="1"/>
  <c r="M1985" i="1"/>
  <c r="O1984" i="1" a="1"/>
  <c r="O1984" i="1"/>
  <c r="N1984" i="1"/>
  <c r="M1984" i="1"/>
  <c r="O1983" i="1" a="1"/>
  <c r="O1983" i="1"/>
  <c r="N1983" i="1"/>
  <c r="M1983" i="1"/>
  <c r="O1982" i="1" a="1"/>
  <c r="O1982" i="1"/>
  <c r="N1982" i="1"/>
  <c r="M1982" i="1"/>
  <c r="O1981" i="1" a="1"/>
  <c r="O1981" i="1"/>
  <c r="N1981" i="1"/>
  <c r="M1981" i="1"/>
  <c r="O1980" i="1" a="1"/>
  <c r="O1980" i="1"/>
  <c r="N1980" i="1"/>
  <c r="M1980" i="1"/>
  <c r="O1979" i="1" a="1"/>
  <c r="O1979" i="1"/>
  <c r="N1979" i="1"/>
  <c r="M1979" i="1"/>
  <c r="O1978" i="1" a="1"/>
  <c r="O1978" i="1"/>
  <c r="N1978" i="1"/>
  <c r="M1978" i="1"/>
  <c r="O1977" i="1" a="1"/>
  <c r="O1977" i="1"/>
  <c r="N1977" i="1"/>
  <c r="M1977" i="1"/>
  <c r="O1976" i="1" a="1"/>
  <c r="O1976" i="1"/>
  <c r="N1976" i="1"/>
  <c r="M1976" i="1"/>
  <c r="O1975" i="1" a="1"/>
  <c r="O1975" i="1"/>
  <c r="N1975" i="1"/>
  <c r="M1975" i="1"/>
  <c r="O1974" i="1" a="1"/>
  <c r="O1974" i="1"/>
  <c r="N1974" i="1"/>
  <c r="M1974" i="1"/>
  <c r="O1973" i="1" a="1"/>
  <c r="O1973" i="1"/>
  <c r="N1973" i="1"/>
  <c r="M1973" i="1"/>
  <c r="O1972" i="1" a="1"/>
  <c r="O1972" i="1"/>
  <c r="N1972" i="1"/>
  <c r="M1972" i="1"/>
  <c r="O1971" i="1" a="1"/>
  <c r="O1971" i="1"/>
  <c r="N1971" i="1"/>
  <c r="M1971" i="1"/>
  <c r="O1970" i="1" a="1"/>
  <c r="O1970" i="1"/>
  <c r="N1970" i="1"/>
  <c r="M1970" i="1"/>
  <c r="O1969" i="1" a="1"/>
  <c r="O1969" i="1"/>
  <c r="N1969" i="1"/>
  <c r="M1969" i="1"/>
  <c r="O1968" i="1" a="1"/>
  <c r="O1968" i="1"/>
  <c r="N1968" i="1"/>
  <c r="M1968" i="1"/>
  <c r="O1967" i="1" a="1"/>
  <c r="O1967" i="1"/>
  <c r="N1967" i="1"/>
  <c r="M1967" i="1"/>
  <c r="O1966" i="1" a="1"/>
  <c r="O1966" i="1"/>
  <c r="N1966" i="1"/>
  <c r="M1966" i="1"/>
  <c r="O1965" i="1" a="1"/>
  <c r="O1965" i="1"/>
  <c r="N1965" i="1"/>
  <c r="M1965" i="1"/>
  <c r="O1964" i="1" a="1"/>
  <c r="O1964" i="1"/>
  <c r="N1964" i="1"/>
  <c r="M1964" i="1"/>
  <c r="O1963" i="1" a="1"/>
  <c r="O1963" i="1"/>
  <c r="N1963" i="1"/>
  <c r="M1963" i="1"/>
  <c r="O1962" i="1" a="1"/>
  <c r="O1962" i="1"/>
  <c r="N1962" i="1"/>
  <c r="M1962" i="1"/>
  <c r="O1961" i="1" a="1"/>
  <c r="O1961" i="1"/>
  <c r="N1961" i="1"/>
  <c r="M1961" i="1"/>
  <c r="O1960" i="1" a="1"/>
  <c r="O1960" i="1"/>
  <c r="N1960" i="1"/>
  <c r="M1960" i="1"/>
  <c r="O1959" i="1" a="1"/>
  <c r="O1959" i="1"/>
  <c r="N1959" i="1"/>
  <c r="M1959" i="1"/>
  <c r="O1958" i="1" a="1"/>
  <c r="O1958" i="1"/>
  <c r="N1958" i="1"/>
  <c r="M1958" i="1"/>
  <c r="O1957" i="1" a="1"/>
  <c r="O1957" i="1"/>
  <c r="N1957" i="1"/>
  <c r="M1957" i="1"/>
  <c r="O1956" i="1" a="1"/>
  <c r="O1956" i="1"/>
  <c r="N1956" i="1"/>
  <c r="M1956" i="1"/>
  <c r="O1955" i="1" a="1"/>
  <c r="O1955" i="1"/>
  <c r="N1955" i="1"/>
  <c r="M1955" i="1"/>
  <c r="O1954" i="1" a="1"/>
  <c r="O1954" i="1"/>
  <c r="N1954" i="1"/>
  <c r="M1954" i="1"/>
  <c r="O1953" i="1" a="1"/>
  <c r="O1953" i="1"/>
  <c r="N1953" i="1"/>
  <c r="M1953" i="1"/>
  <c r="O1952" i="1" a="1"/>
  <c r="O1952" i="1"/>
  <c r="N1952" i="1"/>
  <c r="M1952" i="1"/>
  <c r="O1951" i="1" a="1"/>
  <c r="O1951" i="1"/>
  <c r="N1951" i="1"/>
  <c r="M1951" i="1"/>
  <c r="O1950" i="1" a="1"/>
  <c r="O1950" i="1"/>
  <c r="N1950" i="1"/>
  <c r="M1950" i="1"/>
  <c r="O1949" i="1" a="1"/>
  <c r="O1949" i="1"/>
  <c r="N1949" i="1"/>
  <c r="M1949" i="1"/>
  <c r="O1948" i="1" a="1"/>
  <c r="O1948" i="1"/>
  <c r="N1948" i="1"/>
  <c r="M1948" i="1"/>
  <c r="O1947" i="1" a="1"/>
  <c r="O1947" i="1"/>
  <c r="N1947" i="1"/>
  <c r="M1947" i="1"/>
  <c r="O1946" i="1" a="1"/>
  <c r="O1946" i="1"/>
  <c r="N1946" i="1"/>
  <c r="M1946" i="1"/>
  <c r="O1945" i="1" a="1"/>
  <c r="O1945" i="1"/>
  <c r="N1945" i="1"/>
  <c r="M1945" i="1"/>
  <c r="O1944" i="1" a="1"/>
  <c r="O1944" i="1"/>
  <c r="N1944" i="1"/>
  <c r="M1944" i="1"/>
  <c r="O1943" i="1" a="1"/>
  <c r="O1943" i="1"/>
  <c r="N1943" i="1"/>
  <c r="M1943" i="1"/>
  <c r="O1942" i="1" a="1"/>
  <c r="O1942" i="1"/>
  <c r="N1942" i="1"/>
  <c r="M1942" i="1"/>
  <c r="O1941" i="1" a="1"/>
  <c r="O1941" i="1"/>
  <c r="N1941" i="1"/>
  <c r="M1941" i="1"/>
  <c r="O1940" i="1" a="1"/>
  <c r="O1940" i="1"/>
  <c r="N1940" i="1"/>
  <c r="M1940" i="1"/>
  <c r="O1939" i="1" a="1"/>
  <c r="O1939" i="1"/>
  <c r="N1939" i="1"/>
  <c r="M1939" i="1"/>
  <c r="O1938" i="1" a="1"/>
  <c r="O1938" i="1"/>
  <c r="N1938" i="1"/>
  <c r="M1938" i="1"/>
  <c r="O1937" i="1" a="1"/>
  <c r="O1937" i="1"/>
  <c r="N1937" i="1"/>
  <c r="M1937" i="1"/>
  <c r="O1936" i="1" a="1"/>
  <c r="O1936" i="1"/>
  <c r="N1936" i="1"/>
  <c r="M1936" i="1"/>
  <c r="O1935" i="1" a="1"/>
  <c r="O1935" i="1"/>
  <c r="N1935" i="1"/>
  <c r="M1935" i="1"/>
  <c r="O1934" i="1" a="1"/>
  <c r="O1934" i="1"/>
  <c r="N1934" i="1"/>
  <c r="M1934" i="1"/>
  <c r="O1933" i="1" a="1"/>
  <c r="O1933" i="1"/>
  <c r="N1933" i="1"/>
  <c r="M1933" i="1"/>
  <c r="O1932" i="1" a="1"/>
  <c r="O1932" i="1"/>
  <c r="N1932" i="1"/>
  <c r="M1932" i="1"/>
  <c r="O1931" i="1" a="1"/>
  <c r="O1931" i="1"/>
  <c r="N1931" i="1"/>
  <c r="M1931" i="1"/>
  <c r="O1930" i="1" a="1"/>
  <c r="O1930" i="1"/>
  <c r="N1930" i="1"/>
  <c r="M1930" i="1"/>
  <c r="O1929" i="1" a="1"/>
  <c r="O1929" i="1"/>
  <c r="N1929" i="1"/>
  <c r="M1929" i="1"/>
  <c r="O1928" i="1" a="1"/>
  <c r="O1928" i="1"/>
  <c r="N1928" i="1"/>
  <c r="M1928" i="1"/>
  <c r="O1927" i="1" a="1"/>
  <c r="O1927" i="1"/>
  <c r="N1927" i="1"/>
  <c r="M1927" i="1"/>
  <c r="O1926" i="1" a="1"/>
  <c r="O1926" i="1"/>
  <c r="N1926" i="1"/>
  <c r="M1926" i="1"/>
  <c r="O1925" i="1" a="1"/>
  <c r="O1925" i="1"/>
  <c r="N1925" i="1"/>
  <c r="M1925" i="1"/>
  <c r="O1924" i="1" a="1"/>
  <c r="O1924" i="1"/>
  <c r="N1924" i="1"/>
  <c r="M1924" i="1"/>
  <c r="O1923" i="1" a="1"/>
  <c r="O1923" i="1"/>
  <c r="N1923" i="1"/>
  <c r="M1923" i="1"/>
  <c r="O1922" i="1" a="1"/>
  <c r="O1922" i="1"/>
  <c r="N1922" i="1"/>
  <c r="M1922" i="1"/>
  <c r="O1921" i="1" a="1"/>
  <c r="O1921" i="1"/>
  <c r="N1921" i="1"/>
  <c r="M1921" i="1"/>
  <c r="O1920" i="1" a="1"/>
  <c r="O1920" i="1"/>
  <c r="N1920" i="1"/>
  <c r="M1920" i="1"/>
  <c r="O1919" i="1" a="1"/>
  <c r="O1919" i="1"/>
  <c r="N1919" i="1"/>
  <c r="M1919" i="1"/>
  <c r="O1918" i="1" a="1"/>
  <c r="O1918" i="1"/>
  <c r="N1918" i="1"/>
  <c r="M1918" i="1"/>
  <c r="O1917" i="1" a="1"/>
  <c r="O1917" i="1"/>
  <c r="N1917" i="1"/>
  <c r="M1917" i="1"/>
  <c r="O1916" i="1" a="1"/>
  <c r="O1916" i="1"/>
  <c r="N1916" i="1"/>
  <c r="M1916" i="1"/>
  <c r="O1915" i="1" a="1"/>
  <c r="O1915" i="1"/>
  <c r="N1915" i="1"/>
  <c r="M1915" i="1"/>
  <c r="O1914" i="1" a="1"/>
  <c r="O1914" i="1"/>
  <c r="N1914" i="1"/>
  <c r="M1914" i="1"/>
  <c r="O1913" i="1" a="1"/>
  <c r="O1913" i="1"/>
  <c r="N1913" i="1"/>
  <c r="M1913" i="1"/>
  <c r="O1912" i="1" a="1"/>
  <c r="O1912" i="1"/>
  <c r="N1912" i="1"/>
  <c r="M1912" i="1"/>
  <c r="O1911" i="1" a="1"/>
  <c r="O1911" i="1"/>
  <c r="N1911" i="1"/>
  <c r="M1911" i="1"/>
  <c r="O1910" i="1" a="1"/>
  <c r="O1910" i="1"/>
  <c r="N1910" i="1"/>
  <c r="M1910" i="1"/>
  <c r="O1909" i="1" a="1"/>
  <c r="O1909" i="1"/>
  <c r="N1909" i="1"/>
  <c r="M1909" i="1"/>
  <c r="O1908" i="1" a="1"/>
  <c r="O1908" i="1"/>
  <c r="N1908" i="1"/>
  <c r="M1908" i="1"/>
  <c r="O1907" i="1" a="1"/>
  <c r="O1907" i="1"/>
  <c r="N1907" i="1"/>
  <c r="M1907" i="1"/>
  <c r="O1906" i="1" a="1"/>
  <c r="O1906" i="1"/>
  <c r="N1906" i="1"/>
  <c r="M1906" i="1"/>
  <c r="O1905" i="1" a="1"/>
  <c r="O1905" i="1"/>
  <c r="N1905" i="1"/>
  <c r="M1905" i="1"/>
  <c r="O1904" i="1" a="1"/>
  <c r="O1904" i="1"/>
  <c r="N1904" i="1"/>
  <c r="M1904" i="1"/>
  <c r="O1903" i="1" a="1"/>
  <c r="O1903" i="1"/>
  <c r="N1903" i="1"/>
  <c r="M1903" i="1"/>
  <c r="O1902" i="1" a="1"/>
  <c r="O1902" i="1"/>
  <c r="N1902" i="1"/>
  <c r="M1902" i="1"/>
  <c r="O1901" i="1" a="1"/>
  <c r="O1901" i="1"/>
  <c r="N1901" i="1"/>
  <c r="M1901" i="1"/>
  <c r="O1900" i="1" a="1"/>
  <c r="O1900" i="1"/>
  <c r="N1900" i="1"/>
  <c r="M1900" i="1"/>
  <c r="O1899" i="1" a="1"/>
  <c r="O1899" i="1"/>
  <c r="N1899" i="1"/>
  <c r="M1899" i="1"/>
  <c r="O1898" i="1" a="1"/>
  <c r="O1898" i="1"/>
  <c r="N1898" i="1"/>
  <c r="M1898" i="1"/>
  <c r="O1897" i="1" a="1"/>
  <c r="O1897" i="1"/>
  <c r="N1897" i="1"/>
  <c r="M1897" i="1"/>
  <c r="O1896" i="1" a="1"/>
  <c r="O1896" i="1"/>
  <c r="N1896" i="1"/>
  <c r="M1896" i="1"/>
  <c r="O1895" i="1" a="1"/>
  <c r="O1895" i="1"/>
  <c r="N1895" i="1"/>
  <c r="M1895" i="1"/>
  <c r="O1894" i="1" a="1"/>
  <c r="O1894" i="1"/>
  <c r="N1894" i="1"/>
  <c r="M1894" i="1"/>
  <c r="O1893" i="1" a="1"/>
  <c r="O1893" i="1"/>
  <c r="N1893" i="1"/>
  <c r="M1893" i="1"/>
  <c r="O1892" i="1" a="1"/>
  <c r="O1892" i="1"/>
  <c r="N1892" i="1"/>
  <c r="M1892" i="1"/>
  <c r="O1891" i="1" a="1"/>
  <c r="O1891" i="1"/>
  <c r="N1891" i="1"/>
  <c r="M1891" i="1"/>
  <c r="O1890" i="1" a="1"/>
  <c r="O1890" i="1"/>
  <c r="N1890" i="1"/>
  <c r="M1890" i="1"/>
  <c r="O1889" i="1" a="1"/>
  <c r="O1889" i="1"/>
  <c r="N1889" i="1"/>
  <c r="M1889" i="1"/>
  <c r="O1888" i="1" a="1"/>
  <c r="O1888" i="1"/>
  <c r="N1888" i="1"/>
  <c r="M1888" i="1"/>
  <c r="O1887" i="1" a="1"/>
  <c r="O1887" i="1"/>
  <c r="N1887" i="1"/>
  <c r="M1887" i="1"/>
  <c r="O1886" i="1" a="1"/>
  <c r="O1886" i="1"/>
  <c r="N1886" i="1"/>
  <c r="M1886" i="1"/>
  <c r="O1885" i="1" a="1"/>
  <c r="O1885" i="1"/>
  <c r="N1885" i="1"/>
  <c r="M1885" i="1"/>
  <c r="O1884" i="1" a="1"/>
  <c r="O1884" i="1"/>
  <c r="N1884" i="1"/>
  <c r="M1884" i="1"/>
  <c r="O1883" i="1" a="1"/>
  <c r="O1883" i="1"/>
  <c r="N1883" i="1"/>
  <c r="M1883" i="1"/>
  <c r="O1882" i="1" a="1"/>
  <c r="O1882" i="1"/>
  <c r="N1882" i="1"/>
  <c r="M1882" i="1"/>
  <c r="O1881" i="1" a="1"/>
  <c r="O1881" i="1"/>
  <c r="N1881" i="1"/>
  <c r="M1881" i="1"/>
  <c r="O1880" i="1" a="1"/>
  <c r="O1880" i="1"/>
  <c r="N1880" i="1"/>
  <c r="M1880" i="1"/>
  <c r="O1879" i="1" a="1"/>
  <c r="O1879" i="1"/>
  <c r="N1879" i="1"/>
  <c r="M1879" i="1"/>
  <c r="O1878" i="1" a="1"/>
  <c r="O1878" i="1"/>
  <c r="N1878" i="1"/>
  <c r="M1878" i="1"/>
  <c r="O1877" i="1" a="1"/>
  <c r="O1877" i="1"/>
  <c r="N1877" i="1"/>
  <c r="M1877" i="1"/>
  <c r="O1876" i="1" a="1"/>
  <c r="O1876" i="1"/>
  <c r="N1876" i="1"/>
  <c r="M1876" i="1"/>
  <c r="O1875" i="1" a="1"/>
  <c r="O1875" i="1"/>
  <c r="N1875" i="1"/>
  <c r="M1875" i="1"/>
  <c r="O1874" i="1" a="1"/>
  <c r="O1874" i="1"/>
  <c r="N1874" i="1"/>
  <c r="M1874" i="1"/>
  <c r="O1873" i="1" a="1"/>
  <c r="O1873" i="1"/>
  <c r="N1873" i="1"/>
  <c r="M1873" i="1"/>
  <c r="O1872" i="1" a="1"/>
  <c r="O1872" i="1"/>
  <c r="N1872" i="1"/>
  <c r="M1872" i="1"/>
  <c r="O1871" i="1" a="1"/>
  <c r="O1871" i="1"/>
  <c r="N1871" i="1"/>
  <c r="M1871" i="1"/>
  <c r="O1870" i="1" a="1"/>
  <c r="O1870" i="1"/>
  <c r="N1870" i="1"/>
  <c r="M1870" i="1"/>
  <c r="O1869" i="1" a="1"/>
  <c r="O1869" i="1"/>
  <c r="N1869" i="1"/>
  <c r="M1869" i="1"/>
  <c r="O1868" i="1" a="1"/>
  <c r="O1868" i="1"/>
  <c r="N1868" i="1"/>
  <c r="M1868" i="1"/>
  <c r="O1867" i="1" a="1"/>
  <c r="O1867" i="1"/>
  <c r="N1867" i="1"/>
  <c r="M1867" i="1"/>
  <c r="O1866" i="1" a="1"/>
  <c r="O1866" i="1"/>
  <c r="N1866" i="1"/>
  <c r="M1866" i="1"/>
  <c r="O1865" i="1" a="1"/>
  <c r="O1865" i="1"/>
  <c r="N1865" i="1"/>
  <c r="M1865" i="1"/>
  <c r="O1864" i="1" a="1"/>
  <c r="O1864" i="1"/>
  <c r="N1864" i="1"/>
  <c r="M1864" i="1"/>
  <c r="O1863" i="1" a="1"/>
  <c r="O1863" i="1"/>
  <c r="N1863" i="1"/>
  <c r="M1863" i="1"/>
  <c r="O1862" i="1" a="1"/>
  <c r="O1862" i="1"/>
  <c r="N1862" i="1"/>
  <c r="M1862" i="1"/>
  <c r="O1861" i="1" a="1"/>
  <c r="O1861" i="1"/>
  <c r="N1861" i="1"/>
  <c r="M1861" i="1"/>
  <c r="O1860" i="1" a="1"/>
  <c r="O1860" i="1"/>
  <c r="N1860" i="1"/>
  <c r="M1860" i="1"/>
  <c r="O1859" i="1" a="1"/>
  <c r="O1859" i="1"/>
  <c r="N1859" i="1"/>
  <c r="M1859" i="1"/>
  <c r="O1858" i="1" a="1"/>
  <c r="O1858" i="1"/>
  <c r="N1858" i="1"/>
  <c r="M1858" i="1"/>
  <c r="O1857" i="1" a="1"/>
  <c r="O1857" i="1"/>
  <c r="N1857" i="1"/>
  <c r="M1857" i="1"/>
  <c r="O1856" i="1" a="1"/>
  <c r="O1856" i="1"/>
  <c r="N1856" i="1"/>
  <c r="M1856" i="1"/>
  <c r="O1855" i="1" a="1"/>
  <c r="O1855" i="1"/>
  <c r="N1855" i="1"/>
  <c r="M1855" i="1"/>
  <c r="O1854" i="1" a="1"/>
  <c r="O1854" i="1"/>
  <c r="N1854" i="1"/>
  <c r="M1854" i="1"/>
  <c r="O1853" i="1" a="1"/>
  <c r="O1853" i="1"/>
  <c r="N1853" i="1"/>
  <c r="M1853" i="1"/>
  <c r="O1852" i="1" a="1"/>
  <c r="O1852" i="1"/>
  <c r="N1852" i="1"/>
  <c r="M1852" i="1"/>
  <c r="O1851" i="1" a="1"/>
  <c r="O1851" i="1"/>
  <c r="N1851" i="1"/>
  <c r="M1851" i="1"/>
  <c r="O1850" i="1" a="1"/>
  <c r="O1850" i="1"/>
  <c r="N1850" i="1"/>
  <c r="M1850" i="1"/>
  <c r="O1849" i="1" a="1"/>
  <c r="O1849" i="1"/>
  <c r="N1849" i="1"/>
  <c r="M1849" i="1"/>
  <c r="O1848" i="1" a="1"/>
  <c r="O1848" i="1"/>
  <c r="N1848" i="1"/>
  <c r="M1848" i="1"/>
  <c r="O1847" i="1" a="1"/>
  <c r="O1847" i="1"/>
  <c r="N1847" i="1"/>
  <c r="M1847" i="1"/>
  <c r="O1846" i="1" a="1"/>
  <c r="O1846" i="1"/>
  <c r="N1846" i="1"/>
  <c r="M1846" i="1"/>
  <c r="O1845" i="1" a="1"/>
  <c r="O1845" i="1"/>
  <c r="N1845" i="1"/>
  <c r="M1845" i="1"/>
  <c r="O1844" i="1" a="1"/>
  <c r="O1844" i="1"/>
  <c r="N1844" i="1"/>
  <c r="M1844" i="1"/>
  <c r="O1843" i="1" a="1"/>
  <c r="O1843" i="1"/>
  <c r="N1843" i="1"/>
  <c r="M1843" i="1"/>
  <c r="O1842" i="1" a="1"/>
  <c r="O1842" i="1"/>
  <c r="N1842" i="1"/>
  <c r="M1842" i="1"/>
  <c r="O1841" i="1" a="1"/>
  <c r="O1841" i="1"/>
  <c r="N1841" i="1"/>
  <c r="M1841" i="1"/>
  <c r="O1840" i="1" a="1"/>
  <c r="O1840" i="1"/>
  <c r="N1840" i="1"/>
  <c r="M1840" i="1"/>
  <c r="O1839" i="1" a="1"/>
  <c r="O1839" i="1"/>
  <c r="N1839" i="1"/>
  <c r="M1839" i="1"/>
  <c r="O1838" i="1" a="1"/>
  <c r="O1838" i="1"/>
  <c r="N1838" i="1"/>
  <c r="M1838" i="1"/>
  <c r="O1837" i="1" a="1"/>
  <c r="O1837" i="1"/>
  <c r="N1837" i="1"/>
  <c r="M1837" i="1"/>
  <c r="O1836" i="1" a="1"/>
  <c r="O1836" i="1"/>
  <c r="N1836" i="1"/>
  <c r="M1836" i="1"/>
  <c r="O1835" i="1" a="1"/>
  <c r="O1835" i="1"/>
  <c r="N1835" i="1"/>
  <c r="M1835" i="1"/>
  <c r="O1834" i="1" a="1"/>
  <c r="O1834" i="1"/>
  <c r="N1834" i="1"/>
  <c r="M1834" i="1"/>
  <c r="O1833" i="1" a="1"/>
  <c r="O1833" i="1"/>
  <c r="N1833" i="1"/>
  <c r="M1833" i="1"/>
  <c r="O1832" i="1" a="1"/>
  <c r="O1832" i="1"/>
  <c r="N1832" i="1"/>
  <c r="M1832" i="1"/>
  <c r="O1831" i="1" a="1"/>
  <c r="O1831" i="1"/>
  <c r="N1831" i="1"/>
  <c r="M1831" i="1"/>
  <c r="O1830" i="1" a="1"/>
  <c r="O1830" i="1"/>
  <c r="N1830" i="1"/>
  <c r="M1830" i="1"/>
  <c r="O1829" i="1" a="1"/>
  <c r="O1829" i="1"/>
  <c r="N1829" i="1"/>
  <c r="M1829" i="1"/>
  <c r="O1828" i="1" a="1"/>
  <c r="O1828" i="1"/>
  <c r="N1828" i="1"/>
  <c r="M1828" i="1"/>
  <c r="O1827" i="1" a="1"/>
  <c r="O1827" i="1"/>
  <c r="N1827" i="1"/>
  <c r="M1827" i="1"/>
  <c r="O1826" i="1" a="1"/>
  <c r="O1826" i="1"/>
  <c r="N1826" i="1"/>
  <c r="M1826" i="1"/>
  <c r="O1825" i="1" a="1"/>
  <c r="O1825" i="1"/>
  <c r="N1825" i="1"/>
  <c r="M1825" i="1"/>
  <c r="O1824" i="1" a="1"/>
  <c r="O1824" i="1"/>
  <c r="N1824" i="1"/>
  <c r="M1824" i="1"/>
  <c r="O1823" i="1" a="1"/>
  <c r="O1823" i="1"/>
  <c r="N1823" i="1"/>
  <c r="M1823" i="1"/>
  <c r="O1822" i="1" a="1"/>
  <c r="O1822" i="1"/>
  <c r="N1822" i="1"/>
  <c r="M1822" i="1"/>
  <c r="O1821" i="1" a="1"/>
  <c r="O1821" i="1"/>
  <c r="N1821" i="1"/>
  <c r="M1821" i="1"/>
  <c r="O1820" i="1" a="1"/>
  <c r="O1820" i="1"/>
  <c r="N1820" i="1"/>
  <c r="M1820" i="1"/>
  <c r="O1819" i="1" a="1"/>
  <c r="O1819" i="1"/>
  <c r="N1819" i="1"/>
  <c r="M1819" i="1"/>
  <c r="O1818" i="1" a="1"/>
  <c r="O1818" i="1"/>
  <c r="N1818" i="1"/>
  <c r="M1818" i="1"/>
  <c r="O1817" i="1" a="1"/>
  <c r="O1817" i="1"/>
  <c r="N1817" i="1"/>
  <c r="M1817" i="1"/>
  <c r="O1816" i="1" a="1"/>
  <c r="O1816" i="1"/>
  <c r="N1816" i="1"/>
  <c r="M1816" i="1"/>
  <c r="O1815" i="1" a="1"/>
  <c r="O1815" i="1"/>
  <c r="N1815" i="1"/>
  <c r="M1815" i="1"/>
  <c r="O1814" i="1" a="1"/>
  <c r="O1814" i="1"/>
  <c r="N1814" i="1"/>
  <c r="M1814" i="1"/>
  <c r="O1813" i="1" a="1"/>
  <c r="O1813" i="1"/>
  <c r="N1813" i="1"/>
  <c r="M1813" i="1"/>
  <c r="O1812" i="1" a="1"/>
  <c r="O1812" i="1"/>
  <c r="N1812" i="1"/>
  <c r="M1812" i="1"/>
  <c r="O1811" i="1" a="1"/>
  <c r="O1811" i="1"/>
  <c r="N1811" i="1"/>
  <c r="M1811" i="1"/>
  <c r="O1810" i="1" a="1"/>
  <c r="O1810" i="1"/>
  <c r="N1810" i="1"/>
  <c r="M1810" i="1"/>
  <c r="O1809" i="1" a="1"/>
  <c r="O1809" i="1"/>
  <c r="N1809" i="1"/>
  <c r="M1809" i="1"/>
  <c r="O1808" i="1" a="1"/>
  <c r="O1808" i="1"/>
  <c r="N1808" i="1"/>
  <c r="M1808" i="1"/>
  <c r="O1807" i="1" a="1"/>
  <c r="O1807" i="1"/>
  <c r="N1807" i="1"/>
  <c r="M1807" i="1"/>
  <c r="O1806" i="1" a="1"/>
  <c r="O1806" i="1"/>
  <c r="N1806" i="1"/>
  <c r="M1806" i="1"/>
  <c r="O1805" i="1" a="1"/>
  <c r="O1805" i="1"/>
  <c r="N1805" i="1"/>
  <c r="M1805" i="1"/>
  <c r="O1804" i="1" a="1"/>
  <c r="O1804" i="1"/>
  <c r="N1804" i="1"/>
  <c r="M1804" i="1"/>
  <c r="O1803" i="1" a="1"/>
  <c r="O1803" i="1"/>
  <c r="N1803" i="1"/>
  <c r="M1803" i="1"/>
  <c r="O1802" i="1" a="1"/>
  <c r="O1802" i="1"/>
  <c r="N1802" i="1"/>
  <c r="M1802" i="1"/>
  <c r="O1801" i="1" a="1"/>
  <c r="O1801" i="1"/>
  <c r="N1801" i="1"/>
  <c r="M1801" i="1"/>
  <c r="O1800" i="1" a="1"/>
  <c r="O1800" i="1"/>
  <c r="N1800" i="1"/>
  <c r="M1800" i="1"/>
  <c r="O1799" i="1" a="1"/>
  <c r="O1799" i="1"/>
  <c r="N1799" i="1"/>
  <c r="M1799" i="1"/>
  <c r="O1798" i="1" a="1"/>
  <c r="O1798" i="1"/>
  <c r="N1798" i="1"/>
  <c r="M1798" i="1"/>
  <c r="O1797" i="1" a="1"/>
  <c r="O1797" i="1"/>
  <c r="N1797" i="1"/>
  <c r="M1797" i="1"/>
  <c r="O1796" i="1" a="1"/>
  <c r="O1796" i="1"/>
  <c r="N1796" i="1"/>
  <c r="M1796" i="1"/>
  <c r="O1795" i="1" a="1"/>
  <c r="O1795" i="1"/>
  <c r="N1795" i="1"/>
  <c r="M1795" i="1"/>
  <c r="O1794" i="1" a="1"/>
  <c r="O1794" i="1"/>
  <c r="N1794" i="1"/>
  <c r="M1794" i="1"/>
  <c r="O1793" i="1" a="1"/>
  <c r="O1793" i="1"/>
  <c r="N1793" i="1"/>
  <c r="M1793" i="1"/>
  <c r="O1792" i="1" a="1"/>
  <c r="O1792" i="1"/>
  <c r="N1792" i="1"/>
  <c r="M1792" i="1"/>
  <c r="O1791" i="1" a="1"/>
  <c r="O1791" i="1"/>
  <c r="N1791" i="1"/>
  <c r="M1791" i="1"/>
  <c r="O1790" i="1" a="1"/>
  <c r="O1790" i="1"/>
  <c r="N1790" i="1"/>
  <c r="M1790" i="1"/>
  <c r="O1789" i="1" a="1"/>
  <c r="O1789" i="1"/>
  <c r="N1789" i="1"/>
  <c r="M1789" i="1"/>
  <c r="O1788" i="1" a="1"/>
  <c r="O1788" i="1"/>
  <c r="N1788" i="1"/>
  <c r="M1788" i="1"/>
  <c r="O1787" i="1" a="1"/>
  <c r="O1787" i="1"/>
  <c r="N1787" i="1"/>
  <c r="M1787" i="1"/>
  <c r="O1786" i="1" a="1"/>
  <c r="O1786" i="1"/>
  <c r="N1786" i="1"/>
  <c r="M1786" i="1"/>
  <c r="O1785" i="1" a="1"/>
  <c r="O1785" i="1"/>
  <c r="N1785" i="1"/>
  <c r="M1785" i="1"/>
  <c r="O1784" i="1" a="1"/>
  <c r="O1784" i="1"/>
  <c r="N1784" i="1"/>
  <c r="M1784" i="1"/>
  <c r="O1783" i="1" a="1"/>
  <c r="O1783" i="1"/>
  <c r="N1783" i="1"/>
  <c r="M1783" i="1"/>
  <c r="O1782" i="1" a="1"/>
  <c r="O1782" i="1"/>
  <c r="N1782" i="1"/>
  <c r="M1782" i="1"/>
  <c r="O1781" i="1" a="1"/>
  <c r="O1781" i="1"/>
  <c r="N1781" i="1"/>
  <c r="M1781" i="1"/>
  <c r="O1780" i="1" a="1"/>
  <c r="O1780" i="1"/>
  <c r="N1780" i="1"/>
  <c r="M1780" i="1"/>
  <c r="O1779" i="1" a="1"/>
  <c r="O1779" i="1"/>
  <c r="N1779" i="1"/>
  <c r="M1779" i="1"/>
  <c r="O1778" i="1" a="1"/>
  <c r="O1778" i="1"/>
  <c r="N1778" i="1"/>
  <c r="M1778" i="1"/>
  <c r="O1777" i="1" a="1"/>
  <c r="O1777" i="1"/>
  <c r="N1777" i="1"/>
  <c r="M1777" i="1"/>
  <c r="O1776" i="1" a="1"/>
  <c r="O1776" i="1"/>
  <c r="N1776" i="1"/>
  <c r="M1776" i="1"/>
  <c r="O1775" i="1" a="1"/>
  <c r="O1775" i="1"/>
  <c r="N1775" i="1"/>
  <c r="M1775" i="1"/>
  <c r="O1774" i="1" a="1"/>
  <c r="O1774" i="1"/>
  <c r="N1774" i="1"/>
  <c r="M1774" i="1"/>
  <c r="O1773" i="1" a="1"/>
  <c r="O1773" i="1"/>
  <c r="N1773" i="1"/>
  <c r="M1773" i="1"/>
  <c r="O1772" i="1" a="1"/>
  <c r="O1772" i="1"/>
  <c r="N1772" i="1"/>
  <c r="M1772" i="1"/>
  <c r="O1771" i="1" a="1"/>
  <c r="O1771" i="1"/>
  <c r="N1771" i="1"/>
  <c r="M1771" i="1"/>
  <c r="O1770" i="1" a="1"/>
  <c r="O1770" i="1"/>
  <c r="N1770" i="1"/>
  <c r="M1770" i="1"/>
  <c r="O1769" i="1" a="1"/>
  <c r="O1769" i="1"/>
  <c r="N1769" i="1"/>
  <c r="M1769" i="1"/>
  <c r="O1768" i="1" a="1"/>
  <c r="O1768" i="1"/>
  <c r="N1768" i="1"/>
  <c r="M1768" i="1"/>
  <c r="O1767" i="1" a="1"/>
  <c r="O1767" i="1"/>
  <c r="N1767" i="1"/>
  <c r="M1767" i="1"/>
  <c r="O1766" i="1" a="1"/>
  <c r="O1766" i="1"/>
  <c r="N1766" i="1"/>
  <c r="M1766" i="1"/>
  <c r="O1765" i="1" a="1"/>
  <c r="O1765" i="1"/>
  <c r="N1765" i="1"/>
  <c r="M1765" i="1"/>
  <c r="O1764" i="1" a="1"/>
  <c r="O1764" i="1"/>
  <c r="N1764" i="1"/>
  <c r="M1764" i="1"/>
  <c r="O1763" i="1" a="1"/>
  <c r="O1763" i="1"/>
  <c r="N1763" i="1"/>
  <c r="M1763" i="1"/>
  <c r="O1762" i="1" a="1"/>
  <c r="O1762" i="1"/>
  <c r="N1762" i="1"/>
  <c r="M1762" i="1"/>
  <c r="O1761" i="1" a="1"/>
  <c r="O1761" i="1"/>
  <c r="N1761" i="1"/>
  <c r="M1761" i="1"/>
  <c r="O1760" i="1" a="1"/>
  <c r="O1760" i="1"/>
  <c r="N1760" i="1"/>
  <c r="M1760" i="1"/>
  <c r="O1759" i="1" a="1"/>
  <c r="O1759" i="1"/>
  <c r="N1759" i="1"/>
  <c r="M1759" i="1"/>
  <c r="O1758" i="1" a="1"/>
  <c r="O1758" i="1"/>
  <c r="N1758" i="1"/>
  <c r="M1758" i="1"/>
  <c r="O1757" i="1" a="1"/>
  <c r="O1757" i="1"/>
  <c r="N1757" i="1"/>
  <c r="M1757" i="1"/>
  <c r="O1756" i="1" a="1"/>
  <c r="O1756" i="1"/>
  <c r="N1756" i="1"/>
  <c r="M1756" i="1"/>
  <c r="O1755" i="1" a="1"/>
  <c r="O1755" i="1"/>
  <c r="N1755" i="1"/>
  <c r="M1755" i="1"/>
  <c r="O1754" i="1" a="1"/>
  <c r="O1754" i="1"/>
  <c r="N1754" i="1"/>
  <c r="M1754" i="1"/>
  <c r="O1753" i="1" a="1"/>
  <c r="O1753" i="1"/>
  <c r="N1753" i="1"/>
  <c r="M1753" i="1"/>
  <c r="O1752" i="1" a="1"/>
  <c r="O1752" i="1"/>
  <c r="N1752" i="1"/>
  <c r="M1752" i="1"/>
  <c r="O1751" i="1" a="1"/>
  <c r="O1751" i="1"/>
  <c r="N1751" i="1"/>
  <c r="M1751" i="1"/>
  <c r="O1750" i="1" a="1"/>
  <c r="O1750" i="1"/>
  <c r="N1750" i="1"/>
  <c r="M1750" i="1"/>
  <c r="O1749" i="1" a="1"/>
  <c r="O1749" i="1"/>
  <c r="N1749" i="1"/>
  <c r="M1749" i="1"/>
  <c r="O1748" i="1" a="1"/>
  <c r="O1748" i="1"/>
  <c r="N1748" i="1"/>
  <c r="M1748" i="1"/>
  <c r="O1747" i="1" a="1"/>
  <c r="O1747" i="1"/>
  <c r="N1747" i="1"/>
  <c r="M1747" i="1"/>
  <c r="O1746" i="1" a="1"/>
  <c r="O1746" i="1"/>
  <c r="N1746" i="1"/>
  <c r="M1746" i="1"/>
  <c r="O1745" i="1" a="1"/>
  <c r="O1745" i="1"/>
  <c r="N1745" i="1"/>
  <c r="M1745" i="1"/>
  <c r="O1744" i="1" a="1"/>
  <c r="O1744" i="1"/>
  <c r="N1744" i="1"/>
  <c r="M1744" i="1"/>
  <c r="O1743" i="1" a="1"/>
  <c r="O1743" i="1"/>
  <c r="N1743" i="1"/>
  <c r="M1743" i="1"/>
  <c r="O1742" i="1" a="1"/>
  <c r="O1742" i="1"/>
  <c r="N1742" i="1"/>
  <c r="M1742" i="1"/>
  <c r="O1741" i="1" a="1"/>
  <c r="O1741" i="1"/>
  <c r="N1741" i="1"/>
  <c r="M1741" i="1"/>
  <c r="O1740" i="1" a="1"/>
  <c r="O1740" i="1"/>
  <c r="N1740" i="1"/>
  <c r="M1740" i="1"/>
  <c r="O1739" i="1" a="1"/>
  <c r="O1739" i="1"/>
  <c r="N1739" i="1"/>
  <c r="M1739" i="1"/>
  <c r="O1738" i="1" a="1"/>
  <c r="O1738" i="1"/>
  <c r="N1738" i="1"/>
  <c r="M1738" i="1"/>
  <c r="O1737" i="1" a="1"/>
  <c r="O1737" i="1"/>
  <c r="N1737" i="1"/>
  <c r="M1737" i="1"/>
  <c r="O1736" i="1" a="1"/>
  <c r="O1736" i="1"/>
  <c r="N1736" i="1"/>
  <c r="M1736" i="1"/>
  <c r="O1735" i="1" a="1"/>
  <c r="O1735" i="1"/>
  <c r="N1735" i="1"/>
  <c r="M1735" i="1"/>
  <c r="O1734" i="1" a="1"/>
  <c r="O1734" i="1"/>
  <c r="N1734" i="1"/>
  <c r="M1734" i="1"/>
  <c r="O1733" i="1" a="1"/>
  <c r="O1733" i="1"/>
  <c r="N1733" i="1"/>
  <c r="M1733" i="1"/>
  <c r="O1732" i="1" a="1"/>
  <c r="O1732" i="1"/>
  <c r="N1732" i="1"/>
  <c r="M1732" i="1"/>
  <c r="O1731" i="1" a="1"/>
  <c r="O1731" i="1"/>
  <c r="N1731" i="1"/>
  <c r="M1731" i="1"/>
  <c r="O1730" i="1" a="1"/>
  <c r="O1730" i="1"/>
  <c r="N1730" i="1"/>
  <c r="M1730" i="1"/>
  <c r="O1729" i="1" a="1"/>
  <c r="O1729" i="1"/>
  <c r="N1729" i="1"/>
  <c r="M1729" i="1"/>
  <c r="O1728" i="1" a="1"/>
  <c r="O1728" i="1"/>
  <c r="N1728" i="1"/>
  <c r="M1728" i="1"/>
  <c r="O1727" i="1" a="1"/>
  <c r="O1727" i="1"/>
  <c r="N1727" i="1"/>
  <c r="M1727" i="1"/>
  <c r="O1726" i="1" a="1"/>
  <c r="O1726" i="1"/>
  <c r="N1726" i="1"/>
  <c r="M1726" i="1"/>
  <c r="O1725" i="1" a="1"/>
  <c r="O1725" i="1"/>
  <c r="N1725" i="1"/>
  <c r="M1725" i="1"/>
  <c r="O1724" i="1" a="1"/>
  <c r="O1724" i="1"/>
  <c r="N1724" i="1"/>
  <c r="M1724" i="1"/>
  <c r="O1723" i="1" a="1"/>
  <c r="O1723" i="1"/>
  <c r="N1723" i="1"/>
  <c r="M1723" i="1"/>
  <c r="O1722" i="1" a="1"/>
  <c r="O1722" i="1"/>
  <c r="N1722" i="1"/>
  <c r="M1722" i="1"/>
  <c r="O1721" i="1" a="1"/>
  <c r="O1721" i="1"/>
  <c r="N1721" i="1"/>
  <c r="M1721" i="1"/>
  <c r="O1720" i="1" a="1"/>
  <c r="O1720" i="1"/>
  <c r="N1720" i="1"/>
  <c r="M1720" i="1"/>
  <c r="O1719" i="1" a="1"/>
  <c r="O1719" i="1"/>
  <c r="N1719" i="1"/>
  <c r="M1719" i="1"/>
  <c r="O1718" i="1" a="1"/>
  <c r="O1718" i="1"/>
  <c r="N1718" i="1"/>
  <c r="M1718" i="1"/>
  <c r="O1717" i="1" a="1"/>
  <c r="O1717" i="1"/>
  <c r="N1717" i="1"/>
  <c r="M1717" i="1"/>
  <c r="O1716" i="1" a="1"/>
  <c r="O1716" i="1"/>
  <c r="N1716" i="1"/>
  <c r="M1716" i="1"/>
  <c r="O1715" i="1" a="1"/>
  <c r="O1715" i="1"/>
  <c r="N1715" i="1"/>
  <c r="M1715" i="1"/>
  <c r="O1714" i="1" a="1"/>
  <c r="O1714" i="1"/>
  <c r="N1714" i="1"/>
  <c r="M1714" i="1"/>
  <c r="O1713" i="1" a="1"/>
  <c r="O1713" i="1"/>
  <c r="N1713" i="1"/>
  <c r="M1713" i="1"/>
  <c r="O1712" i="1" a="1"/>
  <c r="O1712" i="1"/>
  <c r="N1712" i="1"/>
  <c r="M1712" i="1"/>
  <c r="O1711" i="1" a="1"/>
  <c r="O1711" i="1"/>
  <c r="N1711" i="1"/>
  <c r="M1711" i="1"/>
  <c r="O1710" i="1" a="1"/>
  <c r="O1710" i="1"/>
  <c r="N1710" i="1"/>
  <c r="M1710" i="1"/>
  <c r="O1709" i="1" a="1"/>
  <c r="O1709" i="1"/>
  <c r="N1709" i="1"/>
  <c r="M1709" i="1"/>
  <c r="O1708" i="1" a="1"/>
  <c r="O1708" i="1"/>
  <c r="N1708" i="1"/>
  <c r="M1708" i="1"/>
  <c r="O1707" i="1" a="1"/>
  <c r="O1707" i="1"/>
  <c r="N1707" i="1"/>
  <c r="M1707" i="1"/>
  <c r="O1706" i="1" a="1"/>
  <c r="O1706" i="1"/>
  <c r="N1706" i="1"/>
  <c r="M1706" i="1"/>
  <c r="O1705" i="1" a="1"/>
  <c r="O1705" i="1"/>
  <c r="N1705" i="1"/>
  <c r="M1705" i="1"/>
  <c r="O1704" i="1" a="1"/>
  <c r="O1704" i="1"/>
  <c r="N1704" i="1"/>
  <c r="M1704" i="1"/>
  <c r="O1703" i="1" a="1"/>
  <c r="O1703" i="1"/>
  <c r="N1703" i="1"/>
  <c r="M1703" i="1"/>
  <c r="O1702" i="1" a="1"/>
  <c r="O1702" i="1"/>
  <c r="N1702" i="1"/>
  <c r="M1702" i="1"/>
  <c r="O1701" i="1" a="1"/>
  <c r="O1701" i="1"/>
  <c r="N1701" i="1"/>
  <c r="M1701" i="1"/>
  <c r="O1700" i="1" a="1"/>
  <c r="O1700" i="1"/>
  <c r="N1700" i="1"/>
  <c r="M1700" i="1"/>
  <c r="O1699" i="1" a="1"/>
  <c r="O1699" i="1"/>
  <c r="N1699" i="1"/>
  <c r="M1699" i="1"/>
  <c r="O1698" i="1" a="1"/>
  <c r="O1698" i="1"/>
  <c r="N1698" i="1"/>
  <c r="M1698" i="1"/>
  <c r="O1697" i="1" a="1"/>
  <c r="O1697" i="1"/>
  <c r="N1697" i="1"/>
  <c r="M1697" i="1"/>
  <c r="O1696" i="1" a="1"/>
  <c r="O1696" i="1"/>
  <c r="N1696" i="1"/>
  <c r="M1696" i="1"/>
  <c r="O1695" i="1" a="1"/>
  <c r="O1695" i="1"/>
  <c r="N1695" i="1"/>
  <c r="M1695" i="1"/>
  <c r="O1694" i="1" a="1"/>
  <c r="O1694" i="1"/>
  <c r="N1694" i="1"/>
  <c r="M1694" i="1"/>
  <c r="O1693" i="1" a="1"/>
  <c r="O1693" i="1"/>
  <c r="N1693" i="1"/>
  <c r="M1693" i="1"/>
  <c r="O1692" i="1" a="1"/>
  <c r="O1692" i="1"/>
  <c r="N1692" i="1"/>
  <c r="M1692" i="1"/>
  <c r="O1691" i="1" a="1"/>
  <c r="O1691" i="1"/>
  <c r="N1691" i="1"/>
  <c r="M1691" i="1"/>
  <c r="O1690" i="1" a="1"/>
  <c r="O1690" i="1"/>
  <c r="N1690" i="1"/>
  <c r="M1690" i="1"/>
  <c r="O1689" i="1" a="1"/>
  <c r="O1689" i="1"/>
  <c r="N1689" i="1"/>
  <c r="M1689" i="1"/>
  <c r="O1688" i="1" a="1"/>
  <c r="O1688" i="1"/>
  <c r="N1688" i="1"/>
  <c r="M1688" i="1"/>
  <c r="O1687" i="1" a="1"/>
  <c r="O1687" i="1"/>
  <c r="N1687" i="1"/>
  <c r="M1687" i="1"/>
  <c r="O1686" i="1" a="1"/>
  <c r="O1686" i="1"/>
  <c r="N1686" i="1"/>
  <c r="M1686" i="1"/>
  <c r="O1685" i="1" a="1"/>
  <c r="O1685" i="1"/>
  <c r="N1685" i="1"/>
  <c r="M1685" i="1"/>
  <c r="O1684" i="1" a="1"/>
  <c r="O1684" i="1"/>
  <c r="N1684" i="1"/>
  <c r="M1684" i="1"/>
  <c r="O1683" i="1" a="1"/>
  <c r="O1683" i="1"/>
  <c r="N1683" i="1"/>
  <c r="M1683" i="1"/>
  <c r="O1682" i="1" a="1"/>
  <c r="O1682" i="1"/>
  <c r="N1682" i="1"/>
  <c r="M1682" i="1"/>
  <c r="O1681" i="1" a="1"/>
  <c r="O1681" i="1"/>
  <c r="N1681" i="1"/>
  <c r="M1681" i="1"/>
  <c r="O1680" i="1" a="1"/>
  <c r="O1680" i="1"/>
  <c r="N1680" i="1"/>
  <c r="M1680" i="1"/>
  <c r="O1679" i="1" a="1"/>
  <c r="O1679" i="1"/>
  <c r="N1679" i="1"/>
  <c r="M1679" i="1"/>
  <c r="O1678" i="1" a="1"/>
  <c r="O1678" i="1"/>
  <c r="N1678" i="1"/>
  <c r="M1678" i="1"/>
  <c r="O1677" i="1" a="1"/>
  <c r="O1677" i="1"/>
  <c r="N1677" i="1"/>
  <c r="M1677" i="1"/>
  <c r="O1676" i="1" a="1"/>
  <c r="O1676" i="1"/>
  <c r="N1676" i="1"/>
  <c r="M1676" i="1"/>
  <c r="O1675" i="1" a="1"/>
  <c r="O1675" i="1"/>
  <c r="N1675" i="1"/>
  <c r="M1675" i="1"/>
  <c r="O1674" i="1" a="1"/>
  <c r="O1674" i="1"/>
  <c r="N1674" i="1"/>
  <c r="M1674" i="1"/>
  <c r="O1673" i="1" a="1"/>
  <c r="O1673" i="1"/>
  <c r="N1673" i="1"/>
  <c r="M1673" i="1"/>
  <c r="O1672" i="1" a="1"/>
  <c r="O1672" i="1"/>
  <c r="N1672" i="1"/>
  <c r="M1672" i="1"/>
  <c r="O1671" i="1" a="1"/>
  <c r="O1671" i="1"/>
  <c r="N1671" i="1"/>
  <c r="M1671" i="1"/>
  <c r="O1670" i="1" a="1"/>
  <c r="O1670" i="1"/>
  <c r="N1670" i="1"/>
  <c r="M1670" i="1"/>
  <c r="O1669" i="1" a="1"/>
  <c r="O1669" i="1"/>
  <c r="N1669" i="1"/>
  <c r="M1669" i="1"/>
  <c r="O1668" i="1" a="1"/>
  <c r="O1668" i="1"/>
  <c r="N1668" i="1"/>
  <c r="M1668" i="1"/>
  <c r="O1667" i="1" a="1"/>
  <c r="O1667" i="1"/>
  <c r="N1667" i="1"/>
  <c r="M1667" i="1"/>
  <c r="O1666" i="1" a="1"/>
  <c r="O1666" i="1"/>
  <c r="N1666" i="1"/>
  <c r="M1666" i="1"/>
  <c r="O1665" i="1" a="1"/>
  <c r="O1665" i="1"/>
  <c r="N1665" i="1"/>
  <c r="M1665" i="1"/>
  <c r="O1664" i="1" a="1"/>
  <c r="O1664" i="1"/>
  <c r="N1664" i="1"/>
  <c r="M1664" i="1"/>
  <c r="O1663" i="1" a="1"/>
  <c r="O1663" i="1"/>
  <c r="N1663" i="1"/>
  <c r="M1663" i="1"/>
  <c r="O1662" i="1" a="1"/>
  <c r="O1662" i="1"/>
  <c r="N1662" i="1"/>
  <c r="M1662" i="1"/>
  <c r="O1661" i="1" a="1"/>
  <c r="O1661" i="1"/>
  <c r="N1661" i="1"/>
  <c r="M1661" i="1"/>
  <c r="O1660" i="1" a="1"/>
  <c r="O1660" i="1"/>
  <c r="N1660" i="1"/>
  <c r="M1660" i="1"/>
  <c r="O1659" i="1" a="1"/>
  <c r="O1659" i="1"/>
  <c r="N1659" i="1"/>
  <c r="M1659" i="1"/>
  <c r="O1658" i="1" a="1"/>
  <c r="O1658" i="1"/>
  <c r="N1658" i="1"/>
  <c r="M1658" i="1"/>
  <c r="O1657" i="1" a="1"/>
  <c r="O1657" i="1"/>
  <c r="N1657" i="1"/>
  <c r="M1657" i="1"/>
  <c r="O1656" i="1" a="1"/>
  <c r="O1656" i="1"/>
  <c r="N1656" i="1"/>
  <c r="M1656" i="1"/>
  <c r="O1655" i="1" a="1"/>
  <c r="O1655" i="1"/>
  <c r="N1655" i="1"/>
  <c r="M1655" i="1"/>
  <c r="O1654" i="1" a="1"/>
  <c r="O1654" i="1"/>
  <c r="N1654" i="1"/>
  <c r="M1654" i="1"/>
  <c r="O1653" i="1" a="1"/>
  <c r="O1653" i="1"/>
  <c r="N1653" i="1"/>
  <c r="M1653" i="1"/>
  <c r="O1652" i="1" a="1"/>
  <c r="O1652" i="1"/>
  <c r="N1652" i="1"/>
  <c r="M1652" i="1"/>
  <c r="O1651" i="1" a="1"/>
  <c r="O1651" i="1"/>
  <c r="N1651" i="1"/>
  <c r="M1651" i="1"/>
  <c r="O1650" i="1" a="1"/>
  <c r="O1650" i="1"/>
  <c r="N1650" i="1"/>
  <c r="M1650" i="1"/>
  <c r="O1649" i="1" a="1"/>
  <c r="O1649" i="1"/>
  <c r="N1649" i="1"/>
  <c r="M1649" i="1"/>
  <c r="O1648" i="1" a="1"/>
  <c r="O1648" i="1"/>
  <c r="N1648" i="1"/>
  <c r="M1648" i="1"/>
  <c r="O1647" i="1" a="1"/>
  <c r="O1647" i="1"/>
  <c r="N1647" i="1"/>
  <c r="M1647" i="1"/>
  <c r="O1646" i="1" a="1"/>
  <c r="O1646" i="1"/>
  <c r="N1646" i="1"/>
  <c r="M1646" i="1"/>
  <c r="O1645" i="1" a="1"/>
  <c r="O1645" i="1"/>
  <c r="N1645" i="1"/>
  <c r="M1645" i="1"/>
  <c r="O1644" i="1" a="1"/>
  <c r="O1644" i="1"/>
  <c r="N1644" i="1"/>
  <c r="M1644" i="1"/>
  <c r="O1643" i="1" a="1"/>
  <c r="O1643" i="1"/>
  <c r="N1643" i="1"/>
  <c r="M1643" i="1"/>
  <c r="O1642" i="1" a="1"/>
  <c r="O1642" i="1"/>
  <c r="N1642" i="1"/>
  <c r="M1642" i="1"/>
  <c r="O1641" i="1" a="1"/>
  <c r="O1641" i="1"/>
  <c r="N1641" i="1"/>
  <c r="M1641" i="1"/>
  <c r="O1640" i="1" a="1"/>
  <c r="O1640" i="1"/>
  <c r="N1640" i="1"/>
  <c r="M1640" i="1"/>
  <c r="O1639" i="1" a="1"/>
  <c r="O1639" i="1"/>
  <c r="N1639" i="1"/>
  <c r="M1639" i="1"/>
  <c r="O1638" i="1" a="1"/>
  <c r="O1638" i="1"/>
  <c r="N1638" i="1"/>
  <c r="M1638" i="1"/>
  <c r="O1637" i="1" a="1"/>
  <c r="O1637" i="1"/>
  <c r="N1637" i="1"/>
  <c r="M1637" i="1"/>
  <c r="O1636" i="1" a="1"/>
  <c r="O1636" i="1"/>
  <c r="N1636" i="1"/>
  <c r="M1636" i="1"/>
  <c r="O1635" i="1" a="1"/>
  <c r="O1635" i="1"/>
  <c r="N1635" i="1"/>
  <c r="M1635" i="1"/>
  <c r="O1634" i="1" a="1"/>
  <c r="O1634" i="1"/>
  <c r="N1634" i="1"/>
  <c r="M1634" i="1"/>
  <c r="O1633" i="1" a="1"/>
  <c r="O1633" i="1"/>
  <c r="N1633" i="1"/>
  <c r="M1633" i="1"/>
  <c r="O1632" i="1" a="1"/>
  <c r="O1632" i="1"/>
  <c r="N1632" i="1"/>
  <c r="M1632" i="1"/>
  <c r="O1631" i="1" a="1"/>
  <c r="O1631" i="1"/>
  <c r="N1631" i="1"/>
  <c r="M1631" i="1"/>
  <c r="O1630" i="1" a="1"/>
  <c r="O1630" i="1"/>
  <c r="N1630" i="1"/>
  <c r="M1630" i="1"/>
  <c r="O1629" i="1" a="1"/>
  <c r="O1629" i="1"/>
  <c r="N1629" i="1"/>
  <c r="M1629" i="1"/>
  <c r="O1628" i="1" a="1"/>
  <c r="O1628" i="1"/>
  <c r="N1628" i="1"/>
  <c r="M1628" i="1"/>
  <c r="O1627" i="1" a="1"/>
  <c r="O1627" i="1"/>
  <c r="N1627" i="1"/>
  <c r="M1627" i="1"/>
  <c r="O1626" i="1" a="1"/>
  <c r="O1626" i="1"/>
  <c r="N1626" i="1"/>
  <c r="M1626" i="1"/>
  <c r="O1625" i="1" a="1"/>
  <c r="O1625" i="1"/>
  <c r="N1625" i="1"/>
  <c r="M1625" i="1"/>
  <c r="O1624" i="1" a="1"/>
  <c r="O1624" i="1"/>
  <c r="N1624" i="1"/>
  <c r="M1624" i="1"/>
  <c r="O1623" i="1" a="1"/>
  <c r="O1623" i="1"/>
  <c r="N1623" i="1"/>
  <c r="M1623" i="1"/>
  <c r="O1622" i="1" a="1"/>
  <c r="O1622" i="1"/>
  <c r="N1622" i="1"/>
  <c r="M1622" i="1"/>
  <c r="O1621" i="1" a="1"/>
  <c r="O1621" i="1"/>
  <c r="N1621" i="1"/>
  <c r="M1621" i="1"/>
  <c r="O1620" i="1" a="1"/>
  <c r="O1620" i="1"/>
  <c r="N1620" i="1"/>
  <c r="M1620" i="1"/>
  <c r="O1619" i="1" a="1"/>
  <c r="O1619" i="1"/>
  <c r="N1619" i="1"/>
  <c r="M1619" i="1"/>
  <c r="O1618" i="1" a="1"/>
  <c r="O1618" i="1"/>
  <c r="N1618" i="1"/>
  <c r="M1618" i="1"/>
  <c r="O1617" i="1" a="1"/>
  <c r="O1617" i="1"/>
  <c r="N1617" i="1"/>
  <c r="M1617" i="1"/>
  <c r="O1616" i="1" a="1"/>
  <c r="O1616" i="1"/>
  <c r="N1616" i="1"/>
  <c r="M1616" i="1"/>
  <c r="O1615" i="1" a="1"/>
  <c r="O1615" i="1"/>
  <c r="N1615" i="1"/>
  <c r="M1615" i="1"/>
  <c r="O1614" i="1" a="1"/>
  <c r="O1614" i="1"/>
  <c r="N1614" i="1"/>
  <c r="M1614" i="1"/>
  <c r="O1613" i="1" a="1"/>
  <c r="O1613" i="1"/>
  <c r="N1613" i="1"/>
  <c r="M1613" i="1"/>
  <c r="O1612" i="1" a="1"/>
  <c r="O1612" i="1"/>
  <c r="N1612" i="1"/>
  <c r="M1612" i="1"/>
  <c r="O1611" i="1" a="1"/>
  <c r="O1611" i="1"/>
  <c r="N1611" i="1"/>
  <c r="M1611" i="1"/>
  <c r="O1610" i="1" a="1"/>
  <c r="O1610" i="1"/>
  <c r="N1610" i="1"/>
  <c r="M1610" i="1"/>
  <c r="O1609" i="1" a="1"/>
  <c r="O1609" i="1"/>
  <c r="N1609" i="1"/>
  <c r="M1609" i="1"/>
  <c r="O1608" i="1" a="1"/>
  <c r="O1608" i="1"/>
  <c r="N1608" i="1"/>
  <c r="M1608" i="1"/>
  <c r="O1607" i="1" a="1"/>
  <c r="O1607" i="1"/>
  <c r="N1607" i="1"/>
  <c r="M1607" i="1"/>
  <c r="O1606" i="1" a="1"/>
  <c r="O1606" i="1"/>
  <c r="N1606" i="1"/>
  <c r="M1606" i="1"/>
  <c r="O1605" i="1" a="1"/>
  <c r="O1605" i="1"/>
  <c r="N1605" i="1"/>
  <c r="M1605" i="1"/>
  <c r="O1604" i="1" a="1"/>
  <c r="O1604" i="1"/>
  <c r="N1604" i="1"/>
  <c r="M1604" i="1"/>
  <c r="O1603" i="1" a="1"/>
  <c r="O1603" i="1"/>
  <c r="N1603" i="1"/>
  <c r="M1603" i="1"/>
  <c r="O1602" i="1" a="1"/>
  <c r="O1602" i="1"/>
  <c r="N1602" i="1"/>
  <c r="M1602" i="1"/>
  <c r="O1601" i="1" a="1"/>
  <c r="O1601" i="1"/>
  <c r="N1601" i="1"/>
  <c r="M1601" i="1"/>
  <c r="O1600" i="1" a="1"/>
  <c r="O1600" i="1"/>
  <c r="N1600" i="1"/>
  <c r="M1600" i="1"/>
  <c r="O1599" i="1" a="1"/>
  <c r="O1599" i="1"/>
  <c r="N1599" i="1"/>
  <c r="M1599" i="1"/>
  <c r="O1598" i="1" a="1"/>
  <c r="O1598" i="1"/>
  <c r="N1598" i="1"/>
  <c r="M1598" i="1"/>
  <c r="O1597" i="1" a="1"/>
  <c r="O1597" i="1"/>
  <c r="N1597" i="1"/>
  <c r="M1597" i="1"/>
  <c r="O1596" i="1" a="1"/>
  <c r="O1596" i="1"/>
  <c r="N1596" i="1"/>
  <c r="M1596" i="1"/>
  <c r="O1595" i="1" a="1"/>
  <c r="O1595" i="1"/>
  <c r="N1595" i="1"/>
  <c r="M1595" i="1"/>
  <c r="O1594" i="1" a="1"/>
  <c r="O1594" i="1"/>
  <c r="N1594" i="1"/>
  <c r="M1594" i="1"/>
  <c r="O1593" i="1" a="1"/>
  <c r="O1593" i="1"/>
  <c r="N1593" i="1"/>
  <c r="M1593" i="1"/>
  <c r="O1592" i="1" a="1"/>
  <c r="O1592" i="1"/>
  <c r="N1592" i="1"/>
  <c r="M1592" i="1"/>
  <c r="O1591" i="1" a="1"/>
  <c r="O1591" i="1"/>
  <c r="N1591" i="1"/>
  <c r="M1591" i="1"/>
  <c r="O1590" i="1" a="1"/>
  <c r="O1590" i="1"/>
  <c r="N1590" i="1"/>
  <c r="M1590" i="1"/>
  <c r="O1589" i="1" a="1"/>
  <c r="O1589" i="1"/>
  <c r="N1589" i="1"/>
  <c r="M1589" i="1"/>
  <c r="O1588" i="1" a="1"/>
  <c r="O1588" i="1"/>
  <c r="N1588" i="1"/>
  <c r="M1588" i="1"/>
  <c r="O1587" i="1" a="1"/>
  <c r="O1587" i="1"/>
  <c r="N1587" i="1"/>
  <c r="M1587" i="1"/>
  <c r="O1586" i="1" a="1"/>
  <c r="O1586" i="1"/>
  <c r="N1586" i="1"/>
  <c r="M1586" i="1"/>
  <c r="O1585" i="1" a="1"/>
  <c r="O1585" i="1"/>
  <c r="N1585" i="1"/>
  <c r="M1585" i="1"/>
  <c r="O1584" i="1" a="1"/>
  <c r="O1584" i="1"/>
  <c r="N1584" i="1"/>
  <c r="M1584" i="1"/>
  <c r="O1583" i="1" a="1"/>
  <c r="O1583" i="1"/>
  <c r="N1583" i="1"/>
  <c r="M1583" i="1"/>
  <c r="O1582" i="1" a="1"/>
  <c r="O1582" i="1"/>
  <c r="N1582" i="1"/>
  <c r="M1582" i="1"/>
  <c r="O1581" i="1" a="1"/>
  <c r="O1581" i="1"/>
  <c r="N1581" i="1"/>
  <c r="M1581" i="1"/>
  <c r="O1580" i="1" a="1"/>
  <c r="O1580" i="1"/>
  <c r="N1580" i="1"/>
  <c r="M1580" i="1"/>
  <c r="O1579" i="1" a="1"/>
  <c r="O1579" i="1"/>
  <c r="N1579" i="1"/>
  <c r="M1579" i="1"/>
  <c r="O1578" i="1" a="1"/>
  <c r="O1578" i="1"/>
  <c r="N1578" i="1"/>
  <c r="M1578" i="1"/>
  <c r="O1577" i="1" a="1"/>
  <c r="O1577" i="1"/>
  <c r="N1577" i="1"/>
  <c r="M1577" i="1"/>
  <c r="O1576" i="1" a="1"/>
  <c r="O1576" i="1"/>
  <c r="N1576" i="1"/>
  <c r="M1576" i="1"/>
  <c r="O1575" i="1" a="1"/>
  <c r="O1575" i="1"/>
  <c r="N1575" i="1"/>
  <c r="M1575" i="1"/>
  <c r="O1574" i="1" a="1"/>
  <c r="O1574" i="1"/>
  <c r="N1574" i="1"/>
  <c r="M1574" i="1"/>
  <c r="O1573" i="1" a="1"/>
  <c r="O1573" i="1"/>
  <c r="N1573" i="1"/>
  <c r="M1573" i="1"/>
  <c r="O1572" i="1" a="1"/>
  <c r="O1572" i="1"/>
  <c r="N1572" i="1"/>
  <c r="M1572" i="1"/>
  <c r="O1571" i="1" a="1"/>
  <c r="O1571" i="1"/>
  <c r="N1571" i="1"/>
  <c r="M1571" i="1"/>
  <c r="O1570" i="1" a="1"/>
  <c r="O1570" i="1"/>
  <c r="N1570" i="1"/>
  <c r="M1570" i="1"/>
  <c r="O1569" i="1" a="1"/>
  <c r="O1569" i="1"/>
  <c r="N1569" i="1"/>
  <c r="M1569" i="1"/>
  <c r="O1568" i="1" a="1"/>
  <c r="O1568" i="1"/>
  <c r="N1568" i="1"/>
  <c r="M1568" i="1"/>
  <c r="O1567" i="1" a="1"/>
  <c r="O1567" i="1"/>
  <c r="N1567" i="1"/>
  <c r="M1567" i="1"/>
  <c r="O1566" i="1" a="1"/>
  <c r="O1566" i="1"/>
  <c r="N1566" i="1"/>
  <c r="M1566" i="1"/>
  <c r="O1565" i="1" a="1"/>
  <c r="O1565" i="1"/>
  <c r="N1565" i="1"/>
  <c r="M1565" i="1"/>
  <c r="O1564" i="1" a="1"/>
  <c r="O1564" i="1"/>
  <c r="N1564" i="1"/>
  <c r="M1564" i="1"/>
  <c r="O1563" i="1" a="1"/>
  <c r="O1563" i="1"/>
  <c r="N1563" i="1"/>
  <c r="M1563" i="1"/>
  <c r="O1562" i="1" a="1"/>
  <c r="O1562" i="1"/>
  <c r="N1562" i="1"/>
  <c r="M1562" i="1"/>
  <c r="O1561" i="1" a="1"/>
  <c r="O1561" i="1"/>
  <c r="N1561" i="1"/>
  <c r="M1561" i="1"/>
  <c r="O1560" i="1" a="1"/>
  <c r="O1560" i="1"/>
  <c r="N1560" i="1"/>
  <c r="M1560" i="1"/>
  <c r="O1559" i="1" a="1"/>
  <c r="O1559" i="1"/>
  <c r="N1559" i="1"/>
  <c r="M1559" i="1"/>
  <c r="O1558" i="1" a="1"/>
  <c r="O1558" i="1"/>
  <c r="N1558" i="1"/>
  <c r="M1558" i="1"/>
  <c r="O1557" i="1" a="1"/>
  <c r="O1557" i="1"/>
  <c r="N1557" i="1"/>
  <c r="M1557" i="1"/>
  <c r="O1556" i="1" a="1"/>
  <c r="O1556" i="1"/>
  <c r="N1556" i="1"/>
  <c r="M1556" i="1"/>
  <c r="O1555" i="1" a="1"/>
  <c r="O1555" i="1"/>
  <c r="N1555" i="1"/>
  <c r="M1555" i="1"/>
  <c r="O1554" i="1" a="1"/>
  <c r="O1554" i="1"/>
  <c r="N1554" i="1"/>
  <c r="M1554" i="1"/>
  <c r="O1553" i="1" a="1"/>
  <c r="O1553" i="1"/>
  <c r="N1553" i="1"/>
  <c r="M1553" i="1"/>
  <c r="O1552" i="1" a="1"/>
  <c r="O1552" i="1"/>
  <c r="N1552" i="1"/>
  <c r="M1552" i="1"/>
  <c r="O1551" i="1" a="1"/>
  <c r="O1551" i="1"/>
  <c r="N1551" i="1"/>
  <c r="M1551" i="1"/>
  <c r="O1550" i="1" a="1"/>
  <c r="O1550" i="1"/>
  <c r="N1550" i="1"/>
  <c r="M1550" i="1"/>
  <c r="O1549" i="1" a="1"/>
  <c r="O1549" i="1"/>
  <c r="N1549" i="1"/>
  <c r="M1549" i="1"/>
  <c r="O1548" i="1" a="1"/>
  <c r="O1548" i="1"/>
  <c r="N1548" i="1"/>
  <c r="M1548" i="1"/>
  <c r="O1547" i="1" a="1"/>
  <c r="O1547" i="1"/>
  <c r="N1547" i="1"/>
  <c r="M1547" i="1"/>
  <c r="O1546" i="1" a="1"/>
  <c r="O1546" i="1"/>
  <c r="N1546" i="1"/>
  <c r="M1546" i="1"/>
  <c r="O1545" i="1" a="1"/>
  <c r="O1545" i="1"/>
  <c r="N1545" i="1"/>
  <c r="M1545" i="1"/>
  <c r="O1544" i="1" a="1"/>
  <c r="O1544" i="1"/>
  <c r="N1544" i="1"/>
  <c r="M1544" i="1"/>
  <c r="O1543" i="1" a="1"/>
  <c r="O1543" i="1"/>
  <c r="N1543" i="1"/>
  <c r="M1543" i="1"/>
  <c r="O1542" i="1" a="1"/>
  <c r="O1542" i="1"/>
  <c r="N1542" i="1"/>
  <c r="M1542" i="1"/>
  <c r="O1541" i="1" a="1"/>
  <c r="O1541" i="1"/>
  <c r="N1541" i="1"/>
  <c r="M1541" i="1"/>
  <c r="O1540" i="1" a="1"/>
  <c r="O1540" i="1"/>
  <c r="N1540" i="1"/>
  <c r="M1540" i="1"/>
  <c r="O1539" i="1" a="1"/>
  <c r="O1539" i="1"/>
  <c r="N1539" i="1"/>
  <c r="M1539" i="1"/>
  <c r="O1538" i="1" a="1"/>
  <c r="O1538" i="1"/>
  <c r="N1538" i="1"/>
  <c r="M1538" i="1"/>
  <c r="O1537" i="1" a="1"/>
  <c r="O1537" i="1"/>
  <c r="N1537" i="1"/>
  <c r="M1537" i="1"/>
  <c r="O1536" i="1" a="1"/>
  <c r="O1536" i="1"/>
  <c r="N1536" i="1"/>
  <c r="M1536" i="1"/>
  <c r="O1535" i="1" a="1"/>
  <c r="O1535" i="1"/>
  <c r="N1535" i="1"/>
  <c r="M1535" i="1"/>
  <c r="O1534" i="1" a="1"/>
  <c r="O1534" i="1"/>
  <c r="N1534" i="1"/>
  <c r="M1534" i="1"/>
  <c r="O1533" i="1" a="1"/>
  <c r="O1533" i="1"/>
  <c r="N1533" i="1"/>
  <c r="M1533" i="1"/>
  <c r="O1532" i="1" a="1"/>
  <c r="O1532" i="1"/>
  <c r="N1532" i="1"/>
  <c r="M1532" i="1"/>
  <c r="O1531" i="1" a="1"/>
  <c r="O1531" i="1"/>
  <c r="N1531" i="1"/>
  <c r="M1531" i="1"/>
  <c r="O1530" i="1" a="1"/>
  <c r="O1530" i="1"/>
  <c r="N1530" i="1"/>
  <c r="M1530" i="1"/>
  <c r="O1529" i="1" a="1"/>
  <c r="O1529" i="1"/>
  <c r="N1529" i="1"/>
  <c r="M1529" i="1"/>
  <c r="O1528" i="1" a="1"/>
  <c r="O1528" i="1"/>
  <c r="N1528" i="1"/>
  <c r="M1528" i="1"/>
  <c r="O1527" i="1" a="1"/>
  <c r="O1527" i="1"/>
  <c r="N1527" i="1"/>
  <c r="M1527" i="1"/>
  <c r="O1526" i="1" a="1"/>
  <c r="O1526" i="1"/>
  <c r="N1526" i="1"/>
  <c r="M1526" i="1"/>
  <c r="O1525" i="1" a="1"/>
  <c r="O1525" i="1"/>
  <c r="N1525" i="1"/>
  <c r="M1525" i="1"/>
  <c r="O1524" i="1" a="1"/>
  <c r="O1524" i="1"/>
  <c r="N1524" i="1"/>
  <c r="M1524" i="1"/>
  <c r="O1523" i="1" a="1"/>
  <c r="O1523" i="1"/>
  <c r="N1523" i="1"/>
  <c r="M1523" i="1"/>
  <c r="O1522" i="1" a="1"/>
  <c r="O1522" i="1"/>
  <c r="N1522" i="1"/>
  <c r="M1522" i="1"/>
  <c r="O1521" i="1" a="1"/>
  <c r="O1521" i="1"/>
  <c r="N1521" i="1"/>
  <c r="M1521" i="1"/>
  <c r="O1520" i="1" a="1"/>
  <c r="O1520" i="1"/>
  <c r="N1520" i="1"/>
  <c r="M1520" i="1"/>
  <c r="O1519" i="1" a="1"/>
  <c r="O1519" i="1"/>
  <c r="N1519" i="1"/>
  <c r="M1519" i="1"/>
  <c r="O1518" i="1" a="1"/>
  <c r="O1518" i="1"/>
  <c r="N1518" i="1"/>
  <c r="M1518" i="1"/>
  <c r="O1517" i="1" a="1"/>
  <c r="O1517" i="1"/>
  <c r="N1517" i="1"/>
  <c r="M1517" i="1"/>
  <c r="O1516" i="1" a="1"/>
  <c r="O1516" i="1"/>
  <c r="N1516" i="1"/>
  <c r="M1516" i="1"/>
  <c r="O1515" i="1" a="1"/>
  <c r="O1515" i="1"/>
  <c r="N1515" i="1"/>
  <c r="M1515" i="1"/>
  <c r="O1514" i="1" a="1"/>
  <c r="O1514" i="1"/>
  <c r="N1514" i="1"/>
  <c r="M1514" i="1"/>
  <c r="O1513" i="1" a="1"/>
  <c r="O1513" i="1"/>
  <c r="N1513" i="1"/>
  <c r="M1513" i="1"/>
  <c r="O1512" i="1" a="1"/>
  <c r="O1512" i="1"/>
  <c r="N1512" i="1"/>
  <c r="M1512" i="1"/>
  <c r="O1511" i="1" a="1"/>
  <c r="O1511" i="1"/>
  <c r="N1511" i="1"/>
  <c r="M1511" i="1"/>
  <c r="O1510" i="1" a="1"/>
  <c r="O1510" i="1"/>
  <c r="N1510" i="1"/>
  <c r="M1510" i="1"/>
  <c r="O1509" i="1" a="1"/>
  <c r="O1509" i="1"/>
  <c r="N1509" i="1"/>
  <c r="M1509" i="1"/>
  <c r="O1508" i="1" a="1"/>
  <c r="O1508" i="1"/>
  <c r="N1508" i="1"/>
  <c r="M1508" i="1"/>
  <c r="O1507" i="1" a="1"/>
  <c r="O1507" i="1"/>
  <c r="N1507" i="1"/>
  <c r="M1507" i="1"/>
  <c r="O1506" i="1" a="1"/>
  <c r="O1506" i="1"/>
  <c r="N1506" i="1"/>
  <c r="M1506" i="1"/>
  <c r="O1505" i="1" a="1"/>
  <c r="O1505" i="1"/>
  <c r="N1505" i="1"/>
  <c r="M1505" i="1"/>
  <c r="O1504" i="1" a="1"/>
  <c r="O1504" i="1"/>
  <c r="N1504" i="1"/>
  <c r="M1504" i="1"/>
  <c r="O1503" i="1" a="1"/>
  <c r="O1503" i="1"/>
  <c r="N1503" i="1"/>
  <c r="M1503" i="1"/>
  <c r="O1502" i="1" a="1"/>
  <c r="O1502" i="1"/>
  <c r="N1502" i="1"/>
  <c r="M1502" i="1"/>
  <c r="O1501" i="1" a="1"/>
  <c r="O1501" i="1"/>
  <c r="N1501" i="1"/>
  <c r="M1501" i="1"/>
  <c r="O1500" i="1" a="1"/>
  <c r="O1500" i="1"/>
  <c r="N1500" i="1"/>
  <c r="M1500" i="1"/>
  <c r="O1499" i="1" a="1"/>
  <c r="O1499" i="1"/>
  <c r="N1499" i="1"/>
  <c r="M1499" i="1"/>
  <c r="O1498" i="1" a="1"/>
  <c r="O1498" i="1"/>
  <c r="N1498" i="1"/>
  <c r="M1498" i="1"/>
  <c r="O1497" i="1" a="1"/>
  <c r="O1497" i="1"/>
  <c r="N1497" i="1"/>
  <c r="M1497" i="1"/>
  <c r="O1496" i="1" a="1"/>
  <c r="O1496" i="1"/>
  <c r="N1496" i="1"/>
  <c r="M1496" i="1"/>
  <c r="O1495" i="1" a="1"/>
  <c r="O1495" i="1"/>
  <c r="N1495" i="1"/>
  <c r="M1495" i="1"/>
  <c r="O1494" i="1" a="1"/>
  <c r="O1494" i="1"/>
  <c r="N1494" i="1"/>
  <c r="M1494" i="1"/>
  <c r="O1493" i="1" a="1"/>
  <c r="O1493" i="1"/>
  <c r="N1493" i="1"/>
  <c r="M1493" i="1"/>
  <c r="O1492" i="1" a="1"/>
  <c r="O1492" i="1"/>
  <c r="N1492" i="1"/>
  <c r="M1492" i="1"/>
  <c r="O1491" i="1" a="1"/>
  <c r="O1491" i="1"/>
  <c r="N1491" i="1"/>
  <c r="M1491" i="1"/>
  <c r="O1490" i="1" a="1"/>
  <c r="O1490" i="1"/>
  <c r="N1490" i="1"/>
  <c r="M1490" i="1"/>
  <c r="O1489" i="1" a="1"/>
  <c r="O1489" i="1"/>
  <c r="N1489" i="1"/>
  <c r="M1489" i="1"/>
  <c r="O1488" i="1" a="1"/>
  <c r="O1488" i="1"/>
  <c r="N1488" i="1"/>
  <c r="M1488" i="1"/>
  <c r="O1487" i="1" a="1"/>
  <c r="O1487" i="1"/>
  <c r="N1487" i="1"/>
  <c r="M1487" i="1"/>
  <c r="O1486" i="1" a="1"/>
  <c r="O1486" i="1"/>
  <c r="N1486" i="1"/>
  <c r="M1486" i="1"/>
  <c r="O1485" i="1" a="1"/>
  <c r="O1485" i="1"/>
  <c r="N1485" i="1"/>
  <c r="M1485" i="1"/>
  <c r="O1484" i="1" a="1"/>
  <c r="O1484" i="1"/>
  <c r="N1484" i="1"/>
  <c r="M1484" i="1"/>
  <c r="O1483" i="1" a="1"/>
  <c r="O1483" i="1"/>
  <c r="N1483" i="1"/>
  <c r="M1483" i="1"/>
  <c r="O1482" i="1" a="1"/>
  <c r="O1482" i="1"/>
  <c r="N1482" i="1"/>
  <c r="M1482" i="1"/>
  <c r="O1481" i="1" a="1"/>
  <c r="O1481" i="1"/>
  <c r="N1481" i="1"/>
  <c r="M1481" i="1"/>
  <c r="O1480" i="1" a="1"/>
  <c r="O1480" i="1"/>
  <c r="N1480" i="1"/>
  <c r="M1480" i="1"/>
  <c r="O1479" i="1" a="1"/>
  <c r="O1479" i="1"/>
  <c r="N1479" i="1"/>
  <c r="M1479" i="1"/>
  <c r="O1478" i="1" a="1"/>
  <c r="O1478" i="1"/>
  <c r="N1478" i="1"/>
  <c r="M1478" i="1"/>
  <c r="O1477" i="1" a="1"/>
  <c r="O1477" i="1"/>
  <c r="N1477" i="1"/>
  <c r="M1477" i="1"/>
  <c r="O1476" i="1" a="1"/>
  <c r="O1476" i="1"/>
  <c r="N1476" i="1"/>
  <c r="M1476" i="1"/>
  <c r="O1475" i="1" a="1"/>
  <c r="O1475" i="1"/>
  <c r="N1475" i="1"/>
  <c r="M1475" i="1"/>
  <c r="O1474" i="1" a="1"/>
  <c r="O1474" i="1"/>
  <c r="N1474" i="1"/>
  <c r="M1474" i="1"/>
  <c r="O1473" i="1" a="1"/>
  <c r="O1473" i="1"/>
  <c r="N1473" i="1"/>
  <c r="M1473" i="1"/>
  <c r="O1472" i="1" a="1"/>
  <c r="O1472" i="1"/>
  <c r="N1472" i="1"/>
  <c r="M1472" i="1"/>
  <c r="O1471" i="1" a="1"/>
  <c r="O1471" i="1"/>
  <c r="N1471" i="1"/>
  <c r="M1471" i="1"/>
  <c r="O1470" i="1" a="1"/>
  <c r="O1470" i="1"/>
  <c r="N1470" i="1"/>
  <c r="M1470" i="1"/>
  <c r="O1469" i="1" a="1"/>
  <c r="O1469" i="1"/>
  <c r="N1469" i="1"/>
  <c r="M1469" i="1"/>
  <c r="O1468" i="1" a="1"/>
  <c r="O1468" i="1"/>
  <c r="N1468" i="1"/>
  <c r="M1468" i="1"/>
  <c r="O1467" i="1" a="1"/>
  <c r="O1467" i="1"/>
  <c r="N1467" i="1"/>
  <c r="M1467" i="1"/>
  <c r="O1466" i="1" a="1"/>
  <c r="O1466" i="1"/>
  <c r="N1466" i="1"/>
  <c r="M1466" i="1"/>
  <c r="O1465" i="1" a="1"/>
  <c r="O1465" i="1"/>
  <c r="N1465" i="1"/>
  <c r="M1465" i="1"/>
  <c r="O1464" i="1" a="1"/>
  <c r="O1464" i="1"/>
  <c r="N1464" i="1"/>
  <c r="M1464" i="1"/>
  <c r="O1463" i="1" a="1"/>
  <c r="O1463" i="1"/>
  <c r="N1463" i="1"/>
  <c r="M1463" i="1"/>
  <c r="O1462" i="1" a="1"/>
  <c r="O1462" i="1"/>
  <c r="N1462" i="1"/>
  <c r="M1462" i="1"/>
  <c r="O1461" i="1" a="1"/>
  <c r="O1461" i="1"/>
  <c r="N1461" i="1"/>
  <c r="M1461" i="1"/>
  <c r="O1460" i="1" a="1"/>
  <c r="O1460" i="1"/>
  <c r="N1460" i="1"/>
  <c r="M1460" i="1"/>
  <c r="O1459" i="1" a="1"/>
  <c r="O1459" i="1"/>
  <c r="N1459" i="1"/>
  <c r="M1459" i="1"/>
  <c r="O1458" i="1" a="1"/>
  <c r="O1458" i="1"/>
  <c r="N1458" i="1"/>
  <c r="M1458" i="1"/>
  <c r="O1457" i="1" a="1"/>
  <c r="O1457" i="1"/>
  <c r="N1457" i="1"/>
  <c r="M1457" i="1"/>
  <c r="O1456" i="1" a="1"/>
  <c r="O1456" i="1"/>
  <c r="N1456" i="1"/>
  <c r="M1456" i="1"/>
  <c r="O1455" i="1" a="1"/>
  <c r="O1455" i="1"/>
  <c r="N1455" i="1"/>
  <c r="M1455" i="1"/>
  <c r="O1454" i="1" a="1"/>
  <c r="O1454" i="1"/>
  <c r="N1454" i="1"/>
  <c r="M1454" i="1"/>
  <c r="O1453" i="1" a="1"/>
  <c r="O1453" i="1"/>
  <c r="N1453" i="1"/>
  <c r="M1453" i="1"/>
  <c r="O1452" i="1" a="1"/>
  <c r="O1452" i="1"/>
  <c r="N1452" i="1"/>
  <c r="M1452" i="1"/>
  <c r="O1451" i="1" a="1"/>
  <c r="O1451" i="1"/>
  <c r="N1451" i="1"/>
  <c r="M1451" i="1"/>
  <c r="O1450" i="1" a="1"/>
  <c r="O1450" i="1"/>
  <c r="N1450" i="1"/>
  <c r="M1450" i="1"/>
  <c r="O1449" i="1" a="1"/>
  <c r="O1449" i="1"/>
  <c r="N1449" i="1"/>
  <c r="M1449" i="1"/>
  <c r="O1448" i="1" a="1"/>
  <c r="O1448" i="1"/>
  <c r="N1448" i="1"/>
  <c r="M1448" i="1"/>
  <c r="O1447" i="1" a="1"/>
  <c r="O1447" i="1"/>
  <c r="N1447" i="1"/>
  <c r="M1447" i="1"/>
  <c r="O1446" i="1" a="1"/>
  <c r="O1446" i="1"/>
  <c r="N1446" i="1"/>
  <c r="M1446" i="1"/>
  <c r="O1445" i="1" a="1"/>
  <c r="O1445" i="1"/>
  <c r="N1445" i="1"/>
  <c r="M1445" i="1"/>
  <c r="O1444" i="1" a="1"/>
  <c r="O1444" i="1"/>
  <c r="N1444" i="1"/>
  <c r="M1444" i="1"/>
  <c r="O1443" i="1" a="1"/>
  <c r="O1443" i="1"/>
  <c r="N1443" i="1"/>
  <c r="M1443" i="1"/>
  <c r="O1442" i="1" a="1"/>
  <c r="O1442" i="1"/>
  <c r="N1442" i="1"/>
  <c r="M1442" i="1"/>
  <c r="O1441" i="1" a="1"/>
  <c r="O1441" i="1"/>
  <c r="N1441" i="1"/>
  <c r="M1441" i="1"/>
  <c r="O1440" i="1" a="1"/>
  <c r="O1440" i="1"/>
  <c r="N1440" i="1"/>
  <c r="M1440" i="1"/>
  <c r="O1439" i="1" a="1"/>
  <c r="O1439" i="1"/>
  <c r="N1439" i="1"/>
  <c r="M1439" i="1"/>
  <c r="O1438" i="1" a="1"/>
  <c r="O1438" i="1"/>
  <c r="N1438" i="1"/>
  <c r="M1438" i="1"/>
  <c r="O1437" i="1" a="1"/>
  <c r="O1437" i="1"/>
  <c r="N1437" i="1"/>
  <c r="M1437" i="1"/>
  <c r="O1436" i="1" a="1"/>
  <c r="O1436" i="1"/>
  <c r="N1436" i="1"/>
  <c r="M1436" i="1"/>
  <c r="O1435" i="1" a="1"/>
  <c r="O1435" i="1"/>
  <c r="N1435" i="1"/>
  <c r="M1435" i="1"/>
  <c r="O1434" i="1" a="1"/>
  <c r="O1434" i="1"/>
  <c r="N1434" i="1"/>
  <c r="M1434" i="1"/>
  <c r="O1433" i="1" a="1"/>
  <c r="O1433" i="1"/>
  <c r="N1433" i="1"/>
  <c r="M1433" i="1"/>
  <c r="O1432" i="1" a="1"/>
  <c r="O1432" i="1"/>
  <c r="N1432" i="1"/>
  <c r="M1432" i="1"/>
  <c r="O1431" i="1" a="1"/>
  <c r="O1431" i="1"/>
  <c r="N1431" i="1"/>
  <c r="M1431" i="1"/>
  <c r="O1430" i="1" a="1"/>
  <c r="O1430" i="1"/>
  <c r="N1430" i="1"/>
  <c r="M1430" i="1"/>
  <c r="O1429" i="1" a="1"/>
  <c r="O1429" i="1"/>
  <c r="N1429" i="1"/>
  <c r="M1429" i="1"/>
  <c r="O1428" i="1" a="1"/>
  <c r="O1428" i="1"/>
  <c r="N1428" i="1"/>
  <c r="M1428" i="1"/>
  <c r="O1427" i="1" a="1"/>
  <c r="O1427" i="1"/>
  <c r="N1427" i="1"/>
  <c r="M1427" i="1"/>
  <c r="O1426" i="1" a="1"/>
  <c r="O1426" i="1"/>
  <c r="N1426" i="1"/>
  <c r="M1426" i="1"/>
  <c r="O1425" i="1" a="1"/>
  <c r="O1425" i="1"/>
  <c r="N1425" i="1"/>
  <c r="M1425" i="1"/>
  <c r="O1424" i="1" a="1"/>
  <c r="O1424" i="1"/>
  <c r="N1424" i="1"/>
  <c r="M1424" i="1"/>
  <c r="O1423" i="1" a="1"/>
  <c r="O1423" i="1"/>
  <c r="N1423" i="1"/>
  <c r="M1423" i="1"/>
  <c r="O1422" i="1" a="1"/>
  <c r="O1422" i="1"/>
  <c r="N1422" i="1"/>
  <c r="M1422" i="1"/>
  <c r="O1421" i="1" a="1"/>
  <c r="O1421" i="1"/>
  <c r="N1421" i="1"/>
  <c r="M1421" i="1"/>
  <c r="O1420" i="1" a="1"/>
  <c r="O1420" i="1"/>
  <c r="N1420" i="1"/>
  <c r="M1420" i="1"/>
  <c r="O1419" i="1" a="1"/>
  <c r="O1419" i="1"/>
  <c r="N1419" i="1"/>
  <c r="M1419" i="1"/>
  <c r="O1418" i="1" a="1"/>
  <c r="O1418" i="1"/>
  <c r="N1418" i="1"/>
  <c r="M1418" i="1"/>
  <c r="O1417" i="1" a="1"/>
  <c r="O1417" i="1"/>
  <c r="N1417" i="1"/>
  <c r="M1417" i="1"/>
  <c r="O1416" i="1" a="1"/>
  <c r="O1416" i="1"/>
  <c r="N1416" i="1"/>
  <c r="M1416" i="1"/>
  <c r="O1415" i="1" a="1"/>
  <c r="O1415" i="1"/>
  <c r="N1415" i="1"/>
  <c r="M1415" i="1"/>
  <c r="O1414" i="1" a="1"/>
  <c r="O1414" i="1"/>
  <c r="N1414" i="1"/>
  <c r="M1414" i="1"/>
  <c r="O1413" i="1" a="1"/>
  <c r="O1413" i="1"/>
  <c r="N1413" i="1"/>
  <c r="M1413" i="1"/>
  <c r="O1412" i="1" a="1"/>
  <c r="O1412" i="1"/>
  <c r="N1412" i="1"/>
  <c r="M1412" i="1"/>
  <c r="O1411" i="1" a="1"/>
  <c r="O1411" i="1"/>
  <c r="N1411" i="1"/>
  <c r="M1411" i="1"/>
  <c r="O1410" i="1" a="1"/>
  <c r="O1410" i="1"/>
  <c r="N1410" i="1"/>
  <c r="M1410" i="1"/>
  <c r="O1409" i="1" a="1"/>
  <c r="O1409" i="1"/>
  <c r="N1409" i="1"/>
  <c r="M1409" i="1"/>
  <c r="O1408" i="1" a="1"/>
  <c r="O1408" i="1"/>
  <c r="N1408" i="1"/>
  <c r="M1408" i="1"/>
  <c r="O1407" i="1" a="1"/>
  <c r="O1407" i="1"/>
  <c r="N1407" i="1"/>
  <c r="M1407" i="1"/>
  <c r="O1406" i="1" a="1"/>
  <c r="O1406" i="1"/>
  <c r="N1406" i="1"/>
  <c r="M1406" i="1"/>
  <c r="O1405" i="1" a="1"/>
  <c r="O1405" i="1"/>
  <c r="N1405" i="1"/>
  <c r="M1405" i="1"/>
  <c r="O1404" i="1" a="1"/>
  <c r="O1404" i="1"/>
  <c r="N1404" i="1"/>
  <c r="M1404" i="1"/>
  <c r="O1403" i="1" a="1"/>
  <c r="O1403" i="1"/>
  <c r="N1403" i="1"/>
  <c r="M1403" i="1"/>
  <c r="O1402" i="1" a="1"/>
  <c r="O1402" i="1"/>
  <c r="N1402" i="1"/>
  <c r="M1402" i="1"/>
  <c r="O1401" i="1" a="1"/>
  <c r="O1401" i="1"/>
  <c r="N1401" i="1"/>
  <c r="M1401" i="1"/>
  <c r="O1400" i="1" a="1"/>
  <c r="O1400" i="1"/>
  <c r="N1400" i="1"/>
  <c r="M1400" i="1"/>
  <c r="O1399" i="1" a="1"/>
  <c r="O1399" i="1"/>
  <c r="N1399" i="1"/>
  <c r="M1399" i="1"/>
  <c r="O1398" i="1" a="1"/>
  <c r="O1398" i="1"/>
  <c r="N1398" i="1"/>
  <c r="M1398" i="1"/>
  <c r="O1397" i="1" a="1"/>
  <c r="O1397" i="1"/>
  <c r="N1397" i="1"/>
  <c r="M1397" i="1"/>
  <c r="O1396" i="1" a="1"/>
  <c r="O1396" i="1"/>
  <c r="N1396" i="1"/>
  <c r="M1396" i="1"/>
  <c r="O1395" i="1" a="1"/>
  <c r="O1395" i="1"/>
  <c r="N1395" i="1"/>
  <c r="M1395" i="1"/>
  <c r="O1394" i="1" a="1"/>
  <c r="O1394" i="1"/>
  <c r="N1394" i="1"/>
  <c r="M1394" i="1"/>
  <c r="O1393" i="1" a="1"/>
  <c r="O1393" i="1"/>
  <c r="N1393" i="1"/>
  <c r="M1393" i="1"/>
  <c r="O1392" i="1" a="1"/>
  <c r="O1392" i="1"/>
  <c r="N1392" i="1"/>
  <c r="M1392" i="1"/>
  <c r="O1391" i="1" a="1"/>
  <c r="O1391" i="1"/>
  <c r="N1391" i="1"/>
  <c r="M1391" i="1"/>
  <c r="O1390" i="1" a="1"/>
  <c r="O1390" i="1"/>
  <c r="N1390" i="1"/>
  <c r="M1390" i="1"/>
  <c r="O1389" i="1" a="1"/>
  <c r="O1389" i="1"/>
  <c r="N1389" i="1"/>
  <c r="M1389" i="1"/>
  <c r="O1388" i="1" a="1"/>
  <c r="O1388" i="1"/>
  <c r="N1388" i="1"/>
  <c r="M1388" i="1"/>
  <c r="O1387" i="1" a="1"/>
  <c r="O1387" i="1"/>
  <c r="N1387" i="1"/>
  <c r="M1387" i="1"/>
  <c r="O1386" i="1" a="1"/>
  <c r="O1386" i="1"/>
  <c r="N1386" i="1"/>
  <c r="M1386" i="1"/>
  <c r="O1385" i="1" a="1"/>
  <c r="O1385" i="1"/>
  <c r="N1385" i="1"/>
  <c r="M1385" i="1"/>
  <c r="O1384" i="1" a="1"/>
  <c r="O1384" i="1"/>
  <c r="N1384" i="1"/>
  <c r="M1384" i="1"/>
  <c r="O1383" i="1" a="1"/>
  <c r="O1383" i="1"/>
  <c r="N1383" i="1"/>
  <c r="M1383" i="1"/>
  <c r="O1382" i="1" a="1"/>
  <c r="O1382" i="1"/>
  <c r="N1382" i="1"/>
  <c r="M1382" i="1"/>
  <c r="O1381" i="1" a="1"/>
  <c r="O1381" i="1"/>
  <c r="N1381" i="1"/>
  <c r="M1381" i="1"/>
  <c r="O1380" i="1" a="1"/>
  <c r="O1380" i="1"/>
  <c r="N1380" i="1"/>
  <c r="M1380" i="1"/>
  <c r="O1379" i="1" a="1"/>
  <c r="O1379" i="1"/>
  <c r="N1379" i="1"/>
  <c r="M1379" i="1"/>
  <c r="O1378" i="1" a="1"/>
  <c r="O1378" i="1"/>
  <c r="N1378" i="1"/>
  <c r="M1378" i="1"/>
  <c r="O1377" i="1" a="1"/>
  <c r="O1377" i="1"/>
  <c r="N1377" i="1"/>
  <c r="M1377" i="1"/>
  <c r="O1376" i="1" a="1"/>
  <c r="O1376" i="1"/>
  <c r="N1376" i="1"/>
  <c r="M1376" i="1"/>
  <c r="O1375" i="1" a="1"/>
  <c r="O1375" i="1"/>
  <c r="N1375" i="1"/>
  <c r="M1375" i="1"/>
  <c r="O1374" i="1" a="1"/>
  <c r="O1374" i="1"/>
  <c r="N1374" i="1"/>
  <c r="M1374" i="1"/>
  <c r="O1373" i="1" a="1"/>
  <c r="O1373" i="1"/>
  <c r="N1373" i="1"/>
  <c r="M1373" i="1"/>
  <c r="O1372" i="1" a="1"/>
  <c r="O1372" i="1"/>
  <c r="N1372" i="1"/>
  <c r="M1372" i="1"/>
  <c r="O1371" i="1" a="1"/>
  <c r="O1371" i="1"/>
  <c r="N1371" i="1"/>
  <c r="M1371" i="1"/>
  <c r="O1370" i="1" a="1"/>
  <c r="O1370" i="1"/>
  <c r="N1370" i="1"/>
  <c r="M1370" i="1"/>
  <c r="O1369" i="1" a="1"/>
  <c r="O1369" i="1"/>
  <c r="N1369" i="1"/>
  <c r="M1369" i="1"/>
  <c r="O1368" i="1" a="1"/>
  <c r="O1368" i="1"/>
  <c r="N1368" i="1"/>
  <c r="M1368" i="1"/>
  <c r="O1367" i="1" a="1"/>
  <c r="O1367" i="1"/>
  <c r="N1367" i="1"/>
  <c r="M1367" i="1"/>
  <c r="O1366" i="1" a="1"/>
  <c r="O1366" i="1"/>
  <c r="N1366" i="1"/>
  <c r="M1366" i="1"/>
  <c r="O1365" i="1" a="1"/>
  <c r="O1365" i="1"/>
  <c r="N1365" i="1"/>
  <c r="M1365" i="1"/>
  <c r="O1364" i="1" a="1"/>
  <c r="O1364" i="1"/>
  <c r="N1364" i="1"/>
  <c r="M1364" i="1"/>
  <c r="O1363" i="1" a="1"/>
  <c r="O1363" i="1"/>
  <c r="N1363" i="1"/>
  <c r="M1363" i="1"/>
  <c r="O1362" i="1" a="1"/>
  <c r="O1362" i="1"/>
  <c r="N1362" i="1"/>
  <c r="M1362" i="1"/>
  <c r="O1361" i="1" a="1"/>
  <c r="O1361" i="1"/>
  <c r="N1361" i="1"/>
  <c r="M1361" i="1"/>
  <c r="O1360" i="1" a="1"/>
  <c r="O1360" i="1"/>
  <c r="N1360" i="1"/>
  <c r="M1360" i="1"/>
  <c r="O1359" i="1" a="1"/>
  <c r="O1359" i="1"/>
  <c r="N1359" i="1"/>
  <c r="M1359" i="1"/>
  <c r="O1358" i="1" a="1"/>
  <c r="O1358" i="1"/>
  <c r="N1358" i="1"/>
  <c r="M1358" i="1"/>
  <c r="O1357" i="1" a="1"/>
  <c r="O1357" i="1"/>
  <c r="N1357" i="1"/>
  <c r="M1357" i="1"/>
  <c r="O1356" i="1" a="1"/>
  <c r="O1356" i="1"/>
  <c r="N1356" i="1"/>
  <c r="M1356" i="1"/>
  <c r="O1355" i="1" a="1"/>
  <c r="O1355" i="1"/>
  <c r="N1355" i="1"/>
  <c r="M1355" i="1"/>
  <c r="O1354" i="1" a="1"/>
  <c r="O1354" i="1"/>
  <c r="N1354" i="1"/>
  <c r="M1354" i="1"/>
  <c r="O1353" i="1" a="1"/>
  <c r="O1353" i="1"/>
  <c r="N1353" i="1"/>
  <c r="M1353" i="1"/>
  <c r="O1352" i="1" a="1"/>
  <c r="O1352" i="1"/>
  <c r="N1352" i="1"/>
  <c r="M1352" i="1"/>
  <c r="O1351" i="1" a="1"/>
  <c r="O1351" i="1"/>
  <c r="N1351" i="1"/>
  <c r="M1351" i="1"/>
  <c r="O1350" i="1" a="1"/>
  <c r="O1350" i="1"/>
  <c r="N1350" i="1"/>
  <c r="M1350" i="1"/>
  <c r="O1349" i="1" a="1"/>
  <c r="O1349" i="1"/>
  <c r="N1349" i="1"/>
  <c r="M1349" i="1"/>
  <c r="O1348" i="1" a="1"/>
  <c r="O1348" i="1"/>
  <c r="N1348" i="1"/>
  <c r="M1348" i="1"/>
  <c r="O1347" i="1" a="1"/>
  <c r="O1347" i="1"/>
  <c r="N1347" i="1"/>
  <c r="M1347" i="1"/>
  <c r="O1346" i="1" a="1"/>
  <c r="O1346" i="1"/>
  <c r="N1346" i="1"/>
  <c r="M1346" i="1"/>
  <c r="O1345" i="1" a="1"/>
  <c r="O1345" i="1"/>
  <c r="N1345" i="1"/>
  <c r="M1345" i="1"/>
  <c r="O1344" i="1" a="1"/>
  <c r="O1344" i="1"/>
  <c r="N1344" i="1"/>
  <c r="M1344" i="1"/>
  <c r="O1343" i="1" a="1"/>
  <c r="O1343" i="1"/>
  <c r="N1343" i="1"/>
  <c r="M1343" i="1"/>
  <c r="O1342" i="1" a="1"/>
  <c r="O1342" i="1"/>
  <c r="N1342" i="1"/>
  <c r="M1342" i="1"/>
  <c r="O1341" i="1" a="1"/>
  <c r="O1341" i="1"/>
  <c r="N1341" i="1"/>
  <c r="M1341" i="1"/>
  <c r="O1340" i="1" a="1"/>
  <c r="O1340" i="1"/>
  <c r="N1340" i="1"/>
  <c r="M1340" i="1"/>
  <c r="O1339" i="1" a="1"/>
  <c r="O1339" i="1"/>
  <c r="N1339" i="1"/>
  <c r="M1339" i="1"/>
  <c r="O1338" i="1" a="1"/>
  <c r="O1338" i="1"/>
  <c r="N1338" i="1"/>
  <c r="M1338" i="1"/>
  <c r="O1337" i="1" a="1"/>
  <c r="O1337" i="1"/>
  <c r="N1337" i="1"/>
  <c r="M1337" i="1"/>
  <c r="O1336" i="1" a="1"/>
  <c r="O1336" i="1"/>
  <c r="N1336" i="1"/>
  <c r="M1336" i="1"/>
  <c r="O1335" i="1" a="1"/>
  <c r="O1335" i="1"/>
  <c r="N1335" i="1"/>
  <c r="M1335" i="1"/>
  <c r="O1334" i="1" a="1"/>
  <c r="O1334" i="1"/>
  <c r="N1334" i="1"/>
  <c r="M1334" i="1"/>
  <c r="O1333" i="1" a="1"/>
  <c r="O1333" i="1"/>
  <c r="N1333" i="1"/>
  <c r="M1333" i="1"/>
  <c r="O1332" i="1" a="1"/>
  <c r="O1332" i="1"/>
  <c r="N1332" i="1"/>
  <c r="M1332" i="1"/>
  <c r="O1331" i="1" a="1"/>
  <c r="O1331" i="1"/>
  <c r="N1331" i="1"/>
  <c r="M1331" i="1"/>
  <c r="O1330" i="1" a="1"/>
  <c r="O1330" i="1"/>
  <c r="N1330" i="1"/>
  <c r="M1330" i="1"/>
  <c r="O1329" i="1" a="1"/>
  <c r="O1329" i="1"/>
  <c r="N1329" i="1"/>
  <c r="M1329" i="1"/>
  <c r="O1328" i="1" a="1"/>
  <c r="O1328" i="1"/>
  <c r="N1328" i="1"/>
  <c r="M1328" i="1"/>
  <c r="O1327" i="1" a="1"/>
  <c r="O1327" i="1"/>
  <c r="N1327" i="1"/>
  <c r="M1327" i="1"/>
  <c r="O1326" i="1" a="1"/>
  <c r="O1326" i="1"/>
  <c r="N1326" i="1"/>
  <c r="M1326" i="1"/>
  <c r="O1325" i="1" a="1"/>
  <c r="O1325" i="1"/>
  <c r="N1325" i="1"/>
  <c r="M1325" i="1"/>
  <c r="O1324" i="1" a="1"/>
  <c r="O1324" i="1"/>
  <c r="N1324" i="1"/>
  <c r="M1324" i="1"/>
  <c r="O1323" i="1" a="1"/>
  <c r="O1323" i="1"/>
  <c r="N1323" i="1"/>
  <c r="M1323" i="1"/>
  <c r="O1322" i="1" a="1"/>
  <c r="O1322" i="1"/>
  <c r="N1322" i="1"/>
  <c r="M1322" i="1"/>
  <c r="O1321" i="1" a="1"/>
  <c r="O1321" i="1"/>
  <c r="N1321" i="1"/>
  <c r="M1321" i="1"/>
  <c r="O1320" i="1" a="1"/>
  <c r="O1320" i="1"/>
  <c r="N1320" i="1"/>
  <c r="M1320" i="1"/>
  <c r="O1319" i="1" a="1"/>
  <c r="O1319" i="1"/>
  <c r="N1319" i="1"/>
  <c r="M1319" i="1"/>
  <c r="O1318" i="1" a="1"/>
  <c r="O1318" i="1"/>
  <c r="N1318" i="1"/>
  <c r="M1318" i="1"/>
  <c r="O1317" i="1" a="1"/>
  <c r="O1317" i="1"/>
  <c r="N1317" i="1"/>
  <c r="M1317" i="1"/>
  <c r="O1316" i="1" a="1"/>
  <c r="O1316" i="1"/>
  <c r="N1316" i="1"/>
  <c r="M1316" i="1"/>
  <c r="O1315" i="1" a="1"/>
  <c r="O1315" i="1"/>
  <c r="N1315" i="1"/>
  <c r="M1315" i="1"/>
  <c r="O1314" i="1" a="1"/>
  <c r="O1314" i="1"/>
  <c r="N1314" i="1"/>
  <c r="M1314" i="1"/>
  <c r="O1313" i="1" a="1"/>
  <c r="O1313" i="1"/>
  <c r="N1313" i="1"/>
  <c r="M1313" i="1"/>
  <c r="O1312" i="1" a="1"/>
  <c r="O1312" i="1"/>
  <c r="N1312" i="1"/>
  <c r="M1312" i="1"/>
  <c r="O1311" i="1" a="1"/>
  <c r="O1311" i="1"/>
  <c r="N1311" i="1"/>
  <c r="M1311" i="1"/>
  <c r="O1310" i="1" a="1"/>
  <c r="O1310" i="1"/>
  <c r="N1310" i="1"/>
  <c r="M1310" i="1"/>
  <c r="O1309" i="1" a="1"/>
  <c r="O1309" i="1"/>
  <c r="N1309" i="1"/>
  <c r="M1309" i="1"/>
  <c r="O1308" i="1" a="1"/>
  <c r="O1308" i="1"/>
  <c r="N1308" i="1"/>
  <c r="M1308" i="1"/>
  <c r="O1307" i="1" a="1"/>
  <c r="O1307" i="1"/>
  <c r="N1307" i="1"/>
  <c r="M1307" i="1"/>
  <c r="O1306" i="1" a="1"/>
  <c r="O1306" i="1"/>
  <c r="N1306" i="1"/>
  <c r="M1306" i="1"/>
  <c r="O1305" i="1" a="1"/>
  <c r="O1305" i="1"/>
  <c r="N1305" i="1"/>
  <c r="M1305" i="1"/>
  <c r="O1304" i="1" a="1"/>
  <c r="O1304" i="1"/>
  <c r="N1304" i="1"/>
  <c r="M1304" i="1"/>
  <c r="O1303" i="1" a="1"/>
  <c r="O1303" i="1"/>
  <c r="N1303" i="1"/>
  <c r="M1303" i="1"/>
  <c r="O1302" i="1" a="1"/>
  <c r="O1302" i="1"/>
  <c r="N1302" i="1"/>
  <c r="M1302" i="1"/>
  <c r="O1301" i="1" a="1"/>
  <c r="O1301" i="1"/>
  <c r="N1301" i="1"/>
  <c r="M1301" i="1"/>
  <c r="O1300" i="1" a="1"/>
  <c r="O1300" i="1"/>
  <c r="N1300" i="1"/>
  <c r="M1300" i="1"/>
  <c r="O1299" i="1" a="1"/>
  <c r="O1299" i="1"/>
  <c r="N1299" i="1"/>
  <c r="M1299" i="1"/>
  <c r="O1298" i="1" a="1"/>
  <c r="O1298" i="1"/>
  <c r="N1298" i="1"/>
  <c r="M1298" i="1"/>
  <c r="O1297" i="1" a="1"/>
  <c r="O1297" i="1"/>
  <c r="N1297" i="1"/>
  <c r="M1297" i="1"/>
  <c r="O1296" i="1" a="1"/>
  <c r="O1296" i="1"/>
  <c r="N1296" i="1"/>
  <c r="M1296" i="1"/>
  <c r="O1295" i="1" a="1"/>
  <c r="O1295" i="1"/>
  <c r="N1295" i="1"/>
  <c r="M1295" i="1"/>
  <c r="O1294" i="1" a="1"/>
  <c r="O1294" i="1"/>
  <c r="N1294" i="1"/>
  <c r="M1294" i="1"/>
  <c r="O1293" i="1" a="1"/>
  <c r="O1293" i="1"/>
  <c r="N1293" i="1"/>
  <c r="M1293" i="1"/>
  <c r="O1292" i="1" a="1"/>
  <c r="O1292" i="1"/>
  <c r="N1292" i="1"/>
  <c r="M1292" i="1"/>
  <c r="O1291" i="1" a="1"/>
  <c r="O1291" i="1"/>
  <c r="N1291" i="1"/>
  <c r="M1291" i="1"/>
  <c r="O1290" i="1" a="1"/>
  <c r="O1290" i="1"/>
  <c r="N1290" i="1"/>
  <c r="M1290" i="1"/>
  <c r="O1289" i="1" a="1"/>
  <c r="O1289" i="1"/>
  <c r="N1289" i="1"/>
  <c r="M1289" i="1"/>
  <c r="O1288" i="1" a="1"/>
  <c r="O1288" i="1"/>
  <c r="N1288" i="1"/>
  <c r="M1288" i="1"/>
  <c r="O1287" i="1" a="1"/>
  <c r="O1287" i="1"/>
  <c r="N1287" i="1"/>
  <c r="M1287" i="1"/>
  <c r="O1286" i="1" a="1"/>
  <c r="O1286" i="1"/>
  <c r="N1286" i="1"/>
  <c r="M1286" i="1"/>
  <c r="O1285" i="1" a="1"/>
  <c r="O1285" i="1"/>
  <c r="N1285" i="1"/>
  <c r="M1285" i="1"/>
  <c r="O1284" i="1" a="1"/>
  <c r="O1284" i="1"/>
  <c r="N1284" i="1"/>
  <c r="M1284" i="1"/>
  <c r="O1283" i="1" a="1"/>
  <c r="O1283" i="1"/>
  <c r="N1283" i="1"/>
  <c r="M1283" i="1"/>
  <c r="O1282" i="1" a="1"/>
  <c r="O1282" i="1"/>
  <c r="N1282" i="1"/>
  <c r="M1282" i="1"/>
  <c r="O1281" i="1" a="1"/>
  <c r="O1281" i="1"/>
  <c r="N1281" i="1"/>
  <c r="M1281" i="1"/>
  <c r="O1280" i="1" a="1"/>
  <c r="O1280" i="1"/>
  <c r="N1280" i="1"/>
  <c r="M1280" i="1"/>
  <c r="O1279" i="1" a="1"/>
  <c r="O1279" i="1"/>
  <c r="N1279" i="1"/>
  <c r="M1279" i="1"/>
  <c r="O1278" i="1" a="1"/>
  <c r="O1278" i="1"/>
  <c r="N1278" i="1"/>
  <c r="M1278" i="1"/>
  <c r="O1277" i="1" a="1"/>
  <c r="O1277" i="1"/>
  <c r="N1277" i="1"/>
  <c r="M1277" i="1"/>
  <c r="O1276" i="1" a="1"/>
  <c r="O1276" i="1"/>
  <c r="N1276" i="1"/>
  <c r="M1276" i="1"/>
  <c r="O1275" i="1" a="1"/>
  <c r="O1275" i="1"/>
  <c r="N1275" i="1"/>
  <c r="M1275" i="1"/>
  <c r="O1274" i="1" a="1"/>
  <c r="O1274" i="1"/>
  <c r="N1274" i="1"/>
  <c r="M1274" i="1"/>
  <c r="O1273" i="1" a="1"/>
  <c r="O1273" i="1"/>
  <c r="N1273" i="1"/>
  <c r="M1273" i="1"/>
  <c r="O1272" i="1" a="1"/>
  <c r="O1272" i="1"/>
  <c r="N1272" i="1"/>
  <c r="M1272" i="1"/>
  <c r="O1271" i="1" a="1"/>
  <c r="O1271" i="1"/>
  <c r="N1271" i="1"/>
  <c r="M1271" i="1"/>
  <c r="O1270" i="1" a="1"/>
  <c r="O1270" i="1"/>
  <c r="N1270" i="1"/>
  <c r="M1270" i="1"/>
  <c r="O1269" i="1" a="1"/>
  <c r="O1269" i="1"/>
  <c r="N1269" i="1"/>
  <c r="M1269" i="1"/>
  <c r="O1268" i="1" a="1"/>
  <c r="O1268" i="1"/>
  <c r="N1268" i="1"/>
  <c r="M1268" i="1"/>
  <c r="O1267" i="1" a="1"/>
  <c r="O1267" i="1"/>
  <c r="N1267" i="1"/>
  <c r="M1267" i="1"/>
  <c r="O1266" i="1" a="1"/>
  <c r="O1266" i="1"/>
  <c r="N1266" i="1"/>
  <c r="M1266" i="1"/>
  <c r="O1265" i="1" a="1"/>
  <c r="O1265" i="1"/>
  <c r="N1265" i="1"/>
  <c r="M1265" i="1"/>
  <c r="O1264" i="1" a="1"/>
  <c r="O1264" i="1"/>
  <c r="N1264" i="1"/>
  <c r="M1264" i="1"/>
  <c r="O1263" i="1" a="1"/>
  <c r="O1263" i="1"/>
  <c r="N1263" i="1"/>
  <c r="M1263" i="1"/>
  <c r="O1262" i="1" a="1"/>
  <c r="O1262" i="1"/>
  <c r="N1262" i="1"/>
  <c r="M1262" i="1"/>
  <c r="O1261" i="1" a="1"/>
  <c r="O1261" i="1"/>
  <c r="N1261" i="1"/>
  <c r="M1261" i="1"/>
  <c r="O1260" i="1" a="1"/>
  <c r="O1260" i="1"/>
  <c r="N1260" i="1"/>
  <c r="M1260" i="1"/>
  <c r="O1259" i="1" a="1"/>
  <c r="O1259" i="1"/>
  <c r="N1259" i="1"/>
  <c r="M1259" i="1"/>
  <c r="O1258" i="1" a="1"/>
  <c r="O1258" i="1"/>
  <c r="N1258" i="1"/>
  <c r="M1258" i="1"/>
  <c r="O1257" i="1" a="1"/>
  <c r="O1257" i="1"/>
  <c r="N1257" i="1"/>
  <c r="M1257" i="1"/>
  <c r="O1256" i="1" a="1"/>
  <c r="O1256" i="1"/>
  <c r="N1256" i="1"/>
  <c r="M1256" i="1"/>
  <c r="O1255" i="1" a="1"/>
  <c r="O1255" i="1"/>
  <c r="N1255" i="1"/>
  <c r="M1255" i="1"/>
  <c r="O1254" i="1" a="1"/>
  <c r="O1254" i="1"/>
  <c r="N1254" i="1"/>
  <c r="M1254" i="1"/>
  <c r="O1253" i="1" a="1"/>
  <c r="O1253" i="1"/>
  <c r="N1253" i="1"/>
  <c r="M1253" i="1"/>
  <c r="O1252" i="1" a="1"/>
  <c r="O1252" i="1"/>
  <c r="N1252" i="1"/>
  <c r="M1252" i="1"/>
  <c r="O1251" i="1" a="1"/>
  <c r="O1251" i="1"/>
  <c r="N1251" i="1"/>
  <c r="M1251" i="1"/>
  <c r="O1250" i="1" a="1"/>
  <c r="O1250" i="1"/>
  <c r="N1250" i="1"/>
  <c r="M1250" i="1"/>
  <c r="O1249" i="1" a="1"/>
  <c r="O1249" i="1"/>
  <c r="N1249" i="1"/>
  <c r="M1249" i="1"/>
  <c r="O1248" i="1" a="1"/>
  <c r="O1248" i="1"/>
  <c r="N1248" i="1"/>
  <c r="M1248" i="1"/>
  <c r="O1247" i="1" a="1"/>
  <c r="O1247" i="1"/>
  <c r="N1247" i="1"/>
  <c r="M1247" i="1"/>
  <c r="O1246" i="1" a="1"/>
  <c r="O1246" i="1"/>
  <c r="N1246" i="1"/>
  <c r="M1246" i="1"/>
  <c r="O1245" i="1" a="1"/>
  <c r="O1245" i="1"/>
  <c r="N1245" i="1"/>
  <c r="M1245" i="1"/>
  <c r="O1244" i="1" a="1"/>
  <c r="O1244" i="1"/>
  <c r="N1244" i="1"/>
  <c r="M1244" i="1"/>
  <c r="O1243" i="1" a="1"/>
  <c r="O1243" i="1"/>
  <c r="N1243" i="1"/>
  <c r="M1243" i="1"/>
  <c r="O1242" i="1" a="1"/>
  <c r="O1242" i="1"/>
  <c r="N1242" i="1"/>
  <c r="M1242" i="1"/>
  <c r="O1241" i="1" a="1"/>
  <c r="O1241" i="1"/>
  <c r="N1241" i="1"/>
  <c r="M1241" i="1"/>
  <c r="O1240" i="1" a="1"/>
  <c r="O1240" i="1"/>
  <c r="N1240" i="1"/>
  <c r="M1240" i="1"/>
  <c r="O1239" i="1" a="1"/>
  <c r="O1239" i="1"/>
  <c r="N1239" i="1"/>
  <c r="M1239" i="1"/>
  <c r="O1238" i="1" a="1"/>
  <c r="O1238" i="1"/>
  <c r="N1238" i="1"/>
  <c r="M1238" i="1"/>
  <c r="O1237" i="1" a="1"/>
  <c r="O1237" i="1"/>
  <c r="N1237" i="1"/>
  <c r="M1237" i="1"/>
  <c r="O1236" i="1" a="1"/>
  <c r="O1236" i="1"/>
  <c r="N1236" i="1"/>
  <c r="M1236" i="1"/>
  <c r="O1235" i="1" a="1"/>
  <c r="O1235" i="1"/>
  <c r="N1235" i="1"/>
  <c r="M1235" i="1"/>
  <c r="O1234" i="1" a="1"/>
  <c r="O1234" i="1"/>
  <c r="N1234" i="1"/>
  <c r="M1234" i="1"/>
  <c r="O1233" i="1" a="1"/>
  <c r="O1233" i="1"/>
  <c r="N1233" i="1"/>
  <c r="M1233" i="1"/>
  <c r="O1232" i="1" a="1"/>
  <c r="O1232" i="1"/>
  <c r="N1232" i="1"/>
  <c r="M1232" i="1"/>
  <c r="O1231" i="1" a="1"/>
  <c r="O1231" i="1"/>
  <c r="N1231" i="1"/>
  <c r="M1231" i="1"/>
  <c r="O1230" i="1" a="1"/>
  <c r="O1230" i="1"/>
  <c r="N1230" i="1"/>
  <c r="M1230" i="1"/>
  <c r="O1229" i="1" a="1"/>
  <c r="O1229" i="1"/>
  <c r="N1229" i="1"/>
  <c r="M1229" i="1"/>
  <c r="O1228" i="1" a="1"/>
  <c r="O1228" i="1"/>
  <c r="N1228" i="1"/>
  <c r="M1228" i="1"/>
  <c r="O1227" i="1" a="1"/>
  <c r="O1227" i="1"/>
  <c r="N1227" i="1"/>
  <c r="M1227" i="1"/>
  <c r="O1226" i="1" a="1"/>
  <c r="O1226" i="1"/>
  <c r="N1226" i="1"/>
  <c r="M1226" i="1"/>
  <c r="O1225" i="1" a="1"/>
  <c r="O1225" i="1"/>
  <c r="N1225" i="1"/>
  <c r="M1225" i="1"/>
  <c r="O1224" i="1" a="1"/>
  <c r="O1224" i="1"/>
  <c r="N1224" i="1"/>
  <c r="M1224" i="1"/>
  <c r="O1223" i="1" a="1"/>
  <c r="O1223" i="1"/>
  <c r="N1223" i="1"/>
  <c r="M1223" i="1"/>
  <c r="O1222" i="1" a="1"/>
  <c r="O1222" i="1"/>
  <c r="N1222" i="1"/>
  <c r="M1222" i="1"/>
  <c r="O1221" i="1" a="1"/>
  <c r="O1221" i="1"/>
  <c r="N1221" i="1"/>
  <c r="M1221" i="1"/>
  <c r="O1220" i="1" a="1"/>
  <c r="O1220" i="1"/>
  <c r="N1220" i="1"/>
  <c r="M1220" i="1"/>
  <c r="O1219" i="1" a="1"/>
  <c r="O1219" i="1"/>
  <c r="N1219" i="1"/>
  <c r="M1219" i="1"/>
  <c r="O1218" i="1" a="1"/>
  <c r="O1218" i="1"/>
  <c r="N1218" i="1"/>
  <c r="M1218" i="1"/>
  <c r="O1217" i="1" a="1"/>
  <c r="O1217" i="1"/>
  <c r="N1217" i="1"/>
  <c r="M1217" i="1"/>
  <c r="O1216" i="1" a="1"/>
  <c r="O1216" i="1"/>
  <c r="N1216" i="1"/>
  <c r="M1216" i="1"/>
  <c r="O1215" i="1" a="1"/>
  <c r="O1215" i="1"/>
  <c r="N1215" i="1"/>
  <c r="M1215" i="1"/>
  <c r="O1214" i="1" a="1"/>
  <c r="O1214" i="1"/>
  <c r="N1214" i="1"/>
  <c r="M1214" i="1"/>
  <c r="O1213" i="1" a="1"/>
  <c r="O1213" i="1"/>
  <c r="N1213" i="1"/>
  <c r="M1213" i="1"/>
  <c r="O1212" i="1" a="1"/>
  <c r="O1212" i="1"/>
  <c r="N1212" i="1"/>
  <c r="M1212" i="1"/>
  <c r="O1211" i="1" a="1"/>
  <c r="O1211" i="1"/>
  <c r="N1211" i="1"/>
  <c r="M1211" i="1"/>
  <c r="O1210" i="1" a="1"/>
  <c r="O1210" i="1"/>
  <c r="N1210" i="1"/>
  <c r="M1210" i="1"/>
  <c r="O1209" i="1" a="1"/>
  <c r="O1209" i="1"/>
  <c r="N1209" i="1"/>
  <c r="M1209" i="1"/>
  <c r="O1208" i="1" a="1"/>
  <c r="O1208" i="1"/>
  <c r="N1208" i="1"/>
  <c r="M1208" i="1"/>
  <c r="O1207" i="1" a="1"/>
  <c r="O1207" i="1"/>
  <c r="N1207" i="1"/>
  <c r="M1207" i="1"/>
  <c r="O1206" i="1" a="1"/>
  <c r="O1206" i="1"/>
  <c r="N1206" i="1"/>
  <c r="M1206" i="1"/>
  <c r="O1205" i="1" a="1"/>
  <c r="O1205" i="1"/>
  <c r="N1205" i="1"/>
  <c r="M1205" i="1"/>
  <c r="O1204" i="1" a="1"/>
  <c r="O1204" i="1"/>
  <c r="N1204" i="1"/>
  <c r="M1204" i="1"/>
  <c r="O1203" i="1" a="1"/>
  <c r="O1203" i="1"/>
  <c r="N1203" i="1"/>
  <c r="M1203" i="1"/>
  <c r="O1202" i="1" a="1"/>
  <c r="O1202" i="1"/>
  <c r="N1202" i="1"/>
  <c r="M1202" i="1"/>
  <c r="O1201" i="1" a="1"/>
  <c r="O1201" i="1"/>
  <c r="N1201" i="1"/>
  <c r="M1201" i="1"/>
  <c r="O1200" i="1" a="1"/>
  <c r="O1200" i="1"/>
  <c r="N1200" i="1"/>
  <c r="M1200" i="1"/>
  <c r="O1199" i="1" a="1"/>
  <c r="O1199" i="1"/>
  <c r="N1199" i="1"/>
  <c r="M1199" i="1"/>
  <c r="O1198" i="1" a="1"/>
  <c r="O1198" i="1"/>
  <c r="N1198" i="1"/>
  <c r="M1198" i="1"/>
  <c r="O1197" i="1" a="1"/>
  <c r="O1197" i="1"/>
  <c r="N1197" i="1"/>
  <c r="M1197" i="1"/>
  <c r="O1196" i="1" a="1"/>
  <c r="O1196" i="1"/>
  <c r="N1196" i="1"/>
  <c r="M1196" i="1"/>
  <c r="O1195" i="1" a="1"/>
  <c r="O1195" i="1"/>
  <c r="N1195" i="1"/>
  <c r="M1195" i="1"/>
  <c r="O1194" i="1" a="1"/>
  <c r="O1194" i="1"/>
  <c r="N1194" i="1"/>
  <c r="M1194" i="1"/>
  <c r="O1193" i="1" a="1"/>
  <c r="O1193" i="1"/>
  <c r="N1193" i="1"/>
  <c r="M1193" i="1"/>
  <c r="O1192" i="1" a="1"/>
  <c r="O1192" i="1"/>
  <c r="N1192" i="1"/>
  <c r="M1192" i="1"/>
  <c r="O1191" i="1" a="1"/>
  <c r="O1191" i="1"/>
  <c r="N1191" i="1"/>
  <c r="M1191" i="1"/>
  <c r="O1190" i="1" a="1"/>
  <c r="O1190" i="1"/>
  <c r="N1190" i="1"/>
  <c r="M1190" i="1"/>
  <c r="O1189" i="1" a="1"/>
  <c r="O1189" i="1"/>
  <c r="N1189" i="1"/>
  <c r="M1189" i="1"/>
  <c r="O1188" i="1" a="1"/>
  <c r="O1188" i="1"/>
  <c r="N1188" i="1"/>
  <c r="M1188" i="1"/>
  <c r="O1187" i="1" a="1"/>
  <c r="O1187" i="1"/>
  <c r="N1187" i="1"/>
  <c r="M1187" i="1"/>
  <c r="O1186" i="1" a="1"/>
  <c r="O1186" i="1"/>
  <c r="N1186" i="1"/>
  <c r="M1186" i="1"/>
  <c r="O1185" i="1" a="1"/>
  <c r="O1185" i="1"/>
  <c r="N1185" i="1"/>
  <c r="M1185" i="1"/>
  <c r="O1184" i="1" a="1"/>
  <c r="O1184" i="1"/>
  <c r="N1184" i="1"/>
  <c r="M1184" i="1"/>
  <c r="O1183" i="1" a="1"/>
  <c r="O1183" i="1"/>
  <c r="N1183" i="1"/>
  <c r="M1183" i="1"/>
  <c r="O1182" i="1" a="1"/>
  <c r="O1182" i="1"/>
  <c r="N1182" i="1"/>
  <c r="M1182" i="1"/>
  <c r="O1181" i="1" a="1"/>
  <c r="O1181" i="1"/>
  <c r="N1181" i="1"/>
  <c r="M1181" i="1"/>
  <c r="O1180" i="1" a="1"/>
  <c r="O1180" i="1"/>
  <c r="N1180" i="1"/>
  <c r="M1180" i="1"/>
  <c r="O1179" i="1" a="1"/>
  <c r="O1179" i="1"/>
  <c r="N1179" i="1"/>
  <c r="M1179" i="1"/>
  <c r="O1178" i="1" a="1"/>
  <c r="O1178" i="1"/>
  <c r="N1178" i="1"/>
  <c r="M1178" i="1"/>
  <c r="O1177" i="1" a="1"/>
  <c r="O1177" i="1"/>
  <c r="N1177" i="1"/>
  <c r="M1177" i="1"/>
  <c r="O1176" i="1" a="1"/>
  <c r="O1176" i="1"/>
  <c r="N1176" i="1"/>
  <c r="M1176" i="1"/>
  <c r="O1175" i="1" a="1"/>
  <c r="O1175" i="1"/>
  <c r="N1175" i="1"/>
  <c r="M1175" i="1"/>
  <c r="O1174" i="1" a="1"/>
  <c r="O1174" i="1"/>
  <c r="N1174" i="1"/>
  <c r="M1174" i="1"/>
  <c r="O1173" i="1" a="1"/>
  <c r="O1173" i="1"/>
  <c r="N1173" i="1"/>
  <c r="M1173" i="1"/>
  <c r="O1172" i="1" a="1"/>
  <c r="O1172" i="1"/>
  <c r="N1172" i="1"/>
  <c r="M1172" i="1"/>
  <c r="O1171" i="1" a="1"/>
  <c r="O1171" i="1"/>
  <c r="N1171" i="1"/>
  <c r="M1171" i="1"/>
  <c r="O1170" i="1" a="1"/>
  <c r="O1170" i="1"/>
  <c r="N1170" i="1"/>
  <c r="M1170" i="1"/>
  <c r="O1169" i="1" a="1"/>
  <c r="O1169" i="1"/>
  <c r="N1169" i="1"/>
  <c r="M1169" i="1"/>
  <c r="O1168" i="1" a="1"/>
  <c r="O1168" i="1"/>
  <c r="N1168" i="1"/>
  <c r="M1168" i="1"/>
  <c r="O1167" i="1" a="1"/>
  <c r="O1167" i="1"/>
  <c r="N1167" i="1"/>
  <c r="M1167" i="1"/>
  <c r="O1166" i="1" a="1"/>
  <c r="O1166" i="1"/>
  <c r="N1166" i="1"/>
  <c r="M1166" i="1"/>
  <c r="O1165" i="1" a="1"/>
  <c r="O1165" i="1"/>
  <c r="N1165" i="1"/>
  <c r="M1165" i="1"/>
  <c r="O1164" i="1" a="1"/>
  <c r="O1164" i="1"/>
  <c r="N1164" i="1"/>
  <c r="M1164" i="1"/>
  <c r="O1163" i="1" a="1"/>
  <c r="O1163" i="1"/>
  <c r="N1163" i="1"/>
  <c r="M1163" i="1"/>
  <c r="O1162" i="1" a="1"/>
  <c r="O1162" i="1"/>
  <c r="N1162" i="1"/>
  <c r="M1162" i="1"/>
  <c r="O1161" i="1" a="1"/>
  <c r="O1161" i="1"/>
  <c r="N1161" i="1"/>
  <c r="M1161" i="1"/>
  <c r="O1160" i="1" a="1"/>
  <c r="O1160" i="1"/>
  <c r="N1160" i="1"/>
  <c r="M1160" i="1"/>
  <c r="O1159" i="1" a="1"/>
  <c r="O1159" i="1"/>
  <c r="N1159" i="1"/>
  <c r="M1159" i="1"/>
  <c r="O1158" i="1" a="1"/>
  <c r="O1158" i="1"/>
  <c r="N1158" i="1"/>
  <c r="M1158" i="1"/>
  <c r="O1157" i="1" a="1"/>
  <c r="O1157" i="1"/>
  <c r="N1157" i="1"/>
  <c r="M1157" i="1"/>
  <c r="O1156" i="1" a="1"/>
  <c r="O1156" i="1"/>
  <c r="N1156" i="1"/>
  <c r="M1156" i="1"/>
  <c r="O1155" i="1" a="1"/>
  <c r="O1155" i="1"/>
  <c r="N1155" i="1"/>
  <c r="M1155" i="1"/>
  <c r="O1154" i="1" a="1"/>
  <c r="O1154" i="1"/>
  <c r="N1154" i="1"/>
  <c r="M1154" i="1"/>
  <c r="O1153" i="1" a="1"/>
  <c r="O1153" i="1"/>
  <c r="N1153" i="1"/>
  <c r="M1153" i="1"/>
  <c r="O1152" i="1" a="1"/>
  <c r="O1152" i="1"/>
  <c r="N1152" i="1"/>
  <c r="M1152" i="1"/>
  <c r="O1151" i="1" a="1"/>
  <c r="O1151" i="1"/>
  <c r="N1151" i="1"/>
  <c r="M1151" i="1"/>
  <c r="O1150" i="1" a="1"/>
  <c r="O1150" i="1"/>
  <c r="N1150" i="1"/>
  <c r="M1150" i="1"/>
  <c r="O1149" i="1" a="1"/>
  <c r="O1149" i="1"/>
  <c r="N1149" i="1"/>
  <c r="M1149" i="1"/>
  <c r="O1148" i="1" a="1"/>
  <c r="O1148" i="1"/>
  <c r="N1148" i="1"/>
  <c r="M1148" i="1"/>
  <c r="O1147" i="1" a="1"/>
  <c r="O1147" i="1"/>
  <c r="N1147" i="1"/>
  <c r="M1147" i="1"/>
  <c r="O1146" i="1" a="1"/>
  <c r="O1146" i="1"/>
  <c r="N1146" i="1"/>
  <c r="M1146" i="1"/>
  <c r="O1145" i="1" a="1"/>
  <c r="O1145" i="1"/>
  <c r="N1145" i="1"/>
  <c r="M1145" i="1"/>
  <c r="O1144" i="1" a="1"/>
  <c r="O1144" i="1"/>
  <c r="N1144" i="1"/>
  <c r="M1144" i="1"/>
  <c r="O1143" i="1" a="1"/>
  <c r="O1143" i="1"/>
  <c r="N1143" i="1"/>
  <c r="M1143" i="1"/>
  <c r="O1142" i="1" a="1"/>
  <c r="O1142" i="1"/>
  <c r="N1142" i="1"/>
  <c r="M1142" i="1"/>
  <c r="O1141" i="1" a="1"/>
  <c r="O1141" i="1"/>
  <c r="N1141" i="1"/>
  <c r="M1141" i="1"/>
  <c r="O1140" i="1" a="1"/>
  <c r="O1140" i="1"/>
  <c r="N1140" i="1"/>
  <c r="M1140" i="1"/>
  <c r="O1139" i="1" a="1"/>
  <c r="O1139" i="1"/>
  <c r="N1139" i="1"/>
  <c r="M1139" i="1"/>
  <c r="O1138" i="1" a="1"/>
  <c r="O1138" i="1"/>
  <c r="N1138" i="1"/>
  <c r="M1138" i="1"/>
  <c r="O1137" i="1" a="1"/>
  <c r="O1137" i="1"/>
  <c r="N1137" i="1"/>
  <c r="M1137" i="1"/>
  <c r="O1136" i="1" a="1"/>
  <c r="O1136" i="1"/>
  <c r="N1136" i="1"/>
  <c r="M1136" i="1"/>
  <c r="O1135" i="1" a="1"/>
  <c r="O1135" i="1"/>
  <c r="N1135" i="1"/>
  <c r="M1135" i="1"/>
  <c r="O1134" i="1" a="1"/>
  <c r="O1134" i="1"/>
  <c r="N1134" i="1"/>
  <c r="M1134" i="1"/>
  <c r="O1133" i="1" a="1"/>
  <c r="O1133" i="1"/>
  <c r="N1133" i="1"/>
  <c r="M1133" i="1"/>
  <c r="O1132" i="1" a="1"/>
  <c r="O1132" i="1"/>
  <c r="N1132" i="1"/>
  <c r="M1132" i="1"/>
  <c r="O1131" i="1" a="1"/>
  <c r="O1131" i="1"/>
  <c r="N1131" i="1"/>
  <c r="M1131" i="1"/>
  <c r="O1130" i="1" a="1"/>
  <c r="O1130" i="1"/>
  <c r="N1130" i="1"/>
  <c r="M1130" i="1"/>
  <c r="O1129" i="1" a="1"/>
  <c r="O1129" i="1"/>
  <c r="N1129" i="1"/>
  <c r="M1129" i="1"/>
  <c r="O1128" i="1" a="1"/>
  <c r="O1128" i="1"/>
  <c r="N1128" i="1"/>
  <c r="M1128" i="1"/>
  <c r="O1127" i="1" a="1"/>
  <c r="O1127" i="1"/>
  <c r="N1127" i="1"/>
  <c r="M1127" i="1"/>
  <c r="O1126" i="1" a="1"/>
  <c r="O1126" i="1"/>
  <c r="N1126" i="1"/>
  <c r="M1126" i="1"/>
  <c r="O1125" i="1" a="1"/>
  <c r="O1125" i="1"/>
  <c r="N1125" i="1"/>
  <c r="M1125" i="1"/>
  <c r="O1124" i="1" a="1"/>
  <c r="O1124" i="1"/>
  <c r="N1124" i="1"/>
  <c r="M1124" i="1"/>
  <c r="O1123" i="1" a="1"/>
  <c r="O1123" i="1"/>
  <c r="N1123" i="1"/>
  <c r="M1123" i="1"/>
  <c r="O1122" i="1" a="1"/>
  <c r="O1122" i="1"/>
  <c r="N1122" i="1"/>
  <c r="M1122" i="1"/>
  <c r="O1121" i="1" a="1"/>
  <c r="O1121" i="1"/>
  <c r="N1121" i="1"/>
  <c r="M1121" i="1"/>
  <c r="O1120" i="1" a="1"/>
  <c r="O1120" i="1"/>
  <c r="N1120" i="1"/>
  <c r="M1120" i="1"/>
  <c r="O1119" i="1" a="1"/>
  <c r="O1119" i="1"/>
  <c r="N1119" i="1"/>
  <c r="M1119" i="1"/>
  <c r="O1118" i="1" a="1"/>
  <c r="O1118" i="1"/>
  <c r="N1118" i="1"/>
  <c r="M1118" i="1"/>
  <c r="O1117" i="1" a="1"/>
  <c r="O1117" i="1"/>
  <c r="N1117" i="1"/>
  <c r="M1117" i="1"/>
  <c r="O1116" i="1" a="1"/>
  <c r="O1116" i="1"/>
  <c r="N1116" i="1"/>
  <c r="M1116" i="1"/>
  <c r="O1115" i="1" a="1"/>
  <c r="O1115" i="1"/>
  <c r="N1115" i="1"/>
  <c r="M1115" i="1"/>
  <c r="O1114" i="1" a="1"/>
  <c r="O1114" i="1"/>
  <c r="N1114" i="1"/>
  <c r="M1114" i="1"/>
  <c r="O1113" i="1" a="1"/>
  <c r="O1113" i="1"/>
  <c r="N1113" i="1"/>
  <c r="M1113" i="1"/>
  <c r="O1112" i="1" a="1"/>
  <c r="O1112" i="1"/>
  <c r="N1112" i="1"/>
  <c r="M1112" i="1"/>
  <c r="O1111" i="1" a="1"/>
  <c r="O1111" i="1"/>
  <c r="N1111" i="1"/>
  <c r="M1111" i="1"/>
  <c r="O1110" i="1" a="1"/>
  <c r="O1110" i="1"/>
  <c r="N1110" i="1"/>
  <c r="M1110" i="1"/>
  <c r="O1109" i="1" a="1"/>
  <c r="O1109" i="1"/>
  <c r="N1109" i="1"/>
  <c r="M1109" i="1"/>
  <c r="O1108" i="1" a="1"/>
  <c r="O1108" i="1"/>
  <c r="N1108" i="1"/>
  <c r="M1108" i="1"/>
  <c r="O1107" i="1" a="1"/>
  <c r="O1107" i="1"/>
  <c r="N1107" i="1"/>
  <c r="M1107" i="1"/>
  <c r="O1106" i="1" a="1"/>
  <c r="O1106" i="1"/>
  <c r="N1106" i="1"/>
  <c r="M1106" i="1"/>
  <c r="O1105" i="1" a="1"/>
  <c r="O1105" i="1"/>
  <c r="N1105" i="1"/>
  <c r="M1105" i="1"/>
  <c r="O1104" i="1" a="1"/>
  <c r="O1104" i="1"/>
  <c r="N1104" i="1"/>
  <c r="M1104" i="1"/>
  <c r="O1103" i="1" a="1"/>
  <c r="O1103" i="1"/>
  <c r="N1103" i="1"/>
  <c r="M1103" i="1"/>
  <c r="O1102" i="1" a="1"/>
  <c r="O1102" i="1"/>
  <c r="N1102" i="1"/>
  <c r="M1102" i="1"/>
  <c r="O1101" i="1" a="1"/>
  <c r="O1101" i="1"/>
  <c r="N1101" i="1"/>
  <c r="M1101" i="1"/>
  <c r="O1100" i="1" a="1"/>
  <c r="O1100" i="1"/>
  <c r="N1100" i="1"/>
  <c r="M1100" i="1"/>
  <c r="O1099" i="1" a="1"/>
  <c r="O1099" i="1"/>
  <c r="N1099" i="1"/>
  <c r="M1099" i="1"/>
  <c r="O1098" i="1" a="1"/>
  <c r="O1098" i="1"/>
  <c r="N1098" i="1"/>
  <c r="M1098" i="1"/>
  <c r="O1097" i="1" a="1"/>
  <c r="O1097" i="1"/>
  <c r="N1097" i="1"/>
  <c r="M1097" i="1"/>
  <c r="O1096" i="1" a="1"/>
  <c r="O1096" i="1"/>
  <c r="N1096" i="1"/>
  <c r="M1096" i="1"/>
  <c r="O1095" i="1" a="1"/>
  <c r="O1095" i="1"/>
  <c r="N1095" i="1"/>
  <c r="M1095" i="1"/>
  <c r="O1094" i="1" a="1"/>
  <c r="O1094" i="1"/>
  <c r="N1094" i="1"/>
  <c r="M1094" i="1"/>
  <c r="O1093" i="1" a="1"/>
  <c r="O1093" i="1"/>
  <c r="N1093" i="1"/>
  <c r="M1093" i="1"/>
  <c r="O1092" i="1" a="1"/>
  <c r="O1092" i="1"/>
  <c r="N1092" i="1"/>
  <c r="M1092" i="1"/>
  <c r="O1091" i="1" a="1"/>
  <c r="O1091" i="1"/>
  <c r="N1091" i="1"/>
  <c r="M1091" i="1"/>
  <c r="O1090" i="1" a="1"/>
  <c r="O1090" i="1"/>
  <c r="N1090" i="1"/>
  <c r="M1090" i="1"/>
  <c r="O1089" i="1" a="1"/>
  <c r="O1089" i="1"/>
  <c r="N1089" i="1"/>
  <c r="M1089" i="1"/>
  <c r="O1088" i="1" a="1"/>
  <c r="O1088" i="1"/>
  <c r="N1088" i="1"/>
  <c r="M1088" i="1"/>
  <c r="O1087" i="1" a="1"/>
  <c r="O1087" i="1"/>
  <c r="N1087" i="1"/>
  <c r="M1087" i="1"/>
  <c r="O1086" i="1" a="1"/>
  <c r="O1086" i="1"/>
  <c r="N1086" i="1"/>
  <c r="M1086" i="1"/>
  <c r="O1085" i="1" a="1"/>
  <c r="O1085" i="1"/>
  <c r="N1085" i="1"/>
  <c r="M1085" i="1"/>
  <c r="O1084" i="1" a="1"/>
  <c r="O1084" i="1"/>
  <c r="N1084" i="1"/>
  <c r="M1084" i="1"/>
  <c r="O1083" i="1" a="1"/>
  <c r="O1083" i="1"/>
  <c r="N1083" i="1"/>
  <c r="M1083" i="1"/>
  <c r="O1082" i="1" a="1"/>
  <c r="O1082" i="1"/>
  <c r="N1082" i="1"/>
  <c r="M1082" i="1"/>
  <c r="O1081" i="1" a="1"/>
  <c r="O1081" i="1"/>
  <c r="N1081" i="1"/>
  <c r="M1081" i="1"/>
  <c r="O1080" i="1" a="1"/>
  <c r="O1080" i="1"/>
  <c r="N1080" i="1"/>
  <c r="M1080" i="1"/>
  <c r="O1079" i="1" a="1"/>
  <c r="O1079" i="1"/>
  <c r="N1079" i="1"/>
  <c r="M1079" i="1"/>
  <c r="O1078" i="1" a="1"/>
  <c r="O1078" i="1"/>
  <c r="N1078" i="1"/>
  <c r="M1078" i="1"/>
  <c r="O1077" i="1" a="1"/>
  <c r="O1077" i="1"/>
  <c r="N1077" i="1"/>
  <c r="M1077" i="1"/>
  <c r="O1076" i="1" a="1"/>
  <c r="O1076" i="1"/>
  <c r="N1076" i="1"/>
  <c r="M1076" i="1"/>
  <c r="O1075" i="1" a="1"/>
  <c r="O1075" i="1"/>
  <c r="N1075" i="1"/>
  <c r="M1075" i="1"/>
  <c r="O1074" i="1" a="1"/>
  <c r="O1074" i="1"/>
  <c r="N1074" i="1"/>
  <c r="M1074" i="1"/>
  <c r="O1073" i="1" a="1"/>
  <c r="O1073" i="1"/>
  <c r="N1073" i="1"/>
  <c r="M1073" i="1"/>
  <c r="O1072" i="1" a="1"/>
  <c r="O1072" i="1"/>
  <c r="N1072" i="1"/>
  <c r="M1072" i="1"/>
  <c r="O1071" i="1" a="1"/>
  <c r="O1071" i="1"/>
  <c r="N1071" i="1"/>
  <c r="M1071" i="1"/>
  <c r="O1070" i="1" a="1"/>
  <c r="O1070" i="1"/>
  <c r="N1070" i="1"/>
  <c r="M1070" i="1"/>
  <c r="O1069" i="1" a="1"/>
  <c r="O1069" i="1"/>
  <c r="N1069" i="1"/>
  <c r="M1069" i="1"/>
  <c r="O1068" i="1" a="1"/>
  <c r="O1068" i="1"/>
  <c r="N1068" i="1"/>
  <c r="M1068" i="1"/>
  <c r="O1067" i="1" a="1"/>
  <c r="O1067" i="1"/>
  <c r="N1067" i="1"/>
  <c r="M1067" i="1"/>
  <c r="O1066" i="1" a="1"/>
  <c r="O1066" i="1"/>
  <c r="N1066" i="1"/>
  <c r="M1066" i="1"/>
  <c r="O1065" i="1" a="1"/>
  <c r="O1065" i="1"/>
  <c r="N1065" i="1"/>
  <c r="M1065" i="1"/>
  <c r="O1064" i="1" a="1"/>
  <c r="O1064" i="1"/>
  <c r="N1064" i="1"/>
  <c r="M1064" i="1"/>
  <c r="O1063" i="1" a="1"/>
  <c r="O1063" i="1"/>
  <c r="N1063" i="1"/>
  <c r="M1063" i="1"/>
  <c r="O1062" i="1" a="1"/>
  <c r="O1062" i="1"/>
  <c r="N1062" i="1"/>
  <c r="M1062" i="1"/>
  <c r="O1061" i="1" a="1"/>
  <c r="O1061" i="1"/>
  <c r="N1061" i="1"/>
  <c r="M1061" i="1"/>
  <c r="O1060" i="1" a="1"/>
  <c r="O1060" i="1"/>
  <c r="N1060" i="1"/>
  <c r="M1060" i="1"/>
  <c r="O1059" i="1" a="1"/>
  <c r="O1059" i="1"/>
  <c r="N1059" i="1"/>
  <c r="M1059" i="1"/>
  <c r="O1058" i="1" a="1"/>
  <c r="O1058" i="1"/>
  <c r="N1058" i="1"/>
  <c r="M1058" i="1"/>
  <c r="O1057" i="1" a="1"/>
  <c r="O1057" i="1"/>
  <c r="N1057" i="1"/>
  <c r="M1057" i="1"/>
  <c r="O1056" i="1" a="1"/>
  <c r="O1056" i="1"/>
  <c r="N1056" i="1"/>
  <c r="M1056" i="1"/>
  <c r="O1055" i="1" a="1"/>
  <c r="O1055" i="1"/>
  <c r="N1055" i="1"/>
  <c r="M1055" i="1"/>
  <c r="O1054" i="1" a="1"/>
  <c r="O1054" i="1"/>
  <c r="N1054" i="1"/>
  <c r="M1054" i="1"/>
  <c r="O1053" i="1" a="1"/>
  <c r="O1053" i="1"/>
  <c r="N1053" i="1"/>
  <c r="M1053" i="1"/>
  <c r="O1052" i="1" a="1"/>
  <c r="O1052" i="1"/>
  <c r="N1052" i="1"/>
  <c r="M1052" i="1"/>
  <c r="O1051" i="1" a="1"/>
  <c r="O1051" i="1"/>
  <c r="N1051" i="1"/>
  <c r="M1051" i="1"/>
  <c r="O1050" i="1" a="1"/>
  <c r="O1050" i="1"/>
  <c r="N1050" i="1"/>
  <c r="M1050" i="1"/>
  <c r="O1049" i="1" a="1"/>
  <c r="O1049" i="1"/>
  <c r="N1049" i="1"/>
  <c r="M1049" i="1"/>
  <c r="O1048" i="1" a="1"/>
  <c r="O1048" i="1"/>
  <c r="N1048" i="1"/>
  <c r="M1048" i="1"/>
  <c r="O1047" i="1" a="1"/>
  <c r="O1047" i="1"/>
  <c r="N1047" i="1"/>
  <c r="M1047" i="1"/>
  <c r="O1046" i="1" a="1"/>
  <c r="O1046" i="1"/>
  <c r="N1046" i="1"/>
  <c r="M1046" i="1"/>
  <c r="O1045" i="1" a="1"/>
  <c r="O1045" i="1"/>
  <c r="N1045" i="1"/>
  <c r="M1045" i="1"/>
  <c r="O1044" i="1" a="1"/>
  <c r="O1044" i="1"/>
  <c r="N1044" i="1"/>
  <c r="M1044" i="1"/>
  <c r="O1043" i="1" a="1"/>
  <c r="O1043" i="1"/>
  <c r="N1043" i="1"/>
  <c r="M1043" i="1"/>
  <c r="O1042" i="1" a="1"/>
  <c r="O1042" i="1"/>
  <c r="N1042" i="1"/>
  <c r="M1042" i="1"/>
  <c r="O1041" i="1" a="1"/>
  <c r="O1041" i="1"/>
  <c r="N1041" i="1"/>
  <c r="M1041" i="1"/>
  <c r="O1040" i="1" a="1"/>
  <c r="O1040" i="1"/>
  <c r="N1040" i="1"/>
  <c r="M1040" i="1"/>
  <c r="O1039" i="1" a="1"/>
  <c r="O1039" i="1"/>
  <c r="N1039" i="1"/>
  <c r="M1039" i="1"/>
  <c r="O1038" i="1" a="1"/>
  <c r="O1038" i="1"/>
  <c r="N1038" i="1"/>
  <c r="M1038" i="1"/>
  <c r="O1037" i="1" a="1"/>
  <c r="O1037" i="1"/>
  <c r="N1037" i="1"/>
  <c r="M1037" i="1"/>
  <c r="O1036" i="1" a="1"/>
  <c r="O1036" i="1"/>
  <c r="N1036" i="1"/>
  <c r="M1036" i="1"/>
  <c r="O1035" i="1" a="1"/>
  <c r="O1035" i="1"/>
  <c r="N1035" i="1"/>
  <c r="M1035" i="1"/>
  <c r="O1034" i="1" a="1"/>
  <c r="O1034" i="1"/>
  <c r="N1034" i="1"/>
  <c r="M1034" i="1"/>
  <c r="O1033" i="1" a="1"/>
  <c r="O1033" i="1"/>
  <c r="N1033" i="1"/>
  <c r="M1033" i="1"/>
  <c r="O1032" i="1" a="1"/>
  <c r="O1032" i="1"/>
  <c r="N1032" i="1"/>
  <c r="M1032" i="1"/>
  <c r="O1031" i="1" a="1"/>
  <c r="O1031" i="1"/>
  <c r="N1031" i="1"/>
  <c r="M1031" i="1"/>
  <c r="O1030" i="1" a="1"/>
  <c r="O1030" i="1"/>
  <c r="N1030" i="1"/>
  <c r="M1030" i="1"/>
  <c r="O1029" i="1" a="1"/>
  <c r="O1029" i="1"/>
  <c r="N1029" i="1"/>
  <c r="M1029" i="1"/>
  <c r="O1028" i="1" a="1"/>
  <c r="O1028" i="1"/>
  <c r="N1028" i="1"/>
  <c r="M1028" i="1"/>
  <c r="O1027" i="1" a="1"/>
  <c r="O1027" i="1"/>
  <c r="N1027" i="1"/>
  <c r="M1027" i="1"/>
  <c r="O1026" i="1" a="1"/>
  <c r="O1026" i="1"/>
  <c r="N1026" i="1"/>
  <c r="M1026" i="1"/>
  <c r="O1025" i="1" a="1"/>
  <c r="O1025" i="1"/>
  <c r="N1025" i="1"/>
  <c r="M1025" i="1"/>
  <c r="O1024" i="1" a="1"/>
  <c r="O1024" i="1"/>
  <c r="N1024" i="1"/>
  <c r="M1024" i="1"/>
  <c r="O1023" i="1" a="1"/>
  <c r="O1023" i="1"/>
  <c r="N1023" i="1"/>
  <c r="M1023" i="1"/>
  <c r="O1022" i="1" a="1"/>
  <c r="O1022" i="1"/>
  <c r="N1022" i="1"/>
  <c r="M1022" i="1"/>
  <c r="O1021" i="1" a="1"/>
  <c r="O1021" i="1"/>
  <c r="N1021" i="1"/>
  <c r="M1021" i="1"/>
  <c r="O1020" i="1" a="1"/>
  <c r="O1020" i="1"/>
  <c r="N1020" i="1"/>
  <c r="M1020" i="1"/>
  <c r="O1019" i="1" a="1"/>
  <c r="O1019" i="1"/>
  <c r="N1019" i="1"/>
  <c r="M1019" i="1"/>
  <c r="O1018" i="1" a="1"/>
  <c r="O1018" i="1"/>
  <c r="N1018" i="1"/>
  <c r="M1018" i="1"/>
  <c r="O1017" i="1" a="1"/>
  <c r="O1017" i="1"/>
  <c r="N1017" i="1"/>
  <c r="M1017" i="1"/>
  <c r="O1016" i="1" a="1"/>
  <c r="O1016" i="1"/>
  <c r="N1016" i="1"/>
  <c r="M1016" i="1"/>
  <c r="O1015" i="1" a="1"/>
  <c r="O1015" i="1"/>
  <c r="N1015" i="1"/>
  <c r="M1015" i="1"/>
  <c r="O1014" i="1" a="1"/>
  <c r="O1014" i="1"/>
  <c r="N1014" i="1"/>
  <c r="M1014" i="1"/>
  <c r="O1013" i="1" a="1"/>
  <c r="O1013" i="1"/>
  <c r="N1013" i="1"/>
  <c r="M1013" i="1"/>
  <c r="O1012" i="1" a="1"/>
  <c r="O1012" i="1"/>
  <c r="N1012" i="1"/>
  <c r="M1012" i="1"/>
  <c r="O1011" i="1" a="1"/>
  <c r="O1011" i="1"/>
  <c r="N1011" i="1"/>
  <c r="M1011" i="1"/>
  <c r="O1010" i="1" a="1"/>
  <c r="O1010" i="1"/>
  <c r="N1010" i="1"/>
  <c r="M1010" i="1"/>
  <c r="O1009" i="1" a="1"/>
  <c r="O1009" i="1"/>
  <c r="N1009" i="1"/>
  <c r="M1009" i="1"/>
  <c r="O1008" i="1" a="1"/>
  <c r="O1008" i="1"/>
  <c r="N1008" i="1"/>
  <c r="M1008" i="1"/>
  <c r="O1007" i="1" a="1"/>
  <c r="O1007" i="1"/>
  <c r="N1007" i="1"/>
  <c r="M1007" i="1"/>
  <c r="O1006" i="1" a="1"/>
  <c r="O1006" i="1"/>
  <c r="N1006" i="1"/>
  <c r="M1006" i="1"/>
  <c r="O1005" i="1" a="1"/>
  <c r="O1005" i="1"/>
  <c r="N1005" i="1"/>
  <c r="M1005" i="1"/>
  <c r="O1004" i="1" a="1"/>
  <c r="O1004" i="1"/>
  <c r="N1004" i="1"/>
  <c r="M1004" i="1"/>
  <c r="O1003" i="1" a="1"/>
  <c r="O1003" i="1"/>
  <c r="N1003" i="1"/>
  <c r="M1003" i="1"/>
  <c r="O1002" i="1" a="1"/>
  <c r="O1002" i="1"/>
  <c r="N1002" i="1"/>
  <c r="M1002" i="1"/>
  <c r="O1001" i="1" a="1"/>
  <c r="O1001" i="1"/>
  <c r="N1001" i="1"/>
  <c r="M1001" i="1"/>
  <c r="O1000" i="1" a="1"/>
  <c r="O1000" i="1"/>
  <c r="N1000" i="1"/>
  <c r="M1000" i="1"/>
  <c r="O999" i="1" a="1"/>
  <c r="O999" i="1"/>
  <c r="N999" i="1"/>
  <c r="M999" i="1"/>
  <c r="O998" i="1" a="1"/>
  <c r="O998" i="1"/>
  <c r="N998" i="1"/>
  <c r="M998" i="1"/>
  <c r="O997" i="1" a="1"/>
  <c r="O997" i="1"/>
  <c r="N997" i="1"/>
  <c r="M997" i="1"/>
  <c r="O996" i="1" a="1"/>
  <c r="O996" i="1"/>
  <c r="N996" i="1"/>
  <c r="M996" i="1"/>
  <c r="O995" i="1" a="1"/>
  <c r="O995" i="1"/>
  <c r="N995" i="1"/>
  <c r="M995" i="1"/>
  <c r="O994" i="1" a="1"/>
  <c r="O994" i="1"/>
  <c r="N994" i="1"/>
  <c r="M994" i="1"/>
  <c r="O993" i="1" a="1"/>
  <c r="O993" i="1"/>
  <c r="N993" i="1"/>
  <c r="M993" i="1"/>
  <c r="O992" i="1" a="1"/>
  <c r="O992" i="1"/>
  <c r="N992" i="1"/>
  <c r="M992" i="1"/>
  <c r="O991" i="1" a="1"/>
  <c r="O991" i="1"/>
  <c r="N991" i="1"/>
  <c r="M991" i="1"/>
  <c r="O990" i="1" a="1"/>
  <c r="O990" i="1"/>
  <c r="N990" i="1"/>
  <c r="M990" i="1"/>
  <c r="O989" i="1" a="1"/>
  <c r="O989" i="1"/>
  <c r="N989" i="1"/>
  <c r="M989" i="1"/>
  <c r="O988" i="1" a="1"/>
  <c r="O988" i="1"/>
  <c r="N988" i="1"/>
  <c r="M988" i="1"/>
  <c r="O987" i="1" a="1"/>
  <c r="O987" i="1"/>
  <c r="N987" i="1"/>
  <c r="M987" i="1"/>
  <c r="O986" i="1" a="1"/>
  <c r="O986" i="1"/>
  <c r="N986" i="1"/>
  <c r="M986" i="1"/>
  <c r="O985" i="1" a="1"/>
  <c r="O985" i="1"/>
  <c r="N985" i="1"/>
  <c r="M985" i="1"/>
  <c r="O984" i="1" a="1"/>
  <c r="O984" i="1"/>
  <c r="N984" i="1"/>
  <c r="M984" i="1"/>
  <c r="O983" i="1" a="1"/>
  <c r="O983" i="1"/>
  <c r="N983" i="1"/>
  <c r="M983" i="1"/>
  <c r="O982" i="1" a="1"/>
  <c r="O982" i="1"/>
  <c r="N982" i="1"/>
  <c r="M982" i="1"/>
  <c r="O981" i="1" a="1"/>
  <c r="O981" i="1"/>
  <c r="N981" i="1"/>
  <c r="M981" i="1"/>
  <c r="O980" i="1" a="1"/>
  <c r="O980" i="1"/>
  <c r="N980" i="1"/>
  <c r="M980" i="1"/>
  <c r="O979" i="1" a="1"/>
  <c r="O979" i="1"/>
  <c r="N979" i="1"/>
  <c r="M979" i="1"/>
  <c r="O978" i="1" a="1"/>
  <c r="O978" i="1"/>
  <c r="N978" i="1"/>
  <c r="M978" i="1"/>
  <c r="O977" i="1" a="1"/>
  <c r="O977" i="1"/>
  <c r="N977" i="1"/>
  <c r="M977" i="1"/>
  <c r="O976" i="1" a="1"/>
  <c r="O976" i="1"/>
  <c r="N976" i="1"/>
  <c r="M976" i="1"/>
  <c r="O975" i="1" a="1"/>
  <c r="O975" i="1"/>
  <c r="N975" i="1"/>
  <c r="M975" i="1"/>
  <c r="O974" i="1" a="1"/>
  <c r="O974" i="1"/>
  <c r="N974" i="1"/>
  <c r="M974" i="1"/>
  <c r="O973" i="1" a="1"/>
  <c r="O973" i="1"/>
  <c r="N973" i="1"/>
  <c r="M973" i="1"/>
  <c r="O972" i="1" a="1"/>
  <c r="O972" i="1"/>
  <c r="N972" i="1"/>
  <c r="M972" i="1"/>
  <c r="O971" i="1" a="1"/>
  <c r="O971" i="1"/>
  <c r="N971" i="1"/>
  <c r="M971" i="1"/>
  <c r="O970" i="1" a="1"/>
  <c r="O970" i="1"/>
  <c r="N970" i="1"/>
  <c r="M970" i="1"/>
  <c r="O969" i="1" a="1"/>
  <c r="O969" i="1"/>
  <c r="N969" i="1"/>
  <c r="M969" i="1"/>
  <c r="O968" i="1" a="1"/>
  <c r="O968" i="1"/>
  <c r="N968" i="1"/>
  <c r="M968" i="1"/>
  <c r="O967" i="1" a="1"/>
  <c r="O967" i="1"/>
  <c r="N967" i="1"/>
  <c r="M967" i="1"/>
  <c r="O966" i="1" a="1"/>
  <c r="O966" i="1"/>
  <c r="N966" i="1"/>
  <c r="M966" i="1"/>
  <c r="O965" i="1" a="1"/>
  <c r="O965" i="1"/>
  <c r="N965" i="1"/>
  <c r="M965" i="1"/>
  <c r="O964" i="1" a="1"/>
  <c r="O964" i="1"/>
  <c r="N964" i="1"/>
  <c r="M964" i="1"/>
  <c r="O963" i="1" a="1"/>
  <c r="O963" i="1"/>
  <c r="N963" i="1"/>
  <c r="M963" i="1"/>
  <c r="O962" i="1" a="1"/>
  <c r="O962" i="1"/>
  <c r="N962" i="1"/>
  <c r="M962" i="1"/>
  <c r="O961" i="1" a="1"/>
  <c r="O961" i="1"/>
  <c r="N961" i="1"/>
  <c r="M961" i="1"/>
  <c r="O960" i="1" a="1"/>
  <c r="O960" i="1"/>
  <c r="N960" i="1"/>
  <c r="M960" i="1"/>
  <c r="O959" i="1" a="1"/>
  <c r="O959" i="1"/>
  <c r="N959" i="1"/>
  <c r="M959" i="1"/>
  <c r="O958" i="1" a="1"/>
  <c r="O958" i="1"/>
  <c r="N958" i="1"/>
  <c r="M958" i="1"/>
  <c r="O957" i="1" a="1"/>
  <c r="O957" i="1"/>
  <c r="N957" i="1"/>
  <c r="M957" i="1"/>
  <c r="O956" i="1" a="1"/>
  <c r="O956" i="1"/>
  <c r="N956" i="1"/>
  <c r="M956" i="1"/>
  <c r="O955" i="1" a="1"/>
  <c r="O955" i="1"/>
  <c r="N955" i="1"/>
  <c r="M955" i="1"/>
  <c r="O954" i="1" a="1"/>
  <c r="O954" i="1"/>
  <c r="N954" i="1"/>
  <c r="M954" i="1"/>
  <c r="O953" i="1" a="1"/>
  <c r="O953" i="1"/>
  <c r="N953" i="1"/>
  <c r="M953" i="1"/>
  <c r="O952" i="1" a="1"/>
  <c r="O952" i="1"/>
  <c r="N952" i="1"/>
  <c r="M952" i="1"/>
  <c r="O951" i="1" a="1"/>
  <c r="O951" i="1"/>
  <c r="N951" i="1"/>
  <c r="M951" i="1"/>
  <c r="O950" i="1" a="1"/>
  <c r="O950" i="1"/>
  <c r="N950" i="1"/>
  <c r="M950" i="1"/>
  <c r="O949" i="1" a="1"/>
  <c r="O949" i="1"/>
  <c r="N949" i="1"/>
  <c r="M949" i="1"/>
  <c r="O948" i="1" a="1"/>
  <c r="O948" i="1"/>
  <c r="N948" i="1"/>
  <c r="M948" i="1"/>
  <c r="O947" i="1" a="1"/>
  <c r="O947" i="1"/>
  <c r="N947" i="1"/>
  <c r="M947" i="1"/>
  <c r="O946" i="1" a="1"/>
  <c r="O946" i="1"/>
  <c r="N946" i="1"/>
  <c r="M946" i="1"/>
  <c r="O945" i="1" a="1"/>
  <c r="O945" i="1"/>
  <c r="N945" i="1"/>
  <c r="M945" i="1"/>
  <c r="O944" i="1" a="1"/>
  <c r="O944" i="1"/>
  <c r="N944" i="1"/>
  <c r="M944" i="1"/>
  <c r="O943" i="1" a="1"/>
  <c r="O943" i="1"/>
  <c r="N943" i="1"/>
  <c r="M943" i="1"/>
  <c r="O942" i="1" a="1"/>
  <c r="O942" i="1"/>
  <c r="N942" i="1"/>
  <c r="M942" i="1"/>
  <c r="O941" i="1" a="1"/>
  <c r="O941" i="1"/>
  <c r="N941" i="1"/>
  <c r="M941" i="1"/>
  <c r="O940" i="1" a="1"/>
  <c r="O940" i="1"/>
  <c r="N940" i="1"/>
  <c r="M940" i="1"/>
  <c r="O939" i="1" a="1"/>
  <c r="O939" i="1"/>
  <c r="N939" i="1"/>
  <c r="M939" i="1"/>
  <c r="O938" i="1" a="1"/>
  <c r="O938" i="1"/>
  <c r="N938" i="1"/>
  <c r="M938" i="1"/>
  <c r="O937" i="1" a="1"/>
  <c r="O937" i="1"/>
  <c r="N937" i="1"/>
  <c r="M937" i="1"/>
  <c r="O936" i="1" a="1"/>
  <c r="O936" i="1"/>
  <c r="N936" i="1"/>
  <c r="M936" i="1"/>
  <c r="O935" i="1" a="1"/>
  <c r="O935" i="1"/>
  <c r="N935" i="1"/>
  <c r="M935" i="1"/>
  <c r="O934" i="1" a="1"/>
  <c r="O934" i="1"/>
  <c r="N934" i="1"/>
  <c r="M934" i="1"/>
  <c r="O933" i="1" a="1"/>
  <c r="O933" i="1"/>
  <c r="N933" i="1"/>
  <c r="M933" i="1"/>
  <c r="O932" i="1" a="1"/>
  <c r="O932" i="1"/>
  <c r="N932" i="1"/>
  <c r="M932" i="1"/>
  <c r="O931" i="1" a="1"/>
  <c r="O931" i="1"/>
  <c r="N931" i="1"/>
  <c r="M931" i="1"/>
  <c r="O930" i="1" a="1"/>
  <c r="O930" i="1"/>
  <c r="N930" i="1"/>
  <c r="M930" i="1"/>
  <c r="O929" i="1" a="1"/>
  <c r="O929" i="1"/>
  <c r="N929" i="1"/>
  <c r="M929" i="1"/>
  <c r="O928" i="1" a="1"/>
  <c r="O928" i="1"/>
  <c r="N928" i="1"/>
  <c r="M928" i="1"/>
  <c r="O927" i="1" a="1"/>
  <c r="O927" i="1"/>
  <c r="N927" i="1"/>
  <c r="M927" i="1"/>
  <c r="O926" i="1" a="1"/>
  <c r="O926" i="1"/>
  <c r="N926" i="1"/>
  <c r="M926" i="1"/>
  <c r="O925" i="1" a="1"/>
  <c r="O925" i="1"/>
  <c r="N925" i="1"/>
  <c r="M925" i="1"/>
  <c r="O924" i="1" a="1"/>
  <c r="O924" i="1"/>
  <c r="N924" i="1"/>
  <c r="M924" i="1"/>
  <c r="O923" i="1" a="1"/>
  <c r="O923" i="1"/>
  <c r="N923" i="1"/>
  <c r="M923" i="1"/>
  <c r="O922" i="1" a="1"/>
  <c r="O922" i="1"/>
  <c r="N922" i="1"/>
  <c r="M922" i="1"/>
  <c r="O921" i="1" a="1"/>
  <c r="O921" i="1"/>
  <c r="N921" i="1"/>
  <c r="M921" i="1"/>
  <c r="O920" i="1" a="1"/>
  <c r="O920" i="1"/>
  <c r="N920" i="1"/>
  <c r="M920" i="1"/>
  <c r="O919" i="1" a="1"/>
  <c r="O919" i="1"/>
  <c r="N919" i="1"/>
  <c r="M919" i="1"/>
  <c r="O918" i="1" a="1"/>
  <c r="O918" i="1"/>
  <c r="N918" i="1"/>
  <c r="M918" i="1"/>
  <c r="O917" i="1" a="1"/>
  <c r="O917" i="1"/>
  <c r="N917" i="1"/>
  <c r="M917" i="1"/>
  <c r="O916" i="1" a="1"/>
  <c r="O916" i="1"/>
  <c r="N916" i="1"/>
  <c r="M916" i="1"/>
  <c r="O915" i="1" a="1"/>
  <c r="O915" i="1"/>
  <c r="N915" i="1"/>
  <c r="M915" i="1"/>
  <c r="O914" i="1" a="1"/>
  <c r="O914" i="1"/>
  <c r="N914" i="1"/>
  <c r="M914" i="1"/>
  <c r="O913" i="1" a="1"/>
  <c r="O913" i="1"/>
  <c r="N913" i="1"/>
  <c r="M913" i="1"/>
  <c r="O912" i="1" a="1"/>
  <c r="O912" i="1"/>
  <c r="N912" i="1"/>
  <c r="M912" i="1"/>
  <c r="O911" i="1" a="1"/>
  <c r="O911" i="1"/>
  <c r="N911" i="1"/>
  <c r="M911" i="1"/>
  <c r="O910" i="1" a="1"/>
  <c r="O910" i="1"/>
  <c r="N910" i="1"/>
  <c r="M910" i="1"/>
  <c r="O909" i="1" a="1"/>
  <c r="O909" i="1"/>
  <c r="N909" i="1"/>
  <c r="M909" i="1"/>
  <c r="O908" i="1" a="1"/>
  <c r="O908" i="1"/>
  <c r="N908" i="1"/>
  <c r="M908" i="1"/>
  <c r="O907" i="1" a="1"/>
  <c r="O907" i="1"/>
  <c r="N907" i="1"/>
  <c r="M907" i="1"/>
  <c r="O906" i="1" a="1"/>
  <c r="O906" i="1"/>
  <c r="N906" i="1"/>
  <c r="M906" i="1"/>
  <c r="O905" i="1" a="1"/>
  <c r="O905" i="1"/>
  <c r="N905" i="1"/>
  <c r="M905" i="1"/>
  <c r="O904" i="1" a="1"/>
  <c r="O904" i="1"/>
  <c r="N904" i="1"/>
  <c r="M904" i="1"/>
  <c r="O903" i="1" a="1"/>
  <c r="O903" i="1"/>
  <c r="N903" i="1"/>
  <c r="M903" i="1"/>
  <c r="O902" i="1" a="1"/>
  <c r="O902" i="1"/>
  <c r="N902" i="1"/>
  <c r="M902" i="1"/>
  <c r="O901" i="1" a="1"/>
  <c r="O901" i="1"/>
  <c r="N901" i="1"/>
  <c r="M901" i="1"/>
  <c r="O900" i="1" a="1"/>
  <c r="O900" i="1"/>
  <c r="N900" i="1"/>
  <c r="M900" i="1"/>
  <c r="O899" i="1" a="1"/>
  <c r="O899" i="1"/>
  <c r="N899" i="1"/>
  <c r="M899" i="1"/>
  <c r="O898" i="1" a="1"/>
  <c r="O898" i="1"/>
  <c r="N898" i="1"/>
  <c r="M898" i="1"/>
  <c r="O897" i="1" a="1"/>
  <c r="O897" i="1"/>
  <c r="N897" i="1"/>
  <c r="M897" i="1"/>
  <c r="O896" i="1" a="1"/>
  <c r="O896" i="1"/>
  <c r="N896" i="1"/>
  <c r="M896" i="1"/>
  <c r="O895" i="1" a="1"/>
  <c r="O895" i="1"/>
  <c r="N895" i="1"/>
  <c r="M895" i="1"/>
  <c r="O894" i="1" a="1"/>
  <c r="O894" i="1"/>
  <c r="N894" i="1"/>
  <c r="M894" i="1"/>
  <c r="O893" i="1" a="1"/>
  <c r="O893" i="1"/>
  <c r="N893" i="1"/>
  <c r="M893" i="1"/>
  <c r="O892" i="1" a="1"/>
  <c r="O892" i="1"/>
  <c r="N892" i="1"/>
  <c r="M892" i="1"/>
  <c r="O891" i="1" a="1"/>
  <c r="O891" i="1"/>
  <c r="N891" i="1"/>
  <c r="M891" i="1"/>
  <c r="O890" i="1" a="1"/>
  <c r="O890" i="1"/>
  <c r="N890" i="1"/>
  <c r="M890" i="1"/>
  <c r="O889" i="1" a="1"/>
  <c r="O889" i="1"/>
  <c r="N889" i="1"/>
  <c r="M889" i="1"/>
  <c r="O888" i="1" a="1"/>
  <c r="O888" i="1"/>
  <c r="N888" i="1"/>
  <c r="M888" i="1"/>
  <c r="O887" i="1" a="1"/>
  <c r="O887" i="1"/>
  <c r="N887" i="1"/>
  <c r="M887" i="1"/>
  <c r="O886" i="1" a="1"/>
  <c r="O886" i="1"/>
  <c r="N886" i="1"/>
  <c r="M886" i="1"/>
  <c r="O885" i="1" a="1"/>
  <c r="O885" i="1"/>
  <c r="N885" i="1"/>
  <c r="M885" i="1"/>
  <c r="O884" i="1" a="1"/>
  <c r="O884" i="1"/>
  <c r="N884" i="1"/>
  <c r="M884" i="1"/>
  <c r="O883" i="1" a="1"/>
  <c r="O883" i="1"/>
  <c r="N883" i="1"/>
  <c r="M883" i="1"/>
  <c r="O882" i="1" a="1"/>
  <c r="O882" i="1"/>
  <c r="N882" i="1"/>
  <c r="M882" i="1"/>
  <c r="O881" i="1" a="1"/>
  <c r="O881" i="1"/>
  <c r="N881" i="1"/>
  <c r="M881" i="1"/>
  <c r="O880" i="1" a="1"/>
  <c r="O880" i="1"/>
  <c r="N880" i="1"/>
  <c r="M880" i="1"/>
  <c r="O879" i="1" a="1"/>
  <c r="O879" i="1"/>
  <c r="N879" i="1"/>
  <c r="M879" i="1"/>
  <c r="O878" i="1" a="1"/>
  <c r="O878" i="1"/>
  <c r="N878" i="1"/>
  <c r="M878" i="1"/>
  <c r="O877" i="1" a="1"/>
  <c r="O877" i="1"/>
  <c r="N877" i="1"/>
  <c r="M877" i="1"/>
  <c r="O876" i="1" a="1"/>
  <c r="O876" i="1"/>
  <c r="N876" i="1"/>
  <c r="M876" i="1"/>
  <c r="O875" i="1" a="1"/>
  <c r="O875" i="1"/>
  <c r="N875" i="1"/>
  <c r="M875" i="1"/>
  <c r="O874" i="1" a="1"/>
  <c r="O874" i="1"/>
  <c r="N874" i="1"/>
  <c r="M874" i="1"/>
  <c r="O873" i="1" a="1"/>
  <c r="O873" i="1"/>
  <c r="N873" i="1"/>
  <c r="M873" i="1"/>
  <c r="O872" i="1" a="1"/>
  <c r="O872" i="1"/>
  <c r="N872" i="1"/>
  <c r="M872" i="1"/>
  <c r="O871" i="1" a="1"/>
  <c r="O871" i="1"/>
  <c r="N871" i="1"/>
  <c r="M871" i="1"/>
  <c r="O870" i="1" a="1"/>
  <c r="O870" i="1"/>
  <c r="N870" i="1"/>
  <c r="M870" i="1"/>
  <c r="O869" i="1" a="1"/>
  <c r="O869" i="1"/>
  <c r="N869" i="1"/>
  <c r="M869" i="1"/>
  <c r="O868" i="1" a="1"/>
  <c r="O868" i="1"/>
  <c r="N868" i="1"/>
  <c r="M868" i="1"/>
  <c r="O867" i="1" a="1"/>
  <c r="O867" i="1"/>
  <c r="N867" i="1"/>
  <c r="M867" i="1"/>
  <c r="O866" i="1" a="1"/>
  <c r="O866" i="1"/>
  <c r="N866" i="1"/>
  <c r="M866" i="1"/>
  <c r="O865" i="1" a="1"/>
  <c r="O865" i="1"/>
  <c r="N865" i="1"/>
  <c r="M865" i="1"/>
  <c r="O864" i="1" a="1"/>
  <c r="O864" i="1"/>
  <c r="N864" i="1"/>
  <c r="M864" i="1"/>
  <c r="O863" i="1" a="1"/>
  <c r="O863" i="1"/>
  <c r="N863" i="1"/>
  <c r="M863" i="1"/>
  <c r="O862" i="1" a="1"/>
  <c r="O862" i="1"/>
  <c r="N862" i="1"/>
  <c r="M862" i="1"/>
  <c r="O861" i="1" a="1"/>
  <c r="O861" i="1"/>
  <c r="N861" i="1"/>
  <c r="M861" i="1"/>
  <c r="O860" i="1" a="1"/>
  <c r="O860" i="1"/>
  <c r="N860" i="1"/>
  <c r="M860" i="1"/>
  <c r="O859" i="1" a="1"/>
  <c r="O859" i="1"/>
  <c r="N859" i="1"/>
  <c r="M859" i="1"/>
  <c r="O858" i="1" a="1"/>
  <c r="O858" i="1"/>
  <c r="N858" i="1"/>
  <c r="M858" i="1"/>
  <c r="O857" i="1" a="1"/>
  <c r="O857" i="1"/>
  <c r="N857" i="1"/>
  <c r="M857" i="1"/>
  <c r="O856" i="1" a="1"/>
  <c r="O856" i="1"/>
  <c r="N856" i="1"/>
  <c r="M856" i="1"/>
  <c r="O855" i="1" a="1"/>
  <c r="O855" i="1"/>
  <c r="N855" i="1"/>
  <c r="M855" i="1"/>
  <c r="O854" i="1" a="1"/>
  <c r="O854" i="1"/>
  <c r="N854" i="1"/>
  <c r="M854" i="1"/>
  <c r="O853" i="1" a="1"/>
  <c r="O853" i="1"/>
  <c r="N853" i="1"/>
  <c r="M853" i="1"/>
  <c r="O852" i="1" a="1"/>
  <c r="O852" i="1"/>
  <c r="N852" i="1"/>
  <c r="M852" i="1"/>
  <c r="O851" i="1" a="1"/>
  <c r="O851" i="1"/>
  <c r="N851" i="1"/>
  <c r="M851" i="1"/>
  <c r="O850" i="1" a="1"/>
  <c r="O850" i="1"/>
  <c r="N850" i="1"/>
  <c r="M850" i="1"/>
  <c r="O849" i="1" a="1"/>
  <c r="O849" i="1"/>
  <c r="N849" i="1"/>
  <c r="M849" i="1"/>
  <c r="O848" i="1" a="1"/>
  <c r="O848" i="1"/>
  <c r="N848" i="1"/>
  <c r="M848" i="1"/>
  <c r="O847" i="1" a="1"/>
  <c r="O847" i="1"/>
  <c r="N847" i="1"/>
  <c r="M847" i="1"/>
  <c r="O846" i="1" a="1"/>
  <c r="O846" i="1"/>
  <c r="N846" i="1"/>
  <c r="M846" i="1"/>
  <c r="O845" i="1" a="1"/>
  <c r="O845" i="1"/>
  <c r="N845" i="1"/>
  <c r="M845" i="1"/>
  <c r="O844" i="1" a="1"/>
  <c r="O844" i="1"/>
  <c r="N844" i="1"/>
  <c r="M844" i="1"/>
  <c r="O843" i="1" a="1"/>
  <c r="O843" i="1"/>
  <c r="N843" i="1"/>
  <c r="M843" i="1"/>
  <c r="O842" i="1" a="1"/>
  <c r="O842" i="1"/>
  <c r="N842" i="1"/>
  <c r="M842" i="1"/>
  <c r="O841" i="1" a="1"/>
  <c r="O841" i="1"/>
  <c r="N841" i="1"/>
  <c r="M841" i="1"/>
  <c r="O840" i="1" a="1"/>
  <c r="O840" i="1"/>
  <c r="N840" i="1"/>
  <c r="M840" i="1"/>
  <c r="O839" i="1" a="1"/>
  <c r="O839" i="1"/>
  <c r="N839" i="1"/>
  <c r="M839" i="1"/>
  <c r="O838" i="1" a="1"/>
  <c r="O838" i="1"/>
  <c r="N838" i="1"/>
  <c r="M838" i="1"/>
  <c r="O837" i="1" a="1"/>
  <c r="O837" i="1"/>
  <c r="N837" i="1"/>
  <c r="M837" i="1"/>
  <c r="O836" i="1" a="1"/>
  <c r="O836" i="1"/>
  <c r="N836" i="1"/>
  <c r="M836" i="1"/>
  <c r="O835" i="1" a="1"/>
  <c r="O835" i="1"/>
  <c r="N835" i="1"/>
  <c r="M835" i="1"/>
  <c r="O834" i="1" a="1"/>
  <c r="O834" i="1"/>
  <c r="N834" i="1"/>
  <c r="M834" i="1"/>
  <c r="O833" i="1" a="1"/>
  <c r="O833" i="1"/>
  <c r="N833" i="1"/>
  <c r="M833" i="1"/>
  <c r="O832" i="1" a="1"/>
  <c r="O832" i="1"/>
  <c r="N832" i="1"/>
  <c r="M832" i="1"/>
  <c r="O831" i="1" a="1"/>
  <c r="O831" i="1"/>
  <c r="N831" i="1"/>
  <c r="M831" i="1"/>
  <c r="O830" i="1" a="1"/>
  <c r="O830" i="1"/>
  <c r="N830" i="1"/>
  <c r="M830" i="1"/>
  <c r="O829" i="1" a="1"/>
  <c r="O829" i="1"/>
  <c r="N829" i="1"/>
  <c r="M829" i="1"/>
  <c r="O828" i="1" a="1"/>
  <c r="O828" i="1"/>
  <c r="N828" i="1"/>
  <c r="M828" i="1"/>
  <c r="O827" i="1" a="1"/>
  <c r="O827" i="1"/>
  <c r="N827" i="1"/>
  <c r="M827" i="1"/>
  <c r="O826" i="1" a="1"/>
  <c r="O826" i="1"/>
  <c r="N826" i="1"/>
  <c r="M826" i="1"/>
  <c r="O825" i="1" a="1"/>
  <c r="O825" i="1"/>
  <c r="N825" i="1"/>
  <c r="M825" i="1"/>
  <c r="O824" i="1" a="1"/>
  <c r="O824" i="1"/>
  <c r="N824" i="1"/>
  <c r="M824" i="1"/>
  <c r="O823" i="1" a="1"/>
  <c r="O823" i="1"/>
  <c r="N823" i="1"/>
  <c r="M823" i="1"/>
  <c r="O822" i="1" a="1"/>
  <c r="O822" i="1"/>
  <c r="N822" i="1"/>
  <c r="M822" i="1"/>
  <c r="O821" i="1" a="1"/>
  <c r="O821" i="1"/>
  <c r="N821" i="1"/>
  <c r="M821" i="1"/>
  <c r="O820" i="1" a="1"/>
  <c r="O820" i="1"/>
  <c r="N820" i="1"/>
  <c r="M820" i="1"/>
  <c r="O819" i="1" a="1"/>
  <c r="O819" i="1"/>
  <c r="N819" i="1"/>
  <c r="M819" i="1"/>
  <c r="O818" i="1" a="1"/>
  <c r="O818" i="1"/>
  <c r="N818" i="1"/>
  <c r="M818" i="1"/>
  <c r="O817" i="1" a="1"/>
  <c r="O817" i="1"/>
  <c r="N817" i="1"/>
  <c r="M817" i="1"/>
  <c r="O816" i="1" a="1"/>
  <c r="O816" i="1"/>
  <c r="N816" i="1"/>
  <c r="M816" i="1"/>
  <c r="O815" i="1" a="1"/>
  <c r="O815" i="1"/>
  <c r="N815" i="1"/>
  <c r="M815" i="1"/>
  <c r="O814" i="1" a="1"/>
  <c r="O814" i="1"/>
  <c r="N814" i="1"/>
  <c r="M814" i="1"/>
  <c r="O813" i="1" a="1"/>
  <c r="O813" i="1"/>
  <c r="N813" i="1"/>
  <c r="M813" i="1"/>
  <c r="O812" i="1" a="1"/>
  <c r="O812" i="1"/>
  <c r="N812" i="1"/>
  <c r="M812" i="1"/>
  <c r="O811" i="1" a="1"/>
  <c r="O811" i="1"/>
  <c r="N811" i="1"/>
  <c r="M811" i="1"/>
  <c r="O810" i="1" a="1"/>
  <c r="O810" i="1"/>
  <c r="N810" i="1"/>
  <c r="M810" i="1"/>
  <c r="O809" i="1" a="1"/>
  <c r="O809" i="1"/>
  <c r="N809" i="1"/>
  <c r="M809" i="1"/>
  <c r="O808" i="1" a="1"/>
  <c r="O808" i="1"/>
  <c r="N808" i="1"/>
  <c r="M808" i="1"/>
  <c r="O807" i="1" a="1"/>
  <c r="O807" i="1"/>
  <c r="N807" i="1"/>
  <c r="M807" i="1"/>
  <c r="O806" i="1" a="1"/>
  <c r="O806" i="1"/>
  <c r="N806" i="1"/>
  <c r="M806" i="1"/>
  <c r="O805" i="1" a="1"/>
  <c r="O805" i="1"/>
  <c r="N805" i="1"/>
  <c r="M805" i="1"/>
  <c r="O804" i="1" a="1"/>
  <c r="O804" i="1"/>
  <c r="N804" i="1"/>
  <c r="M804" i="1"/>
  <c r="O803" i="1" a="1"/>
  <c r="O803" i="1"/>
  <c r="N803" i="1"/>
  <c r="M803" i="1"/>
  <c r="O802" i="1" a="1"/>
  <c r="O802" i="1"/>
  <c r="N802" i="1"/>
  <c r="M802" i="1"/>
  <c r="O801" i="1" a="1"/>
  <c r="O801" i="1"/>
  <c r="N801" i="1"/>
  <c r="M801" i="1"/>
  <c r="O800" i="1" a="1"/>
  <c r="O800" i="1"/>
  <c r="N800" i="1"/>
  <c r="M800" i="1"/>
  <c r="O799" i="1" a="1"/>
  <c r="O799" i="1"/>
  <c r="N799" i="1"/>
  <c r="M799" i="1"/>
  <c r="O798" i="1" a="1"/>
  <c r="O798" i="1"/>
  <c r="N798" i="1"/>
  <c r="M798" i="1"/>
  <c r="O797" i="1" a="1"/>
  <c r="O797" i="1"/>
  <c r="N797" i="1"/>
  <c r="M797" i="1"/>
  <c r="O796" i="1" a="1"/>
  <c r="O796" i="1"/>
  <c r="N796" i="1"/>
  <c r="M796" i="1"/>
  <c r="O795" i="1" a="1"/>
  <c r="O795" i="1"/>
  <c r="N795" i="1"/>
  <c r="M795" i="1"/>
  <c r="O794" i="1" a="1"/>
  <c r="O794" i="1"/>
  <c r="N794" i="1"/>
  <c r="M794" i="1"/>
  <c r="O793" i="1" a="1"/>
  <c r="O793" i="1"/>
  <c r="N793" i="1"/>
  <c r="M793" i="1"/>
  <c r="O792" i="1" a="1"/>
  <c r="O792" i="1"/>
  <c r="N792" i="1"/>
  <c r="M792" i="1"/>
  <c r="O791" i="1" a="1"/>
  <c r="O791" i="1"/>
  <c r="N791" i="1"/>
  <c r="M791" i="1"/>
  <c r="O790" i="1" a="1"/>
  <c r="O790" i="1"/>
  <c r="N790" i="1"/>
  <c r="M790" i="1"/>
  <c r="O789" i="1" a="1"/>
  <c r="O789" i="1"/>
  <c r="N789" i="1"/>
  <c r="M789" i="1"/>
  <c r="O788" i="1" a="1"/>
  <c r="O788" i="1"/>
  <c r="N788" i="1"/>
  <c r="M788" i="1"/>
  <c r="O787" i="1" a="1"/>
  <c r="O787" i="1"/>
  <c r="N787" i="1"/>
  <c r="M787" i="1"/>
  <c r="O786" i="1" a="1"/>
  <c r="O786" i="1"/>
  <c r="N786" i="1"/>
  <c r="M786" i="1"/>
  <c r="O785" i="1" a="1"/>
  <c r="O785" i="1"/>
  <c r="N785" i="1"/>
  <c r="M785" i="1"/>
  <c r="O784" i="1" a="1"/>
  <c r="O784" i="1"/>
  <c r="N784" i="1"/>
  <c r="M784" i="1"/>
  <c r="O783" i="1" a="1"/>
  <c r="O783" i="1"/>
  <c r="N783" i="1"/>
  <c r="M783" i="1"/>
  <c r="O782" i="1" a="1"/>
  <c r="O782" i="1"/>
  <c r="N782" i="1"/>
  <c r="M782" i="1"/>
  <c r="O781" i="1" a="1"/>
  <c r="O781" i="1"/>
  <c r="N781" i="1"/>
  <c r="M781" i="1"/>
  <c r="O780" i="1" a="1"/>
  <c r="O780" i="1"/>
  <c r="N780" i="1"/>
  <c r="M780" i="1"/>
  <c r="O779" i="1" a="1"/>
  <c r="O779" i="1"/>
  <c r="N779" i="1"/>
  <c r="M779" i="1"/>
  <c r="O778" i="1" a="1"/>
  <c r="O778" i="1"/>
  <c r="N778" i="1"/>
  <c r="M778" i="1"/>
  <c r="O777" i="1" a="1"/>
  <c r="O777" i="1"/>
  <c r="N777" i="1"/>
  <c r="M777" i="1"/>
  <c r="O776" i="1" a="1"/>
  <c r="O776" i="1"/>
  <c r="N776" i="1"/>
  <c r="M776" i="1"/>
  <c r="O775" i="1" a="1"/>
  <c r="O775" i="1"/>
  <c r="N775" i="1"/>
  <c r="M775" i="1"/>
  <c r="O774" i="1" a="1"/>
  <c r="O774" i="1"/>
  <c r="N774" i="1"/>
  <c r="M774" i="1"/>
  <c r="O773" i="1" a="1"/>
  <c r="O773" i="1"/>
  <c r="N773" i="1"/>
  <c r="M773" i="1"/>
  <c r="O772" i="1" a="1"/>
  <c r="O772" i="1"/>
  <c r="N772" i="1"/>
  <c r="M772" i="1"/>
  <c r="O771" i="1" a="1"/>
  <c r="O771" i="1"/>
  <c r="N771" i="1"/>
  <c r="M771" i="1"/>
  <c r="O770" i="1" a="1"/>
  <c r="O770" i="1"/>
  <c r="N770" i="1"/>
  <c r="M770" i="1"/>
  <c r="O769" i="1" a="1"/>
  <c r="O769" i="1"/>
  <c r="N769" i="1"/>
  <c r="M769" i="1"/>
  <c r="O768" i="1" a="1"/>
  <c r="O768" i="1"/>
  <c r="N768" i="1"/>
  <c r="M768" i="1"/>
  <c r="O767" i="1" a="1"/>
  <c r="O767" i="1"/>
  <c r="N767" i="1"/>
  <c r="M767" i="1"/>
  <c r="O766" i="1" a="1"/>
  <c r="O766" i="1"/>
  <c r="N766" i="1"/>
  <c r="M766" i="1"/>
  <c r="O765" i="1" a="1"/>
  <c r="O765" i="1"/>
  <c r="N765" i="1"/>
  <c r="M765" i="1"/>
  <c r="O764" i="1" a="1"/>
  <c r="O764" i="1"/>
  <c r="N764" i="1"/>
  <c r="M764" i="1"/>
  <c r="O763" i="1" a="1"/>
  <c r="O763" i="1"/>
  <c r="N763" i="1"/>
  <c r="M763" i="1"/>
  <c r="O762" i="1" a="1"/>
  <c r="O762" i="1"/>
  <c r="N762" i="1"/>
  <c r="M762" i="1"/>
  <c r="O761" i="1" a="1"/>
  <c r="O761" i="1"/>
  <c r="N761" i="1"/>
  <c r="M761" i="1"/>
  <c r="O760" i="1" a="1"/>
  <c r="O760" i="1"/>
  <c r="N760" i="1"/>
  <c r="M760" i="1"/>
  <c r="O759" i="1" a="1"/>
  <c r="O759" i="1"/>
  <c r="N759" i="1"/>
  <c r="M759" i="1"/>
  <c r="O758" i="1" a="1"/>
  <c r="O758" i="1"/>
  <c r="N758" i="1"/>
  <c r="M758" i="1"/>
  <c r="O757" i="1" a="1"/>
  <c r="O757" i="1"/>
  <c r="N757" i="1"/>
  <c r="M757" i="1"/>
  <c r="O756" i="1" a="1"/>
  <c r="O756" i="1"/>
  <c r="N756" i="1"/>
  <c r="M756" i="1"/>
  <c r="O755" i="1" a="1"/>
  <c r="O755" i="1"/>
  <c r="N755" i="1"/>
  <c r="M755" i="1"/>
  <c r="O754" i="1" a="1"/>
  <c r="O754" i="1"/>
  <c r="N754" i="1"/>
  <c r="M754" i="1"/>
  <c r="O753" i="1" a="1"/>
  <c r="O753" i="1"/>
  <c r="N753" i="1"/>
  <c r="M753" i="1"/>
  <c r="O752" i="1" a="1"/>
  <c r="O752" i="1"/>
  <c r="N752" i="1"/>
  <c r="M752" i="1"/>
  <c r="O751" i="1" a="1"/>
  <c r="O751" i="1"/>
  <c r="N751" i="1"/>
  <c r="M751" i="1"/>
  <c r="O750" i="1" a="1"/>
  <c r="O750" i="1"/>
  <c r="N750" i="1"/>
  <c r="M750" i="1"/>
  <c r="O749" i="1" a="1"/>
  <c r="O749" i="1"/>
  <c r="N749" i="1"/>
  <c r="M749" i="1"/>
  <c r="O748" i="1" a="1"/>
  <c r="O748" i="1"/>
  <c r="N748" i="1"/>
  <c r="M748" i="1"/>
  <c r="O747" i="1" a="1"/>
  <c r="O747" i="1"/>
  <c r="N747" i="1"/>
  <c r="M747" i="1"/>
  <c r="O746" i="1" a="1"/>
  <c r="O746" i="1"/>
  <c r="N746" i="1"/>
  <c r="M746" i="1"/>
  <c r="O745" i="1" a="1"/>
  <c r="O745" i="1"/>
  <c r="N745" i="1"/>
  <c r="M745" i="1"/>
  <c r="O744" i="1" a="1"/>
  <c r="O744" i="1"/>
  <c r="N744" i="1"/>
  <c r="M744" i="1"/>
  <c r="O743" i="1" a="1"/>
  <c r="O743" i="1"/>
  <c r="N743" i="1"/>
  <c r="M743" i="1"/>
  <c r="O742" i="1" a="1"/>
  <c r="O742" i="1"/>
  <c r="N742" i="1"/>
  <c r="M742" i="1"/>
  <c r="O741" i="1" a="1"/>
  <c r="O741" i="1"/>
  <c r="N741" i="1"/>
  <c r="M741" i="1"/>
  <c r="O740" i="1" a="1"/>
  <c r="O740" i="1"/>
  <c r="N740" i="1"/>
  <c r="M740" i="1"/>
  <c r="O739" i="1" a="1"/>
  <c r="O739" i="1"/>
  <c r="N739" i="1"/>
  <c r="M739" i="1"/>
  <c r="O738" i="1" a="1"/>
  <c r="O738" i="1"/>
  <c r="N738" i="1"/>
  <c r="M738" i="1"/>
  <c r="O737" i="1" a="1"/>
  <c r="O737" i="1"/>
  <c r="N737" i="1"/>
  <c r="M737" i="1"/>
  <c r="O736" i="1" a="1"/>
  <c r="O736" i="1"/>
  <c r="N736" i="1"/>
  <c r="M736" i="1"/>
  <c r="O735" i="1" a="1"/>
  <c r="O735" i="1"/>
  <c r="N735" i="1"/>
  <c r="M735" i="1"/>
  <c r="O734" i="1" a="1"/>
  <c r="O734" i="1"/>
  <c r="N734" i="1"/>
  <c r="M734" i="1"/>
  <c r="O733" i="1" a="1"/>
  <c r="O733" i="1"/>
  <c r="N733" i="1"/>
  <c r="M733" i="1"/>
  <c r="O732" i="1" a="1"/>
  <c r="O732" i="1"/>
  <c r="N732" i="1"/>
  <c r="M732" i="1"/>
  <c r="O731" i="1" a="1"/>
  <c r="O731" i="1"/>
  <c r="N731" i="1"/>
  <c r="M731" i="1"/>
  <c r="O730" i="1" a="1"/>
  <c r="O730" i="1"/>
  <c r="N730" i="1"/>
  <c r="M730" i="1"/>
  <c r="O729" i="1" a="1"/>
  <c r="O729" i="1"/>
  <c r="N729" i="1"/>
  <c r="M729" i="1"/>
  <c r="O728" i="1" a="1"/>
  <c r="O728" i="1"/>
  <c r="N728" i="1"/>
  <c r="M728" i="1"/>
  <c r="O727" i="1" a="1"/>
  <c r="O727" i="1"/>
  <c r="N727" i="1"/>
  <c r="M727" i="1"/>
  <c r="O726" i="1" a="1"/>
  <c r="O726" i="1"/>
  <c r="N726" i="1"/>
  <c r="M726" i="1"/>
  <c r="O725" i="1" a="1"/>
  <c r="O725" i="1"/>
  <c r="N725" i="1"/>
  <c r="M725" i="1"/>
  <c r="O724" i="1" a="1"/>
  <c r="O724" i="1"/>
  <c r="N724" i="1"/>
  <c r="M724" i="1"/>
  <c r="O723" i="1" a="1"/>
  <c r="O723" i="1"/>
  <c r="N723" i="1"/>
  <c r="M723" i="1"/>
  <c r="O722" i="1" a="1"/>
  <c r="O722" i="1"/>
  <c r="N722" i="1"/>
  <c r="M722" i="1"/>
  <c r="O721" i="1" a="1"/>
  <c r="O721" i="1"/>
  <c r="N721" i="1"/>
  <c r="M721" i="1"/>
  <c r="O720" i="1" a="1"/>
  <c r="O720" i="1"/>
  <c r="N720" i="1"/>
  <c r="M720" i="1"/>
  <c r="O719" i="1" a="1"/>
  <c r="O719" i="1"/>
  <c r="N719" i="1"/>
  <c r="M719" i="1"/>
  <c r="O718" i="1" a="1"/>
  <c r="O718" i="1"/>
  <c r="N718" i="1"/>
  <c r="M718" i="1"/>
  <c r="O717" i="1" a="1"/>
  <c r="O717" i="1"/>
  <c r="N717" i="1"/>
  <c r="M717" i="1"/>
  <c r="O716" i="1" a="1"/>
  <c r="O716" i="1"/>
  <c r="N716" i="1"/>
  <c r="M716" i="1"/>
  <c r="O715" i="1" a="1"/>
  <c r="O715" i="1"/>
  <c r="N715" i="1"/>
  <c r="M715" i="1"/>
  <c r="O714" i="1" a="1"/>
  <c r="O714" i="1"/>
  <c r="N714" i="1"/>
  <c r="M714" i="1"/>
  <c r="O713" i="1" a="1"/>
  <c r="O713" i="1"/>
  <c r="N713" i="1"/>
  <c r="M713" i="1"/>
  <c r="O712" i="1" a="1"/>
  <c r="O712" i="1"/>
  <c r="N712" i="1"/>
  <c r="M712" i="1"/>
  <c r="O711" i="1" a="1"/>
  <c r="O711" i="1"/>
  <c r="N711" i="1"/>
  <c r="M711" i="1"/>
  <c r="O710" i="1" a="1"/>
  <c r="O710" i="1"/>
  <c r="N710" i="1"/>
  <c r="M710" i="1"/>
  <c r="O709" i="1" a="1"/>
  <c r="O709" i="1"/>
  <c r="N709" i="1"/>
  <c r="M709" i="1"/>
  <c r="O708" i="1" a="1"/>
  <c r="O708" i="1"/>
  <c r="N708" i="1"/>
  <c r="M708" i="1"/>
  <c r="O707" i="1" a="1"/>
  <c r="O707" i="1"/>
  <c r="N707" i="1"/>
  <c r="M707" i="1"/>
  <c r="O706" i="1" a="1"/>
  <c r="O706" i="1"/>
  <c r="N706" i="1"/>
  <c r="M706" i="1"/>
  <c r="O705" i="1" a="1"/>
  <c r="O705" i="1"/>
  <c r="N705" i="1"/>
  <c r="M705" i="1"/>
  <c r="O704" i="1" a="1"/>
  <c r="O704" i="1"/>
  <c r="N704" i="1"/>
  <c r="M704" i="1"/>
  <c r="O703" i="1" a="1"/>
  <c r="O703" i="1"/>
  <c r="N703" i="1"/>
  <c r="M703" i="1"/>
  <c r="O702" i="1" a="1"/>
  <c r="O702" i="1"/>
  <c r="N702" i="1"/>
  <c r="M702" i="1"/>
  <c r="O701" i="1" a="1"/>
  <c r="O701" i="1"/>
  <c r="N701" i="1"/>
  <c r="M701" i="1"/>
  <c r="O700" i="1" a="1"/>
  <c r="O700" i="1"/>
  <c r="N700" i="1"/>
  <c r="M700" i="1"/>
  <c r="O699" i="1" a="1"/>
  <c r="O699" i="1"/>
  <c r="N699" i="1"/>
  <c r="M699" i="1"/>
  <c r="O698" i="1" a="1"/>
  <c r="O698" i="1"/>
  <c r="N698" i="1"/>
  <c r="M698" i="1"/>
  <c r="O697" i="1" a="1"/>
  <c r="O697" i="1"/>
  <c r="N697" i="1"/>
  <c r="M697" i="1"/>
  <c r="O696" i="1" a="1"/>
  <c r="O696" i="1"/>
  <c r="N696" i="1"/>
  <c r="M696" i="1"/>
  <c r="O695" i="1" a="1"/>
  <c r="O695" i="1"/>
  <c r="N695" i="1"/>
  <c r="M695" i="1"/>
  <c r="O694" i="1" a="1"/>
  <c r="O694" i="1"/>
  <c r="N694" i="1"/>
  <c r="M694" i="1"/>
  <c r="O693" i="1" a="1"/>
  <c r="O693" i="1"/>
  <c r="N693" i="1"/>
  <c r="M693" i="1"/>
  <c r="O692" i="1" a="1"/>
  <c r="O692" i="1"/>
  <c r="N692" i="1"/>
  <c r="M692" i="1"/>
  <c r="O691" i="1" a="1"/>
  <c r="O691" i="1"/>
  <c r="N691" i="1"/>
  <c r="M691" i="1"/>
  <c r="O690" i="1" a="1"/>
  <c r="O690" i="1"/>
  <c r="N690" i="1"/>
  <c r="M690" i="1"/>
  <c r="O689" i="1" a="1"/>
  <c r="O689" i="1"/>
  <c r="N689" i="1"/>
  <c r="M689" i="1"/>
  <c r="O688" i="1" a="1"/>
  <c r="O688" i="1"/>
  <c r="N688" i="1"/>
  <c r="M688" i="1"/>
  <c r="O687" i="1" a="1"/>
  <c r="O687" i="1"/>
  <c r="N687" i="1"/>
  <c r="M687" i="1"/>
  <c r="O686" i="1" a="1"/>
  <c r="O686" i="1"/>
  <c r="N686" i="1"/>
  <c r="M686" i="1"/>
  <c r="O685" i="1" a="1"/>
  <c r="O685" i="1"/>
  <c r="N685" i="1"/>
  <c r="M685" i="1"/>
  <c r="O684" i="1" a="1"/>
  <c r="O684" i="1"/>
  <c r="N684" i="1"/>
  <c r="M684" i="1"/>
  <c r="O683" i="1" a="1"/>
  <c r="O683" i="1"/>
  <c r="N683" i="1"/>
  <c r="M683" i="1"/>
  <c r="O682" i="1" a="1"/>
  <c r="O682" i="1"/>
  <c r="N682" i="1"/>
  <c r="M682" i="1"/>
  <c r="O681" i="1" a="1"/>
  <c r="O681" i="1"/>
  <c r="N681" i="1"/>
  <c r="M681" i="1"/>
  <c r="O680" i="1" a="1"/>
  <c r="O680" i="1"/>
  <c r="N680" i="1"/>
  <c r="M680" i="1"/>
  <c r="O679" i="1" a="1"/>
  <c r="O679" i="1"/>
  <c r="N679" i="1"/>
  <c r="M679" i="1"/>
  <c r="O678" i="1" a="1"/>
  <c r="O678" i="1"/>
  <c r="N678" i="1"/>
  <c r="M678" i="1"/>
  <c r="O677" i="1" a="1"/>
  <c r="O677" i="1"/>
  <c r="N677" i="1"/>
  <c r="M677" i="1"/>
  <c r="O676" i="1" a="1"/>
  <c r="O676" i="1"/>
  <c r="N676" i="1"/>
  <c r="M676" i="1"/>
  <c r="O675" i="1" a="1"/>
  <c r="O675" i="1"/>
  <c r="N675" i="1"/>
  <c r="M675" i="1"/>
  <c r="O674" i="1" a="1"/>
  <c r="O674" i="1"/>
  <c r="N674" i="1"/>
  <c r="M674" i="1"/>
  <c r="O673" i="1" a="1"/>
  <c r="O673" i="1"/>
  <c r="N673" i="1"/>
  <c r="M673" i="1"/>
  <c r="O672" i="1" a="1"/>
  <c r="O672" i="1"/>
  <c r="N672" i="1"/>
  <c r="M672" i="1"/>
  <c r="O671" i="1" a="1"/>
  <c r="O671" i="1"/>
  <c r="N671" i="1"/>
  <c r="M671" i="1"/>
  <c r="O670" i="1" a="1"/>
  <c r="O670" i="1"/>
  <c r="N670" i="1"/>
  <c r="M670" i="1"/>
  <c r="O669" i="1" a="1"/>
  <c r="O669" i="1"/>
  <c r="N669" i="1"/>
  <c r="M669" i="1"/>
  <c r="O668" i="1" a="1"/>
  <c r="O668" i="1"/>
  <c r="N668" i="1"/>
  <c r="M668" i="1"/>
  <c r="O667" i="1" a="1"/>
  <c r="O667" i="1"/>
  <c r="N667" i="1"/>
  <c r="M667" i="1"/>
  <c r="O666" i="1" a="1"/>
  <c r="O666" i="1"/>
  <c r="N666" i="1"/>
  <c r="M666" i="1"/>
  <c r="O665" i="1" a="1"/>
  <c r="O665" i="1"/>
  <c r="N665" i="1"/>
  <c r="M665" i="1"/>
  <c r="O664" i="1" a="1"/>
  <c r="O664" i="1"/>
  <c r="N664" i="1"/>
  <c r="M664" i="1"/>
  <c r="O663" i="1" a="1"/>
  <c r="O663" i="1"/>
  <c r="N663" i="1"/>
  <c r="M663" i="1"/>
  <c r="O662" i="1" a="1"/>
  <c r="O662" i="1"/>
  <c r="N662" i="1"/>
  <c r="M662" i="1"/>
  <c r="O661" i="1" a="1"/>
  <c r="O661" i="1"/>
  <c r="N661" i="1"/>
  <c r="M661" i="1"/>
  <c r="O660" i="1" a="1"/>
  <c r="O660" i="1"/>
  <c r="N660" i="1"/>
  <c r="M660" i="1"/>
  <c r="O659" i="1" a="1"/>
  <c r="O659" i="1"/>
  <c r="N659" i="1"/>
  <c r="M659" i="1"/>
  <c r="O658" i="1" a="1"/>
  <c r="O658" i="1"/>
  <c r="N658" i="1"/>
  <c r="M658" i="1"/>
  <c r="O657" i="1" a="1"/>
  <c r="O657" i="1"/>
  <c r="N657" i="1"/>
  <c r="M657" i="1"/>
  <c r="O656" i="1" a="1"/>
  <c r="O656" i="1"/>
  <c r="N656" i="1"/>
  <c r="M656" i="1"/>
  <c r="O655" i="1" a="1"/>
  <c r="O655" i="1"/>
  <c r="N655" i="1"/>
  <c r="M655" i="1"/>
  <c r="O654" i="1" a="1"/>
  <c r="O654" i="1"/>
  <c r="N654" i="1"/>
  <c r="M654" i="1"/>
  <c r="O653" i="1" a="1"/>
  <c r="O653" i="1"/>
  <c r="N653" i="1"/>
  <c r="M653" i="1"/>
  <c r="O652" i="1" a="1"/>
  <c r="O652" i="1"/>
  <c r="N652" i="1"/>
  <c r="M652" i="1"/>
  <c r="O651" i="1" a="1"/>
  <c r="O651" i="1"/>
  <c r="N651" i="1"/>
  <c r="M651" i="1"/>
  <c r="O650" i="1" a="1"/>
  <c r="O650" i="1"/>
  <c r="N650" i="1"/>
  <c r="M650" i="1"/>
  <c r="O649" i="1" a="1"/>
  <c r="O649" i="1"/>
  <c r="N649" i="1"/>
  <c r="M649" i="1"/>
  <c r="O648" i="1" a="1"/>
  <c r="O648" i="1"/>
  <c r="N648" i="1"/>
  <c r="M648" i="1"/>
  <c r="O647" i="1" a="1"/>
  <c r="O647" i="1"/>
  <c r="N647" i="1"/>
  <c r="M647" i="1"/>
  <c r="O646" i="1" a="1"/>
  <c r="O646" i="1"/>
  <c r="N646" i="1"/>
  <c r="M646" i="1"/>
  <c r="O645" i="1" a="1"/>
  <c r="O645" i="1"/>
  <c r="N645" i="1"/>
  <c r="M645" i="1"/>
  <c r="O644" i="1" a="1"/>
  <c r="O644" i="1"/>
  <c r="N644" i="1"/>
  <c r="M644" i="1"/>
  <c r="O643" i="1" a="1"/>
  <c r="O643" i="1"/>
  <c r="N643" i="1"/>
  <c r="M643" i="1"/>
  <c r="O642" i="1" a="1"/>
  <c r="O642" i="1"/>
  <c r="N642" i="1"/>
  <c r="M642" i="1"/>
  <c r="O641" i="1" a="1"/>
  <c r="O641" i="1"/>
  <c r="N641" i="1"/>
  <c r="M641" i="1"/>
  <c r="O640" i="1" a="1"/>
  <c r="O640" i="1"/>
  <c r="N640" i="1"/>
  <c r="M640" i="1"/>
  <c r="O639" i="1" a="1"/>
  <c r="O639" i="1"/>
  <c r="N639" i="1"/>
  <c r="M639" i="1"/>
  <c r="O638" i="1" a="1"/>
  <c r="O638" i="1"/>
  <c r="N638" i="1"/>
  <c r="M638" i="1"/>
  <c r="O637" i="1" a="1"/>
  <c r="O637" i="1"/>
  <c r="N637" i="1"/>
  <c r="M637" i="1"/>
  <c r="O636" i="1" a="1"/>
  <c r="O636" i="1"/>
  <c r="N636" i="1"/>
  <c r="M636" i="1"/>
  <c r="O635" i="1" a="1"/>
  <c r="O635" i="1"/>
  <c r="N635" i="1"/>
  <c r="M635" i="1"/>
  <c r="O634" i="1" a="1"/>
  <c r="O634" i="1"/>
  <c r="N634" i="1"/>
  <c r="M634" i="1"/>
  <c r="O633" i="1" a="1"/>
  <c r="O633" i="1"/>
  <c r="N633" i="1"/>
  <c r="M633" i="1"/>
  <c r="O632" i="1" a="1"/>
  <c r="O632" i="1"/>
  <c r="N632" i="1"/>
  <c r="M632" i="1"/>
  <c r="O631" i="1" a="1"/>
  <c r="O631" i="1"/>
  <c r="N631" i="1"/>
  <c r="M631" i="1"/>
  <c r="O630" i="1" a="1"/>
  <c r="O630" i="1"/>
  <c r="N630" i="1"/>
  <c r="M630" i="1"/>
  <c r="O629" i="1" a="1"/>
  <c r="O629" i="1"/>
  <c r="N629" i="1"/>
  <c r="M629" i="1"/>
  <c r="O628" i="1" a="1"/>
  <c r="O628" i="1"/>
  <c r="N628" i="1"/>
  <c r="M628" i="1"/>
  <c r="O627" i="1" a="1"/>
  <c r="O627" i="1"/>
  <c r="N627" i="1"/>
  <c r="M627" i="1"/>
  <c r="O626" i="1" a="1"/>
  <c r="O626" i="1"/>
  <c r="N626" i="1"/>
  <c r="M626" i="1"/>
  <c r="O625" i="1" a="1"/>
  <c r="O625" i="1"/>
  <c r="N625" i="1"/>
  <c r="M625" i="1"/>
  <c r="O624" i="1" a="1"/>
  <c r="O624" i="1"/>
  <c r="N624" i="1"/>
  <c r="M624" i="1"/>
  <c r="O623" i="1" a="1"/>
  <c r="O623" i="1"/>
  <c r="N623" i="1"/>
  <c r="M623" i="1"/>
  <c r="O622" i="1" a="1"/>
  <c r="O622" i="1"/>
  <c r="N622" i="1"/>
  <c r="M622" i="1"/>
  <c r="O621" i="1" a="1"/>
  <c r="O621" i="1"/>
  <c r="N621" i="1"/>
  <c r="M621" i="1"/>
  <c r="O620" i="1" a="1"/>
  <c r="O620" i="1"/>
  <c r="N620" i="1"/>
  <c r="M620" i="1"/>
  <c r="O619" i="1" a="1"/>
  <c r="O619" i="1"/>
  <c r="N619" i="1"/>
  <c r="M619" i="1"/>
  <c r="O618" i="1" a="1"/>
  <c r="O618" i="1"/>
  <c r="N618" i="1"/>
  <c r="M618" i="1"/>
  <c r="O617" i="1" a="1"/>
  <c r="O617" i="1"/>
  <c r="N617" i="1"/>
  <c r="M617" i="1"/>
  <c r="O616" i="1" a="1"/>
  <c r="O616" i="1"/>
  <c r="N616" i="1"/>
  <c r="M616" i="1"/>
  <c r="O615" i="1" a="1"/>
  <c r="O615" i="1"/>
  <c r="N615" i="1"/>
  <c r="M615" i="1"/>
  <c r="O614" i="1" a="1"/>
  <c r="O614" i="1"/>
  <c r="N614" i="1"/>
  <c r="M614" i="1"/>
  <c r="O613" i="1" a="1"/>
  <c r="O613" i="1"/>
  <c r="N613" i="1"/>
  <c r="M613" i="1"/>
  <c r="O612" i="1" a="1"/>
  <c r="O612" i="1"/>
  <c r="N612" i="1"/>
  <c r="M612" i="1"/>
  <c r="O611" i="1" a="1"/>
  <c r="O611" i="1"/>
  <c r="N611" i="1"/>
  <c r="M611" i="1"/>
  <c r="O610" i="1" a="1"/>
  <c r="O610" i="1"/>
  <c r="N610" i="1"/>
  <c r="M610" i="1"/>
  <c r="O609" i="1" a="1"/>
  <c r="O609" i="1"/>
  <c r="N609" i="1"/>
  <c r="M609" i="1"/>
  <c r="O608" i="1" a="1"/>
  <c r="O608" i="1"/>
  <c r="N608" i="1"/>
  <c r="M608" i="1"/>
  <c r="O607" i="1" a="1"/>
  <c r="O607" i="1"/>
  <c r="N607" i="1"/>
  <c r="M607" i="1"/>
  <c r="O606" i="1" a="1"/>
  <c r="O606" i="1"/>
  <c r="N606" i="1"/>
  <c r="M606" i="1"/>
  <c r="O605" i="1" a="1"/>
  <c r="O605" i="1"/>
  <c r="N605" i="1"/>
  <c r="M605" i="1"/>
  <c r="O604" i="1" a="1"/>
  <c r="O604" i="1"/>
  <c r="N604" i="1"/>
  <c r="M604" i="1"/>
  <c r="O603" i="1" a="1"/>
  <c r="O603" i="1"/>
  <c r="N603" i="1"/>
  <c r="M603" i="1"/>
  <c r="O602" i="1" a="1"/>
  <c r="O602" i="1"/>
  <c r="N602" i="1"/>
  <c r="M602" i="1"/>
  <c r="O601" i="1" a="1"/>
  <c r="O601" i="1"/>
  <c r="N601" i="1"/>
  <c r="M601" i="1"/>
  <c r="O600" i="1" a="1"/>
  <c r="O600" i="1"/>
  <c r="N600" i="1"/>
  <c r="M600" i="1"/>
  <c r="O599" i="1" a="1"/>
  <c r="O599" i="1"/>
  <c r="N599" i="1"/>
  <c r="M599" i="1"/>
  <c r="O598" i="1" a="1"/>
  <c r="O598" i="1"/>
  <c r="N598" i="1"/>
  <c r="M598" i="1"/>
  <c r="O597" i="1" a="1"/>
  <c r="O597" i="1"/>
  <c r="N597" i="1"/>
  <c r="M597" i="1"/>
  <c r="O596" i="1" a="1"/>
  <c r="O596" i="1"/>
  <c r="N596" i="1"/>
  <c r="M596" i="1"/>
  <c r="O595" i="1" a="1"/>
  <c r="O595" i="1"/>
  <c r="N595" i="1"/>
  <c r="M595" i="1"/>
  <c r="O594" i="1" a="1"/>
  <c r="O594" i="1"/>
  <c r="N594" i="1"/>
  <c r="M594" i="1"/>
  <c r="O593" i="1" a="1"/>
  <c r="O593" i="1"/>
  <c r="N593" i="1"/>
  <c r="M593" i="1"/>
  <c r="O592" i="1" a="1"/>
  <c r="O592" i="1"/>
  <c r="N592" i="1"/>
  <c r="M592" i="1"/>
  <c r="O591" i="1" a="1"/>
  <c r="O591" i="1"/>
  <c r="N591" i="1"/>
  <c r="M591" i="1"/>
  <c r="O590" i="1" a="1"/>
  <c r="O590" i="1"/>
  <c r="N590" i="1"/>
  <c r="M590" i="1"/>
  <c r="O589" i="1" a="1"/>
  <c r="O589" i="1"/>
  <c r="N589" i="1"/>
  <c r="M589" i="1"/>
  <c r="O588" i="1" a="1"/>
  <c r="O588" i="1"/>
  <c r="N588" i="1"/>
  <c r="M588" i="1"/>
  <c r="O587" i="1" a="1"/>
  <c r="O587" i="1"/>
  <c r="N587" i="1"/>
  <c r="M587" i="1"/>
  <c r="O586" i="1" a="1"/>
  <c r="O586" i="1"/>
  <c r="N586" i="1"/>
  <c r="M586" i="1"/>
  <c r="O585" i="1" a="1"/>
  <c r="O585" i="1"/>
  <c r="N585" i="1"/>
  <c r="M585" i="1"/>
  <c r="O584" i="1" a="1"/>
  <c r="O584" i="1"/>
  <c r="N584" i="1"/>
  <c r="M584" i="1"/>
  <c r="O583" i="1" a="1"/>
  <c r="O583" i="1"/>
  <c r="N583" i="1"/>
  <c r="M583" i="1"/>
  <c r="O582" i="1" a="1"/>
  <c r="O582" i="1"/>
  <c r="N582" i="1"/>
  <c r="M582" i="1"/>
  <c r="O581" i="1" a="1"/>
  <c r="O581" i="1"/>
  <c r="N581" i="1"/>
  <c r="M581" i="1"/>
  <c r="O580" i="1" a="1"/>
  <c r="O580" i="1"/>
  <c r="N580" i="1"/>
  <c r="M580" i="1"/>
  <c r="O579" i="1" a="1"/>
  <c r="O579" i="1"/>
  <c r="N579" i="1"/>
  <c r="M579" i="1"/>
  <c r="O578" i="1" a="1"/>
  <c r="O578" i="1"/>
  <c r="N578" i="1"/>
  <c r="M578" i="1"/>
  <c r="O577" i="1" a="1"/>
  <c r="O577" i="1"/>
  <c r="N577" i="1"/>
  <c r="M577" i="1"/>
  <c r="O576" i="1" a="1"/>
  <c r="O576" i="1"/>
  <c r="N576" i="1"/>
  <c r="M576" i="1"/>
  <c r="O575" i="1" a="1"/>
  <c r="O575" i="1"/>
  <c r="N575" i="1"/>
  <c r="M575" i="1"/>
  <c r="O574" i="1" a="1"/>
  <c r="O574" i="1"/>
  <c r="N574" i="1"/>
  <c r="M574" i="1"/>
  <c r="O573" i="1" a="1"/>
  <c r="O573" i="1"/>
  <c r="N573" i="1"/>
  <c r="M573" i="1"/>
  <c r="O572" i="1" a="1"/>
  <c r="O572" i="1"/>
  <c r="N572" i="1"/>
  <c r="M572" i="1"/>
  <c r="O571" i="1" a="1"/>
  <c r="O571" i="1"/>
  <c r="N571" i="1"/>
  <c r="M571" i="1"/>
  <c r="O570" i="1" a="1"/>
  <c r="O570" i="1"/>
  <c r="N570" i="1"/>
  <c r="M570" i="1"/>
  <c r="O569" i="1" a="1"/>
  <c r="O569" i="1"/>
  <c r="N569" i="1"/>
  <c r="M569" i="1"/>
  <c r="O568" i="1" a="1"/>
  <c r="O568" i="1"/>
  <c r="N568" i="1"/>
  <c r="M568" i="1"/>
  <c r="O567" i="1" a="1"/>
  <c r="O567" i="1"/>
  <c r="N567" i="1"/>
  <c r="M567" i="1"/>
  <c r="O566" i="1" a="1"/>
  <c r="O566" i="1"/>
  <c r="N566" i="1"/>
  <c r="M566" i="1"/>
  <c r="O565" i="1" a="1"/>
  <c r="O565" i="1"/>
  <c r="N565" i="1"/>
  <c r="M565" i="1"/>
  <c r="O564" i="1" a="1"/>
  <c r="O564" i="1"/>
  <c r="N564" i="1"/>
  <c r="M564" i="1"/>
  <c r="O563" i="1" a="1"/>
  <c r="O563" i="1"/>
  <c r="N563" i="1"/>
  <c r="M563" i="1"/>
  <c r="O562" i="1" a="1"/>
  <c r="O562" i="1"/>
  <c r="N562" i="1"/>
  <c r="M562" i="1"/>
  <c r="O561" i="1" a="1"/>
  <c r="O561" i="1"/>
  <c r="N561" i="1"/>
  <c r="M561" i="1"/>
  <c r="O560" i="1" a="1"/>
  <c r="O560" i="1"/>
  <c r="N560" i="1"/>
  <c r="M560" i="1"/>
  <c r="O559" i="1" a="1"/>
  <c r="O559" i="1"/>
  <c r="N559" i="1"/>
  <c r="M559" i="1"/>
  <c r="O558" i="1" a="1"/>
  <c r="O558" i="1"/>
  <c r="N558" i="1"/>
  <c r="M558" i="1"/>
  <c r="O557" i="1" a="1"/>
  <c r="O557" i="1"/>
  <c r="N557" i="1"/>
  <c r="M557" i="1"/>
  <c r="O556" i="1" a="1"/>
  <c r="O556" i="1"/>
  <c r="N556" i="1"/>
  <c r="M556" i="1"/>
  <c r="O555" i="1" a="1"/>
  <c r="O555" i="1"/>
  <c r="N555" i="1"/>
  <c r="M555" i="1"/>
  <c r="O554" i="1" a="1"/>
  <c r="O554" i="1"/>
  <c r="N554" i="1"/>
  <c r="M554" i="1"/>
  <c r="O553" i="1" a="1"/>
  <c r="O553" i="1"/>
  <c r="N553" i="1"/>
  <c r="M553" i="1"/>
  <c r="O552" i="1" a="1"/>
  <c r="O552" i="1"/>
  <c r="N552" i="1"/>
  <c r="M552" i="1"/>
  <c r="O551" i="1" a="1"/>
  <c r="O551" i="1"/>
  <c r="N551" i="1"/>
  <c r="M551" i="1"/>
  <c r="O550" i="1" a="1"/>
  <c r="O550" i="1"/>
  <c r="N550" i="1"/>
  <c r="M550" i="1"/>
  <c r="O549" i="1" a="1"/>
  <c r="O549" i="1"/>
  <c r="N549" i="1"/>
  <c r="M549" i="1"/>
  <c r="O548" i="1" a="1"/>
  <c r="O548" i="1"/>
  <c r="N548" i="1"/>
  <c r="M548" i="1"/>
  <c r="O547" i="1" a="1"/>
  <c r="O547" i="1"/>
  <c r="N547" i="1"/>
  <c r="M547" i="1"/>
  <c r="O546" i="1" a="1"/>
  <c r="O546" i="1"/>
  <c r="N546" i="1"/>
  <c r="M546" i="1"/>
  <c r="O545" i="1" a="1"/>
  <c r="O545" i="1"/>
  <c r="N545" i="1"/>
  <c r="M545" i="1"/>
  <c r="O544" i="1" a="1"/>
  <c r="O544" i="1"/>
  <c r="N544" i="1"/>
  <c r="M544" i="1"/>
  <c r="O543" i="1" a="1"/>
  <c r="O543" i="1"/>
  <c r="N543" i="1"/>
  <c r="M543" i="1"/>
  <c r="O542" i="1" a="1"/>
  <c r="O542" i="1"/>
  <c r="N542" i="1"/>
  <c r="M542" i="1"/>
  <c r="O541" i="1" a="1"/>
  <c r="O541" i="1"/>
  <c r="N541" i="1"/>
  <c r="M541" i="1"/>
  <c r="O540" i="1" a="1"/>
  <c r="O540" i="1"/>
  <c r="N540" i="1"/>
  <c r="M540" i="1"/>
  <c r="O539" i="1" a="1"/>
  <c r="O539" i="1"/>
  <c r="N539" i="1"/>
  <c r="M539" i="1"/>
  <c r="O538" i="1" a="1"/>
  <c r="O538" i="1"/>
  <c r="N538" i="1"/>
  <c r="M538" i="1"/>
  <c r="O537" i="1" a="1"/>
  <c r="O537" i="1"/>
  <c r="N537" i="1"/>
  <c r="M537" i="1"/>
  <c r="O536" i="1" a="1"/>
  <c r="O536" i="1"/>
  <c r="N536" i="1"/>
  <c r="M536" i="1"/>
  <c r="O535" i="1" a="1"/>
  <c r="O535" i="1"/>
  <c r="N535" i="1"/>
  <c r="M535" i="1"/>
  <c r="O534" i="1" a="1"/>
  <c r="O534" i="1"/>
  <c r="N534" i="1"/>
  <c r="M534" i="1"/>
  <c r="O533" i="1" a="1"/>
  <c r="O533" i="1"/>
  <c r="N533" i="1"/>
  <c r="M533" i="1"/>
  <c r="O532" i="1" a="1"/>
  <c r="O532" i="1"/>
  <c r="N532" i="1"/>
  <c r="M532" i="1"/>
  <c r="O531" i="1" a="1"/>
  <c r="O531" i="1"/>
  <c r="N531" i="1"/>
  <c r="M531" i="1"/>
  <c r="O530" i="1" a="1"/>
  <c r="O530" i="1"/>
  <c r="N530" i="1"/>
  <c r="M530" i="1"/>
  <c r="O529" i="1" a="1"/>
  <c r="O529" i="1"/>
  <c r="N529" i="1"/>
  <c r="M529" i="1"/>
  <c r="O528" i="1" a="1"/>
  <c r="O528" i="1"/>
  <c r="N528" i="1"/>
  <c r="M528" i="1"/>
  <c r="O527" i="1" a="1"/>
  <c r="O527" i="1"/>
  <c r="N527" i="1"/>
  <c r="M527" i="1"/>
  <c r="O526" i="1" a="1"/>
  <c r="O526" i="1"/>
  <c r="N526" i="1"/>
  <c r="M526" i="1"/>
  <c r="O525" i="1" a="1"/>
  <c r="O525" i="1"/>
  <c r="N525" i="1"/>
  <c r="M525" i="1"/>
  <c r="O524" i="1" a="1"/>
  <c r="O524" i="1"/>
  <c r="N524" i="1"/>
  <c r="M524" i="1"/>
  <c r="O523" i="1" a="1"/>
  <c r="O523" i="1"/>
  <c r="N523" i="1"/>
  <c r="M523" i="1"/>
  <c r="O522" i="1" a="1"/>
  <c r="O522" i="1"/>
  <c r="N522" i="1"/>
  <c r="M522" i="1"/>
  <c r="O521" i="1" a="1"/>
  <c r="O521" i="1"/>
  <c r="N521" i="1"/>
  <c r="M521" i="1"/>
  <c r="O520" i="1" a="1"/>
  <c r="O520" i="1"/>
  <c r="N520" i="1"/>
  <c r="M520" i="1"/>
  <c r="O519" i="1" a="1"/>
  <c r="O519" i="1"/>
  <c r="N519" i="1"/>
  <c r="M519" i="1"/>
  <c r="O518" i="1" a="1"/>
  <c r="O518" i="1"/>
  <c r="N518" i="1"/>
  <c r="M518" i="1"/>
  <c r="O517" i="1" a="1"/>
  <c r="O517" i="1"/>
  <c r="N517" i="1"/>
  <c r="M517" i="1"/>
  <c r="O516" i="1" a="1"/>
  <c r="O516" i="1"/>
  <c r="N516" i="1"/>
  <c r="M516" i="1"/>
  <c r="O515" i="1" a="1"/>
  <c r="O515" i="1"/>
  <c r="N515" i="1"/>
  <c r="M515" i="1"/>
  <c r="O514" i="1" a="1"/>
  <c r="O514" i="1"/>
  <c r="N514" i="1"/>
  <c r="M514" i="1"/>
  <c r="O513" i="1" a="1"/>
  <c r="O513" i="1"/>
  <c r="N513" i="1"/>
  <c r="M513" i="1"/>
  <c r="O512" i="1" a="1"/>
  <c r="O512" i="1"/>
  <c r="N512" i="1"/>
  <c r="M512" i="1"/>
  <c r="O511" i="1" a="1"/>
  <c r="O511" i="1"/>
  <c r="N511" i="1"/>
  <c r="M511" i="1"/>
  <c r="O510" i="1" a="1"/>
  <c r="O510" i="1"/>
  <c r="N510" i="1"/>
  <c r="M510" i="1"/>
  <c r="O509" i="1" a="1"/>
  <c r="O509" i="1"/>
  <c r="N509" i="1"/>
  <c r="M509" i="1"/>
  <c r="O508" i="1" a="1"/>
  <c r="O508" i="1"/>
  <c r="N508" i="1"/>
  <c r="M508" i="1"/>
  <c r="O507" i="1" a="1"/>
  <c r="O507" i="1"/>
  <c r="N507" i="1"/>
  <c r="M507" i="1"/>
  <c r="O506" i="1" a="1"/>
  <c r="O506" i="1"/>
  <c r="N506" i="1"/>
  <c r="M506" i="1"/>
  <c r="O505" i="1" a="1"/>
  <c r="O505" i="1"/>
  <c r="N505" i="1"/>
  <c r="M505" i="1"/>
  <c r="O504" i="1" a="1"/>
  <c r="O504" i="1"/>
  <c r="N504" i="1"/>
  <c r="M504" i="1"/>
  <c r="O503" i="1" a="1"/>
  <c r="O503" i="1"/>
  <c r="N503" i="1"/>
  <c r="M503" i="1"/>
  <c r="O502" i="1" a="1"/>
  <c r="O502" i="1"/>
  <c r="N502" i="1"/>
  <c r="M502" i="1"/>
  <c r="O501" i="1" a="1"/>
  <c r="O501" i="1"/>
  <c r="N501" i="1"/>
  <c r="M501" i="1"/>
  <c r="O500" i="1" a="1"/>
  <c r="O500" i="1"/>
  <c r="N500" i="1"/>
  <c r="M500" i="1"/>
  <c r="O499" i="1" a="1"/>
  <c r="O499" i="1"/>
  <c r="N499" i="1"/>
  <c r="M499" i="1"/>
  <c r="O498" i="1" a="1"/>
  <c r="O498" i="1"/>
  <c r="N498" i="1"/>
  <c r="M498" i="1"/>
  <c r="O497" i="1" a="1"/>
  <c r="O497" i="1"/>
  <c r="N497" i="1"/>
  <c r="M497" i="1"/>
  <c r="O496" i="1" a="1"/>
  <c r="O496" i="1"/>
  <c r="N496" i="1"/>
  <c r="M496" i="1"/>
  <c r="O495" i="1" a="1"/>
  <c r="O495" i="1"/>
  <c r="N495" i="1"/>
  <c r="M495" i="1"/>
  <c r="O494" i="1" a="1"/>
  <c r="O494" i="1"/>
  <c r="N494" i="1"/>
  <c r="M494" i="1"/>
  <c r="O493" i="1" a="1"/>
  <c r="O493" i="1"/>
  <c r="N493" i="1"/>
  <c r="M493" i="1"/>
  <c r="O492" i="1" a="1"/>
  <c r="O492" i="1"/>
  <c r="N492" i="1"/>
  <c r="M492" i="1"/>
  <c r="O491" i="1" a="1"/>
  <c r="O491" i="1"/>
  <c r="N491" i="1"/>
  <c r="M491" i="1"/>
  <c r="O490" i="1" a="1"/>
  <c r="O490" i="1"/>
  <c r="N490" i="1"/>
  <c r="M490" i="1"/>
  <c r="O489" i="1" a="1"/>
  <c r="O489" i="1"/>
  <c r="N489" i="1"/>
  <c r="M489" i="1"/>
  <c r="O488" i="1" a="1"/>
  <c r="O488" i="1"/>
  <c r="N488" i="1"/>
  <c r="M488" i="1"/>
  <c r="O487" i="1" a="1"/>
  <c r="O487" i="1"/>
  <c r="N487" i="1"/>
  <c r="M487" i="1"/>
  <c r="O486" i="1" a="1"/>
  <c r="O486" i="1"/>
  <c r="N486" i="1"/>
  <c r="M486" i="1"/>
  <c r="O485" i="1" a="1"/>
  <c r="O485" i="1"/>
  <c r="N485" i="1"/>
  <c r="M485" i="1"/>
  <c r="O484" i="1" a="1"/>
  <c r="O484" i="1"/>
  <c r="N484" i="1"/>
  <c r="M484" i="1"/>
  <c r="O483" i="1" a="1"/>
  <c r="O483" i="1"/>
  <c r="N483" i="1"/>
  <c r="M483" i="1"/>
  <c r="O482" i="1" a="1"/>
  <c r="O482" i="1"/>
  <c r="N482" i="1"/>
  <c r="M482" i="1"/>
  <c r="O481" i="1" a="1"/>
  <c r="O481" i="1"/>
  <c r="N481" i="1"/>
  <c r="M481" i="1"/>
  <c r="O480" i="1" a="1"/>
  <c r="O480" i="1"/>
  <c r="N480" i="1"/>
  <c r="M480" i="1"/>
  <c r="O479" i="1" a="1"/>
  <c r="O479" i="1"/>
  <c r="N479" i="1"/>
  <c r="M479" i="1"/>
  <c r="O478" i="1" a="1"/>
  <c r="O478" i="1"/>
  <c r="N478" i="1"/>
  <c r="M478" i="1"/>
  <c r="O477" i="1" a="1"/>
  <c r="O477" i="1"/>
  <c r="N477" i="1"/>
  <c r="M477" i="1"/>
  <c r="O476" i="1" a="1"/>
  <c r="O476" i="1"/>
  <c r="N476" i="1"/>
  <c r="M476" i="1"/>
  <c r="O475" i="1" a="1"/>
  <c r="O475" i="1"/>
  <c r="N475" i="1"/>
  <c r="M475" i="1"/>
  <c r="O474" i="1" a="1"/>
  <c r="O474" i="1"/>
  <c r="N474" i="1"/>
  <c r="M474" i="1"/>
  <c r="O473" i="1" a="1"/>
  <c r="O473" i="1"/>
  <c r="N473" i="1"/>
  <c r="M473" i="1"/>
  <c r="O472" i="1" a="1"/>
  <c r="O472" i="1"/>
  <c r="N472" i="1"/>
  <c r="M472" i="1"/>
  <c r="O471" i="1" a="1"/>
  <c r="O471" i="1"/>
  <c r="N471" i="1"/>
  <c r="M471" i="1"/>
  <c r="O470" i="1" a="1"/>
  <c r="O470" i="1"/>
  <c r="N470" i="1"/>
  <c r="M470" i="1"/>
  <c r="O469" i="1" a="1"/>
  <c r="O469" i="1"/>
  <c r="N469" i="1"/>
  <c r="M469" i="1"/>
  <c r="O468" i="1" a="1"/>
  <c r="O468" i="1"/>
  <c r="N468" i="1"/>
  <c r="M468" i="1"/>
  <c r="O467" i="1" a="1"/>
  <c r="O467" i="1"/>
  <c r="N467" i="1"/>
  <c r="M467" i="1"/>
  <c r="O466" i="1" a="1"/>
  <c r="O466" i="1"/>
  <c r="N466" i="1"/>
  <c r="M466" i="1"/>
  <c r="O465" i="1" a="1"/>
  <c r="O465" i="1"/>
  <c r="N465" i="1"/>
  <c r="M465" i="1"/>
  <c r="O464" i="1" a="1"/>
  <c r="O464" i="1"/>
  <c r="N464" i="1"/>
  <c r="M464" i="1"/>
  <c r="O463" i="1" a="1"/>
  <c r="O463" i="1"/>
  <c r="N463" i="1"/>
  <c r="M463" i="1"/>
  <c r="O462" i="1" a="1"/>
  <c r="O462" i="1"/>
  <c r="N462" i="1"/>
  <c r="M462" i="1"/>
  <c r="O461" i="1" a="1"/>
  <c r="O461" i="1"/>
  <c r="N461" i="1"/>
  <c r="M461" i="1"/>
  <c r="O460" i="1" a="1"/>
  <c r="O460" i="1"/>
  <c r="N460" i="1"/>
  <c r="M460" i="1"/>
  <c r="O459" i="1" a="1"/>
  <c r="O459" i="1"/>
  <c r="N459" i="1"/>
  <c r="M459" i="1"/>
  <c r="O458" i="1" a="1"/>
  <c r="O458" i="1"/>
  <c r="N458" i="1"/>
  <c r="M458" i="1"/>
  <c r="O457" i="1" a="1"/>
  <c r="O457" i="1"/>
  <c r="N457" i="1"/>
  <c r="M457" i="1"/>
  <c r="O456" i="1" a="1"/>
  <c r="O456" i="1"/>
  <c r="N456" i="1"/>
  <c r="M456" i="1"/>
  <c r="O455" i="1" a="1"/>
  <c r="O455" i="1"/>
  <c r="N455" i="1"/>
  <c r="M455" i="1"/>
  <c r="O454" i="1" a="1"/>
  <c r="O454" i="1"/>
  <c r="N454" i="1"/>
  <c r="M454" i="1"/>
  <c r="O453" i="1" a="1"/>
  <c r="O453" i="1"/>
  <c r="N453" i="1"/>
  <c r="M453" i="1"/>
  <c r="O452" i="1" a="1"/>
  <c r="O452" i="1"/>
  <c r="N452" i="1"/>
  <c r="M452" i="1"/>
  <c r="O451" i="1" a="1"/>
  <c r="O451" i="1"/>
  <c r="N451" i="1"/>
  <c r="M451" i="1"/>
  <c r="O450" i="1" a="1"/>
  <c r="O450" i="1"/>
  <c r="N450" i="1"/>
  <c r="M450" i="1"/>
  <c r="O449" i="1" a="1"/>
  <c r="O449" i="1"/>
  <c r="N449" i="1"/>
  <c r="M449" i="1"/>
  <c r="O448" i="1" a="1"/>
  <c r="O448" i="1"/>
  <c r="N448" i="1"/>
  <c r="M448" i="1"/>
  <c r="O447" i="1" a="1"/>
  <c r="O447" i="1"/>
  <c r="N447" i="1"/>
  <c r="M447" i="1"/>
  <c r="O446" i="1" a="1"/>
  <c r="O446" i="1"/>
  <c r="N446" i="1"/>
  <c r="M446" i="1"/>
  <c r="O445" i="1" a="1"/>
  <c r="O445" i="1"/>
  <c r="N445" i="1"/>
  <c r="M445" i="1"/>
  <c r="O444" i="1" a="1"/>
  <c r="O444" i="1"/>
  <c r="N444" i="1"/>
  <c r="M444" i="1"/>
  <c r="O443" i="1" a="1"/>
  <c r="O443" i="1"/>
  <c r="N443" i="1"/>
  <c r="M443" i="1"/>
  <c r="O442" i="1" a="1"/>
  <c r="O442" i="1"/>
  <c r="N442" i="1"/>
  <c r="M442" i="1"/>
  <c r="O441" i="1" a="1"/>
  <c r="O441" i="1"/>
  <c r="N441" i="1"/>
  <c r="M441" i="1"/>
  <c r="O440" i="1" a="1"/>
  <c r="O440" i="1"/>
  <c r="N440" i="1"/>
  <c r="M440" i="1"/>
  <c r="O439" i="1" a="1"/>
  <c r="O439" i="1"/>
  <c r="N439" i="1"/>
  <c r="M439" i="1"/>
  <c r="O438" i="1" a="1"/>
  <c r="O438" i="1"/>
  <c r="N438" i="1"/>
  <c r="M438" i="1"/>
  <c r="O437" i="1" a="1"/>
  <c r="O437" i="1"/>
  <c r="N437" i="1"/>
  <c r="M437" i="1"/>
  <c r="O436" i="1" a="1"/>
  <c r="O436" i="1"/>
  <c r="N436" i="1"/>
  <c r="M436" i="1"/>
  <c r="O435" i="1" a="1"/>
  <c r="O435" i="1"/>
  <c r="N435" i="1"/>
  <c r="M435" i="1"/>
  <c r="O434" i="1" a="1"/>
  <c r="O434" i="1"/>
  <c r="N434" i="1"/>
  <c r="M434" i="1"/>
  <c r="O433" i="1" a="1"/>
  <c r="O433" i="1"/>
  <c r="N433" i="1"/>
  <c r="M433" i="1"/>
  <c r="O432" i="1" a="1"/>
  <c r="O432" i="1"/>
  <c r="N432" i="1"/>
  <c r="M432" i="1"/>
  <c r="O431" i="1" a="1"/>
  <c r="O431" i="1"/>
  <c r="N431" i="1"/>
  <c r="M431" i="1"/>
  <c r="O430" i="1" a="1"/>
  <c r="O430" i="1"/>
  <c r="N430" i="1"/>
  <c r="M430" i="1"/>
  <c r="O429" i="1" a="1"/>
  <c r="O429" i="1"/>
  <c r="N429" i="1"/>
  <c r="M429" i="1"/>
  <c r="O428" i="1" a="1"/>
  <c r="O428" i="1"/>
  <c r="N428" i="1"/>
  <c r="M428" i="1"/>
  <c r="O427" i="1" a="1"/>
  <c r="O427" i="1"/>
  <c r="N427" i="1"/>
  <c r="M427" i="1"/>
  <c r="O426" i="1" a="1"/>
  <c r="O426" i="1"/>
  <c r="N426" i="1"/>
  <c r="M426" i="1"/>
  <c r="O425" i="1" a="1"/>
  <c r="O425" i="1"/>
  <c r="N425" i="1"/>
  <c r="M425" i="1"/>
  <c r="O424" i="1" a="1"/>
  <c r="O424" i="1"/>
  <c r="N424" i="1"/>
  <c r="M424" i="1"/>
  <c r="O423" i="1" a="1"/>
  <c r="O423" i="1"/>
  <c r="N423" i="1"/>
  <c r="M423" i="1"/>
  <c r="O422" i="1" a="1"/>
  <c r="O422" i="1"/>
  <c r="N422" i="1"/>
  <c r="M422" i="1"/>
  <c r="O421" i="1" a="1"/>
  <c r="O421" i="1"/>
  <c r="N421" i="1"/>
  <c r="M421" i="1"/>
  <c r="O420" i="1" a="1"/>
  <c r="O420" i="1"/>
  <c r="N420" i="1"/>
  <c r="M420" i="1"/>
  <c r="O419" i="1" a="1"/>
  <c r="O419" i="1"/>
  <c r="N419" i="1"/>
  <c r="M419" i="1"/>
  <c r="O418" i="1" a="1"/>
  <c r="O418" i="1"/>
  <c r="N418" i="1"/>
  <c r="M418" i="1"/>
  <c r="O417" i="1" a="1"/>
  <c r="O417" i="1"/>
  <c r="N417" i="1"/>
  <c r="M417" i="1"/>
  <c r="O416" i="1" a="1"/>
  <c r="O416" i="1"/>
  <c r="N416" i="1"/>
  <c r="M416" i="1"/>
  <c r="O415" i="1" a="1"/>
  <c r="O415" i="1"/>
  <c r="N415" i="1"/>
  <c r="M415" i="1"/>
  <c r="O414" i="1" a="1"/>
  <c r="O414" i="1"/>
  <c r="N414" i="1"/>
  <c r="M414" i="1"/>
  <c r="O413" i="1" a="1"/>
  <c r="O413" i="1"/>
  <c r="N413" i="1"/>
  <c r="M413" i="1"/>
  <c r="O412" i="1" a="1"/>
  <c r="O412" i="1"/>
  <c r="N412" i="1"/>
  <c r="M412" i="1"/>
  <c r="O411" i="1" a="1"/>
  <c r="O411" i="1"/>
  <c r="N411" i="1"/>
  <c r="M411" i="1"/>
  <c r="O410" i="1" a="1"/>
  <c r="O410" i="1"/>
  <c r="N410" i="1"/>
  <c r="M410" i="1"/>
  <c r="O409" i="1" a="1"/>
  <c r="O409" i="1"/>
  <c r="N409" i="1"/>
  <c r="M409" i="1"/>
  <c r="O408" i="1" a="1"/>
  <c r="O408" i="1"/>
  <c r="N408" i="1"/>
  <c r="M408" i="1"/>
  <c r="O407" i="1" a="1"/>
  <c r="O407" i="1"/>
  <c r="N407" i="1"/>
  <c r="M407" i="1"/>
  <c r="O406" i="1" a="1"/>
  <c r="O406" i="1"/>
  <c r="N406" i="1"/>
  <c r="M406" i="1"/>
  <c r="O405" i="1" a="1"/>
  <c r="O405" i="1"/>
  <c r="N405" i="1"/>
  <c r="M405" i="1"/>
  <c r="O404" i="1" a="1"/>
  <c r="O404" i="1"/>
  <c r="N404" i="1"/>
  <c r="M404" i="1"/>
  <c r="O403" i="1" a="1"/>
  <c r="O403" i="1"/>
  <c r="N403" i="1"/>
  <c r="M403" i="1"/>
  <c r="O402" i="1" a="1"/>
  <c r="O402" i="1"/>
  <c r="N402" i="1"/>
  <c r="M402" i="1"/>
  <c r="O401" i="1" a="1"/>
  <c r="O401" i="1"/>
  <c r="N401" i="1"/>
  <c r="M401" i="1"/>
  <c r="O400" i="1" a="1"/>
  <c r="O400" i="1"/>
  <c r="N400" i="1"/>
  <c r="M400" i="1"/>
  <c r="O399" i="1" a="1"/>
  <c r="O399" i="1"/>
  <c r="N399" i="1"/>
  <c r="M399" i="1"/>
  <c r="O398" i="1" a="1"/>
  <c r="O398" i="1"/>
  <c r="N398" i="1"/>
  <c r="M398" i="1"/>
  <c r="O397" i="1" a="1"/>
  <c r="O397" i="1"/>
  <c r="N397" i="1"/>
  <c r="M397" i="1"/>
  <c r="O396" i="1" a="1"/>
  <c r="O396" i="1"/>
  <c r="N396" i="1"/>
  <c r="M396" i="1"/>
  <c r="O395" i="1" a="1"/>
  <c r="O395" i="1"/>
  <c r="N395" i="1"/>
  <c r="M395" i="1"/>
  <c r="O394" i="1" a="1"/>
  <c r="O394" i="1"/>
  <c r="N394" i="1"/>
  <c r="M394" i="1"/>
  <c r="O393" i="1" a="1"/>
  <c r="O393" i="1"/>
  <c r="N393" i="1"/>
  <c r="M393" i="1"/>
  <c r="O392" i="1" a="1"/>
  <c r="O392" i="1"/>
  <c r="N392" i="1"/>
  <c r="M392" i="1"/>
  <c r="O391" i="1" a="1"/>
  <c r="O391" i="1"/>
  <c r="N391" i="1"/>
  <c r="M391" i="1"/>
  <c r="O390" i="1" a="1"/>
  <c r="O390" i="1"/>
  <c r="N390" i="1"/>
  <c r="M390" i="1"/>
  <c r="O389" i="1" a="1"/>
  <c r="O389" i="1"/>
  <c r="N389" i="1"/>
  <c r="M389" i="1"/>
  <c r="O388" i="1" a="1"/>
  <c r="O388" i="1"/>
  <c r="N388" i="1"/>
  <c r="M388" i="1"/>
  <c r="O387" i="1" a="1"/>
  <c r="O387" i="1"/>
  <c r="N387" i="1"/>
  <c r="M387" i="1"/>
  <c r="O386" i="1" a="1"/>
  <c r="O386" i="1"/>
  <c r="N386" i="1"/>
  <c r="M386" i="1"/>
  <c r="O385" i="1" a="1"/>
  <c r="O385" i="1"/>
  <c r="N385" i="1"/>
  <c r="M385" i="1"/>
  <c r="O384" i="1" a="1"/>
  <c r="O384" i="1"/>
  <c r="N384" i="1"/>
  <c r="M384" i="1"/>
  <c r="O383" i="1" a="1"/>
  <c r="O383" i="1"/>
  <c r="N383" i="1"/>
  <c r="M383" i="1"/>
  <c r="O382" i="1" a="1"/>
  <c r="O382" i="1"/>
  <c r="N382" i="1"/>
  <c r="M382" i="1"/>
  <c r="O381" i="1" a="1"/>
  <c r="O381" i="1"/>
  <c r="N381" i="1"/>
  <c r="M381" i="1"/>
  <c r="O380" i="1" a="1"/>
  <c r="O380" i="1"/>
  <c r="N380" i="1"/>
  <c r="M380" i="1"/>
  <c r="O379" i="1" a="1"/>
  <c r="O379" i="1"/>
  <c r="N379" i="1"/>
  <c r="M379" i="1"/>
  <c r="O378" i="1" a="1"/>
  <c r="O378" i="1"/>
  <c r="N378" i="1"/>
  <c r="M378" i="1"/>
  <c r="O377" i="1" a="1"/>
  <c r="O377" i="1"/>
  <c r="N377" i="1"/>
  <c r="M377" i="1"/>
  <c r="O376" i="1" a="1"/>
  <c r="O376" i="1"/>
  <c r="N376" i="1"/>
  <c r="M376" i="1"/>
  <c r="O375" i="1" a="1"/>
  <c r="O375" i="1"/>
  <c r="N375" i="1"/>
  <c r="M375" i="1"/>
  <c r="O374" i="1" a="1"/>
  <c r="O374" i="1"/>
  <c r="N374" i="1"/>
  <c r="M374" i="1"/>
  <c r="O373" i="1" a="1"/>
  <c r="O373" i="1"/>
  <c r="N373" i="1"/>
  <c r="M373" i="1"/>
  <c r="O372" i="1" a="1"/>
  <c r="O372" i="1"/>
  <c r="N372" i="1"/>
  <c r="M372" i="1"/>
  <c r="O371" i="1" a="1"/>
  <c r="O371" i="1"/>
  <c r="N371" i="1"/>
  <c r="M371" i="1"/>
  <c r="O370" i="1" a="1"/>
  <c r="O370" i="1"/>
  <c r="N370" i="1"/>
  <c r="M370" i="1"/>
  <c r="O369" i="1" a="1"/>
  <c r="O369" i="1"/>
  <c r="N369" i="1"/>
  <c r="M369" i="1"/>
  <c r="O368" i="1" a="1"/>
  <c r="O368" i="1"/>
  <c r="N368" i="1"/>
  <c r="M368" i="1"/>
  <c r="O367" i="1" a="1"/>
  <c r="O367" i="1"/>
  <c r="N367" i="1"/>
  <c r="M367" i="1"/>
  <c r="O366" i="1" a="1"/>
  <c r="O366" i="1"/>
  <c r="N366" i="1"/>
  <c r="M366" i="1"/>
  <c r="O365" i="1" a="1"/>
  <c r="O365" i="1"/>
  <c r="N365" i="1"/>
  <c r="M365" i="1"/>
  <c r="O364" i="1" a="1"/>
  <c r="O364" i="1"/>
  <c r="N364" i="1"/>
  <c r="M364" i="1"/>
  <c r="O363" i="1" a="1"/>
  <c r="O363" i="1"/>
  <c r="N363" i="1"/>
  <c r="M363" i="1"/>
  <c r="O362" i="1" a="1"/>
  <c r="O362" i="1"/>
  <c r="N362" i="1"/>
  <c r="M362" i="1"/>
  <c r="O361" i="1" a="1"/>
  <c r="O361" i="1"/>
  <c r="N361" i="1"/>
  <c r="M361" i="1"/>
  <c r="O360" i="1" a="1"/>
  <c r="O360" i="1"/>
  <c r="N360" i="1"/>
  <c r="M360" i="1"/>
  <c r="O359" i="1" a="1"/>
  <c r="O359" i="1"/>
  <c r="N359" i="1"/>
  <c r="M359" i="1"/>
  <c r="O358" i="1" a="1"/>
  <c r="O358" i="1"/>
  <c r="N358" i="1"/>
  <c r="M358" i="1"/>
  <c r="O357" i="1" a="1"/>
  <c r="O357" i="1"/>
  <c r="N357" i="1"/>
  <c r="M357" i="1"/>
  <c r="O356" i="1" a="1"/>
  <c r="O356" i="1"/>
  <c r="N356" i="1"/>
  <c r="M356" i="1"/>
  <c r="O355" i="1" a="1"/>
  <c r="O355" i="1"/>
  <c r="N355" i="1"/>
  <c r="M355" i="1"/>
  <c r="O354" i="1" a="1"/>
  <c r="O354" i="1"/>
  <c r="N354" i="1"/>
  <c r="M354" i="1"/>
  <c r="O353" i="1" a="1"/>
  <c r="O353" i="1"/>
  <c r="N353" i="1"/>
  <c r="M353" i="1"/>
  <c r="O352" i="1" a="1"/>
  <c r="O352" i="1"/>
  <c r="N352" i="1"/>
  <c r="M352" i="1"/>
  <c r="O351" i="1" a="1"/>
  <c r="O351" i="1"/>
  <c r="N351" i="1"/>
  <c r="M351" i="1"/>
  <c r="O350" i="1" a="1"/>
  <c r="O350" i="1"/>
  <c r="N350" i="1"/>
  <c r="M350" i="1"/>
  <c r="O349" i="1" a="1"/>
  <c r="O349" i="1"/>
  <c r="N349" i="1"/>
  <c r="M349" i="1"/>
  <c r="O348" i="1" a="1"/>
  <c r="O348" i="1"/>
  <c r="N348" i="1"/>
  <c r="M348" i="1"/>
  <c r="O347" i="1" a="1"/>
  <c r="O347" i="1"/>
  <c r="N347" i="1"/>
  <c r="M347" i="1"/>
  <c r="O346" i="1" a="1"/>
  <c r="O346" i="1"/>
  <c r="N346" i="1"/>
  <c r="M346" i="1"/>
  <c r="O345" i="1" a="1"/>
  <c r="O345" i="1"/>
  <c r="N345" i="1"/>
  <c r="M345" i="1"/>
  <c r="O344" i="1" a="1"/>
  <c r="O344" i="1"/>
  <c r="N344" i="1"/>
  <c r="M344" i="1"/>
  <c r="O343" i="1" a="1"/>
  <c r="O343" i="1"/>
  <c r="N343" i="1"/>
  <c r="M343" i="1"/>
  <c r="O342" i="1" a="1"/>
  <c r="O342" i="1"/>
  <c r="N342" i="1"/>
  <c r="M342" i="1"/>
  <c r="O341" i="1" a="1"/>
  <c r="O341" i="1"/>
  <c r="N341" i="1"/>
  <c r="M341" i="1"/>
  <c r="O340" i="1" a="1"/>
  <c r="O340" i="1"/>
  <c r="N340" i="1"/>
  <c r="M340" i="1"/>
  <c r="O339" i="1" a="1"/>
  <c r="O339" i="1"/>
  <c r="N339" i="1"/>
  <c r="M339" i="1"/>
  <c r="O338" i="1" a="1"/>
  <c r="O338" i="1"/>
  <c r="N338" i="1"/>
  <c r="M338" i="1"/>
  <c r="O337" i="1" a="1"/>
  <c r="O337" i="1"/>
  <c r="N337" i="1"/>
  <c r="M337" i="1"/>
  <c r="O336" i="1" a="1"/>
  <c r="O336" i="1"/>
  <c r="N336" i="1"/>
  <c r="M336" i="1"/>
  <c r="O335" i="1" a="1"/>
  <c r="O335" i="1"/>
  <c r="N335" i="1"/>
  <c r="M335" i="1"/>
  <c r="O334" i="1" a="1"/>
  <c r="O334" i="1"/>
  <c r="N334" i="1"/>
  <c r="M334" i="1"/>
  <c r="O333" i="1" a="1"/>
  <c r="O333" i="1"/>
  <c r="N333" i="1"/>
  <c r="M333" i="1"/>
  <c r="O332" i="1" a="1"/>
  <c r="O332" i="1"/>
  <c r="N332" i="1"/>
  <c r="M332" i="1"/>
  <c r="O331" i="1" a="1"/>
  <c r="O331" i="1"/>
  <c r="N331" i="1"/>
  <c r="M331" i="1"/>
  <c r="O330" i="1" a="1"/>
  <c r="O330" i="1"/>
  <c r="N330" i="1"/>
  <c r="M330" i="1"/>
  <c r="O329" i="1" a="1"/>
  <c r="O329" i="1"/>
  <c r="N329" i="1"/>
  <c r="M329" i="1"/>
  <c r="O328" i="1" a="1"/>
  <c r="O328" i="1"/>
  <c r="N328" i="1"/>
  <c r="M328" i="1"/>
  <c r="O327" i="1" a="1"/>
  <c r="O327" i="1"/>
  <c r="N327" i="1"/>
  <c r="M327" i="1"/>
  <c r="O326" i="1" a="1"/>
  <c r="O326" i="1"/>
  <c r="N326" i="1"/>
  <c r="M326" i="1"/>
  <c r="O325" i="1" a="1"/>
  <c r="O325" i="1"/>
  <c r="N325" i="1"/>
  <c r="M325" i="1"/>
  <c r="O324" i="1" a="1"/>
  <c r="O324" i="1"/>
  <c r="N324" i="1"/>
  <c r="M324" i="1"/>
  <c r="O323" i="1" a="1"/>
  <c r="O323" i="1"/>
  <c r="N323" i="1"/>
  <c r="M323" i="1"/>
  <c r="O322" i="1" a="1"/>
  <c r="O322" i="1"/>
  <c r="N322" i="1"/>
  <c r="M322" i="1"/>
  <c r="O321" i="1" a="1"/>
  <c r="O321" i="1"/>
  <c r="N321" i="1"/>
  <c r="M321" i="1"/>
  <c r="O320" i="1" a="1"/>
  <c r="O320" i="1"/>
  <c r="N320" i="1"/>
  <c r="M320" i="1"/>
  <c r="O319" i="1" a="1"/>
  <c r="O319" i="1"/>
  <c r="N319" i="1"/>
  <c r="M319" i="1"/>
  <c r="O318" i="1" a="1"/>
  <c r="O318" i="1"/>
  <c r="N318" i="1"/>
  <c r="M318" i="1"/>
  <c r="O317" i="1" a="1"/>
  <c r="O317" i="1"/>
  <c r="N317" i="1"/>
  <c r="M317" i="1"/>
  <c r="O316" i="1" a="1"/>
  <c r="O316" i="1"/>
  <c r="N316" i="1"/>
  <c r="M316" i="1"/>
  <c r="O315" i="1" a="1"/>
  <c r="O315" i="1"/>
  <c r="N315" i="1"/>
  <c r="M315" i="1"/>
  <c r="O314" i="1" a="1"/>
  <c r="O314" i="1"/>
  <c r="N314" i="1"/>
  <c r="M314" i="1"/>
  <c r="O313" i="1" a="1"/>
  <c r="O313" i="1"/>
  <c r="N313" i="1"/>
  <c r="M313" i="1"/>
  <c r="O312" i="1" a="1"/>
  <c r="O312" i="1"/>
  <c r="N312" i="1"/>
  <c r="M312" i="1"/>
  <c r="O311" i="1" a="1"/>
  <c r="O311" i="1"/>
  <c r="N311" i="1"/>
  <c r="M311" i="1"/>
  <c r="O310" i="1" a="1"/>
  <c r="O310" i="1"/>
  <c r="N310" i="1"/>
  <c r="M310" i="1"/>
  <c r="O309" i="1" a="1"/>
  <c r="O309" i="1"/>
  <c r="N309" i="1"/>
  <c r="M309" i="1"/>
  <c r="O308" i="1" a="1"/>
  <c r="O308" i="1"/>
  <c r="N308" i="1"/>
  <c r="M308" i="1"/>
  <c r="O307" i="1" a="1"/>
  <c r="O307" i="1"/>
  <c r="N307" i="1"/>
  <c r="M307" i="1"/>
  <c r="O306" i="1" a="1"/>
  <c r="O306" i="1"/>
  <c r="N306" i="1"/>
  <c r="M306" i="1"/>
  <c r="O305" i="1" a="1"/>
  <c r="O305" i="1"/>
  <c r="N305" i="1"/>
  <c r="M305" i="1"/>
  <c r="O304" i="1" a="1"/>
  <c r="O304" i="1"/>
  <c r="N304" i="1"/>
  <c r="M304" i="1"/>
  <c r="O303" i="1" a="1"/>
  <c r="O303" i="1"/>
  <c r="N303" i="1"/>
  <c r="M303" i="1"/>
  <c r="O302" i="1" a="1"/>
  <c r="O302" i="1"/>
  <c r="N302" i="1"/>
  <c r="M302" i="1"/>
  <c r="O301" i="1" a="1"/>
  <c r="O301" i="1"/>
  <c r="N301" i="1"/>
  <c r="M301" i="1"/>
  <c r="O300" i="1" a="1"/>
  <c r="O300" i="1"/>
  <c r="N300" i="1"/>
  <c r="M300" i="1"/>
  <c r="O299" i="1" a="1"/>
  <c r="O299" i="1"/>
  <c r="N299" i="1"/>
  <c r="M299" i="1"/>
  <c r="O298" i="1" a="1"/>
  <c r="O298" i="1"/>
  <c r="N298" i="1"/>
  <c r="M298" i="1"/>
  <c r="O297" i="1" a="1"/>
  <c r="O297" i="1"/>
  <c r="N297" i="1"/>
  <c r="M297" i="1"/>
  <c r="O296" i="1" a="1"/>
  <c r="O296" i="1"/>
  <c r="N296" i="1"/>
  <c r="M296" i="1"/>
  <c r="O295" i="1" a="1"/>
  <c r="O295" i="1"/>
  <c r="N295" i="1"/>
  <c r="M295" i="1"/>
  <c r="O294" i="1" a="1"/>
  <c r="O294" i="1"/>
  <c r="N294" i="1"/>
  <c r="M294" i="1"/>
  <c r="O293" i="1" a="1"/>
  <c r="O293" i="1"/>
  <c r="N293" i="1"/>
  <c r="M293" i="1"/>
  <c r="O292" i="1" a="1"/>
  <c r="O292" i="1"/>
  <c r="N292" i="1"/>
  <c r="M292" i="1"/>
  <c r="O291" i="1" a="1"/>
  <c r="O291" i="1"/>
  <c r="N291" i="1"/>
  <c r="M291" i="1"/>
  <c r="O290" i="1" a="1"/>
  <c r="O290" i="1"/>
  <c r="N290" i="1"/>
  <c r="M290" i="1"/>
  <c r="O289" i="1" a="1"/>
  <c r="O289" i="1"/>
  <c r="N289" i="1"/>
  <c r="M289" i="1"/>
  <c r="O288" i="1" a="1"/>
  <c r="O288" i="1"/>
  <c r="N288" i="1"/>
  <c r="M288" i="1"/>
  <c r="O287" i="1" a="1"/>
  <c r="O287" i="1"/>
  <c r="N287" i="1"/>
  <c r="M287" i="1"/>
  <c r="O286" i="1" a="1"/>
  <c r="O286" i="1"/>
  <c r="N286" i="1"/>
  <c r="M286" i="1"/>
  <c r="O285" i="1" a="1"/>
  <c r="O285" i="1"/>
  <c r="N285" i="1"/>
  <c r="M285" i="1"/>
  <c r="O284" i="1" a="1"/>
  <c r="O284" i="1"/>
  <c r="N284" i="1"/>
  <c r="M284" i="1"/>
  <c r="O283" i="1" a="1"/>
  <c r="O283" i="1"/>
  <c r="N283" i="1"/>
  <c r="M283" i="1"/>
  <c r="O282" i="1" a="1"/>
  <c r="O282" i="1"/>
  <c r="N282" i="1"/>
  <c r="M282" i="1"/>
  <c r="O281" i="1" a="1"/>
  <c r="O281" i="1"/>
  <c r="N281" i="1"/>
  <c r="M281" i="1"/>
  <c r="O280" i="1" a="1"/>
  <c r="O280" i="1"/>
  <c r="N280" i="1"/>
  <c r="M280" i="1"/>
  <c r="O279" i="1" a="1"/>
  <c r="O279" i="1"/>
  <c r="N279" i="1"/>
  <c r="M279" i="1"/>
  <c r="O278" i="1" a="1"/>
  <c r="O278" i="1"/>
  <c r="N278" i="1"/>
  <c r="M278" i="1"/>
  <c r="O277" i="1" a="1"/>
  <c r="O277" i="1"/>
  <c r="N277" i="1"/>
  <c r="M277" i="1"/>
  <c r="O276" i="1" a="1"/>
  <c r="O276" i="1"/>
  <c r="N276" i="1"/>
  <c r="M276" i="1"/>
  <c r="O275" i="1" a="1"/>
  <c r="O275" i="1"/>
  <c r="N275" i="1"/>
  <c r="M275" i="1"/>
  <c r="O274" i="1" a="1"/>
  <c r="O274" i="1"/>
  <c r="N274" i="1"/>
  <c r="M274" i="1"/>
  <c r="O273" i="1" a="1"/>
  <c r="O273" i="1"/>
  <c r="N273" i="1"/>
  <c r="M273" i="1"/>
  <c r="O272" i="1" a="1"/>
  <c r="O272" i="1"/>
  <c r="N272" i="1"/>
  <c r="M272" i="1"/>
  <c r="O271" i="1" a="1"/>
  <c r="O271" i="1"/>
  <c r="N271" i="1"/>
  <c r="M271" i="1"/>
  <c r="O270" i="1" a="1"/>
  <c r="O270" i="1"/>
  <c r="N270" i="1"/>
  <c r="M270" i="1"/>
  <c r="O269" i="1" a="1"/>
  <c r="O269" i="1"/>
  <c r="N269" i="1"/>
  <c r="M269" i="1"/>
  <c r="O268" i="1" a="1"/>
  <c r="O268" i="1"/>
  <c r="N268" i="1"/>
  <c r="M268" i="1"/>
  <c r="O267" i="1" a="1"/>
  <c r="O267" i="1"/>
  <c r="N267" i="1"/>
  <c r="M267" i="1"/>
  <c r="O266" i="1" a="1"/>
  <c r="O266" i="1"/>
  <c r="N266" i="1"/>
  <c r="M266" i="1"/>
  <c r="O265" i="1" a="1"/>
  <c r="O265" i="1"/>
  <c r="N265" i="1"/>
  <c r="M265" i="1"/>
  <c r="O264" i="1" a="1"/>
  <c r="O264" i="1"/>
  <c r="N264" i="1"/>
  <c r="M264" i="1"/>
  <c r="O263" i="1" a="1"/>
  <c r="O263" i="1"/>
  <c r="N263" i="1"/>
  <c r="M263" i="1"/>
  <c r="O262" i="1" a="1"/>
  <c r="O262" i="1"/>
  <c r="N262" i="1"/>
  <c r="M262" i="1"/>
  <c r="O261" i="1" a="1"/>
  <c r="O261" i="1"/>
  <c r="N261" i="1"/>
  <c r="M261" i="1"/>
  <c r="O260" i="1" a="1"/>
  <c r="O260" i="1"/>
  <c r="N260" i="1"/>
  <c r="M260" i="1"/>
  <c r="O259" i="1" a="1"/>
  <c r="O259" i="1"/>
  <c r="N259" i="1"/>
  <c r="M259" i="1"/>
  <c r="O258" i="1" a="1"/>
  <c r="O258" i="1"/>
  <c r="N258" i="1"/>
  <c r="M258" i="1"/>
  <c r="O257" i="1" a="1"/>
  <c r="O257" i="1"/>
  <c r="N257" i="1"/>
  <c r="M257" i="1"/>
  <c r="O256" i="1" a="1"/>
  <c r="O256" i="1"/>
  <c r="N256" i="1"/>
  <c r="M256" i="1"/>
  <c r="O255" i="1" a="1"/>
  <c r="O255" i="1"/>
  <c r="N255" i="1"/>
  <c r="M255" i="1"/>
  <c r="O254" i="1" a="1"/>
  <c r="O254" i="1"/>
  <c r="N254" i="1"/>
  <c r="M254" i="1"/>
  <c r="O253" i="1" a="1"/>
  <c r="O253" i="1"/>
  <c r="N253" i="1"/>
  <c r="M253" i="1"/>
  <c r="O252" i="1" a="1"/>
  <c r="O252" i="1"/>
  <c r="N252" i="1"/>
  <c r="M252" i="1"/>
  <c r="O251" i="1" a="1"/>
  <c r="O251" i="1"/>
  <c r="N251" i="1"/>
  <c r="M251" i="1"/>
  <c r="O250" i="1" a="1"/>
  <c r="O250" i="1"/>
  <c r="N250" i="1"/>
  <c r="M250" i="1"/>
  <c r="O249" i="1" a="1"/>
  <c r="O249" i="1"/>
  <c r="N249" i="1"/>
  <c r="M249" i="1"/>
  <c r="O248" i="1" a="1"/>
  <c r="O248" i="1"/>
  <c r="N248" i="1"/>
  <c r="M248" i="1"/>
  <c r="O247" i="1" a="1"/>
  <c r="O247" i="1"/>
  <c r="N247" i="1"/>
  <c r="M247" i="1"/>
  <c r="O246" i="1" a="1"/>
  <c r="O246" i="1"/>
  <c r="N246" i="1"/>
  <c r="M246" i="1"/>
  <c r="O245" i="1" a="1"/>
  <c r="O245" i="1"/>
  <c r="N245" i="1"/>
  <c r="M245" i="1"/>
  <c r="O244" i="1" a="1"/>
  <c r="O244" i="1"/>
  <c r="N244" i="1"/>
  <c r="M244" i="1"/>
  <c r="O243" i="1" a="1"/>
  <c r="O243" i="1"/>
  <c r="N243" i="1"/>
  <c r="M243" i="1"/>
  <c r="O242" i="1" a="1"/>
  <c r="O242" i="1"/>
  <c r="N242" i="1"/>
  <c r="M242" i="1"/>
  <c r="O241" i="1" a="1"/>
  <c r="O241" i="1"/>
  <c r="N241" i="1"/>
  <c r="M241" i="1"/>
  <c r="O240" i="1" a="1"/>
  <c r="O240" i="1"/>
  <c r="N240" i="1"/>
  <c r="M240" i="1"/>
  <c r="O239" i="1" a="1"/>
  <c r="O239" i="1"/>
  <c r="N239" i="1"/>
  <c r="M239" i="1"/>
  <c r="O238" i="1" a="1"/>
  <c r="O238" i="1"/>
  <c r="N238" i="1"/>
  <c r="M238" i="1"/>
  <c r="O237" i="1" a="1"/>
  <c r="O237" i="1"/>
  <c r="N237" i="1"/>
  <c r="M237" i="1"/>
  <c r="O236" i="1" a="1"/>
  <c r="O236" i="1"/>
  <c r="N236" i="1"/>
  <c r="M236" i="1"/>
  <c r="O235" i="1" a="1"/>
  <c r="O235" i="1"/>
  <c r="N235" i="1"/>
  <c r="M235" i="1"/>
  <c r="O234" i="1" a="1"/>
  <c r="O234" i="1"/>
  <c r="N234" i="1"/>
  <c r="M234" i="1"/>
  <c r="O233" i="1" a="1"/>
  <c r="O233" i="1"/>
  <c r="N233" i="1"/>
  <c r="M233" i="1"/>
  <c r="O232" i="1" a="1"/>
  <c r="O232" i="1"/>
  <c r="N232" i="1"/>
  <c r="M232" i="1"/>
  <c r="O231" i="1" a="1"/>
  <c r="O231" i="1"/>
  <c r="N231" i="1"/>
  <c r="M231" i="1"/>
  <c r="O230" i="1" a="1"/>
  <c r="O230" i="1"/>
  <c r="N230" i="1"/>
  <c r="M230" i="1"/>
  <c r="O229" i="1" a="1"/>
  <c r="O229" i="1"/>
  <c r="N229" i="1"/>
  <c r="M229" i="1"/>
  <c r="O228" i="1" a="1"/>
  <c r="O228" i="1"/>
  <c r="N228" i="1"/>
  <c r="M228" i="1"/>
  <c r="O227" i="1" a="1"/>
  <c r="O227" i="1"/>
  <c r="N227" i="1"/>
  <c r="M227" i="1"/>
  <c r="O226" i="1" a="1"/>
  <c r="O226" i="1"/>
  <c r="N226" i="1"/>
  <c r="M226" i="1"/>
  <c r="O225" i="1" a="1"/>
  <c r="O225" i="1"/>
  <c r="N225" i="1"/>
  <c r="M225" i="1"/>
  <c r="O224" i="1" a="1"/>
  <c r="O224" i="1"/>
  <c r="N224" i="1"/>
  <c r="M224" i="1"/>
  <c r="O223" i="1" a="1"/>
  <c r="O223" i="1"/>
  <c r="N223" i="1"/>
  <c r="M223" i="1"/>
  <c r="O222" i="1" a="1"/>
  <c r="O222" i="1"/>
  <c r="N222" i="1"/>
  <c r="M222" i="1"/>
  <c r="O221" i="1" a="1"/>
  <c r="O221" i="1"/>
  <c r="N221" i="1"/>
  <c r="M221" i="1"/>
  <c r="O220" i="1" a="1"/>
  <c r="O220" i="1"/>
  <c r="N220" i="1"/>
  <c r="M220" i="1"/>
  <c r="O219" i="1" a="1"/>
  <c r="O219" i="1"/>
  <c r="N219" i="1"/>
  <c r="M219" i="1"/>
  <c r="O218" i="1" a="1"/>
  <c r="O218" i="1"/>
  <c r="N218" i="1"/>
  <c r="M218" i="1"/>
  <c r="O217" i="1" a="1"/>
  <c r="O217" i="1"/>
  <c r="N217" i="1"/>
  <c r="M217" i="1"/>
  <c r="O216" i="1" a="1"/>
  <c r="O216" i="1"/>
  <c r="N216" i="1"/>
  <c r="M216" i="1"/>
  <c r="O215" i="1" a="1"/>
  <c r="O215" i="1"/>
  <c r="N215" i="1"/>
  <c r="M215" i="1"/>
  <c r="O214" i="1" a="1"/>
  <c r="O214" i="1"/>
  <c r="N214" i="1"/>
  <c r="M214" i="1"/>
  <c r="O213" i="1" a="1"/>
  <c r="O213" i="1"/>
  <c r="N213" i="1"/>
  <c r="M213" i="1"/>
  <c r="O212" i="1" a="1"/>
  <c r="O212" i="1"/>
  <c r="N212" i="1"/>
  <c r="M212" i="1"/>
  <c r="O211" i="1" a="1"/>
  <c r="O211" i="1"/>
  <c r="N211" i="1"/>
  <c r="M211" i="1"/>
  <c r="O210" i="1" a="1"/>
  <c r="O210" i="1"/>
  <c r="N210" i="1"/>
  <c r="M210" i="1"/>
  <c r="O209" i="1" a="1"/>
  <c r="O209" i="1"/>
  <c r="N209" i="1"/>
  <c r="M209" i="1"/>
  <c r="O208" i="1" a="1"/>
  <c r="O208" i="1"/>
  <c r="N208" i="1"/>
  <c r="M208" i="1"/>
  <c r="O207" i="1" a="1"/>
  <c r="O207" i="1"/>
  <c r="N207" i="1"/>
  <c r="M207" i="1"/>
  <c r="O206" i="1" a="1"/>
  <c r="O206" i="1"/>
  <c r="N206" i="1"/>
  <c r="M206" i="1"/>
  <c r="O205" i="1" a="1"/>
  <c r="O205" i="1"/>
  <c r="N205" i="1"/>
  <c r="M205" i="1"/>
  <c r="O204" i="1" a="1"/>
  <c r="O204" i="1"/>
  <c r="N204" i="1"/>
  <c r="M204" i="1"/>
  <c r="O203" i="1" a="1"/>
  <c r="O203" i="1"/>
  <c r="N203" i="1"/>
  <c r="M203" i="1"/>
  <c r="O202" i="1" a="1"/>
  <c r="O202" i="1"/>
  <c r="N202" i="1"/>
  <c r="M202" i="1"/>
  <c r="O201" i="1" a="1"/>
  <c r="O201" i="1"/>
  <c r="N201" i="1"/>
  <c r="M201" i="1"/>
  <c r="O200" i="1" a="1"/>
  <c r="O200" i="1"/>
  <c r="N200" i="1"/>
  <c r="M200" i="1"/>
  <c r="O199" i="1" a="1"/>
  <c r="O199" i="1"/>
  <c r="N199" i="1"/>
  <c r="M199" i="1"/>
  <c r="O198" i="1" a="1"/>
  <c r="O198" i="1"/>
  <c r="N198" i="1"/>
  <c r="M198" i="1"/>
  <c r="O197" i="1" a="1"/>
  <c r="O197" i="1"/>
  <c r="N197" i="1"/>
  <c r="M197" i="1"/>
  <c r="O196" i="1" a="1"/>
  <c r="O196" i="1"/>
  <c r="N196" i="1"/>
  <c r="M196" i="1"/>
  <c r="O195" i="1" a="1"/>
  <c r="O195" i="1"/>
  <c r="N195" i="1"/>
  <c r="M195" i="1"/>
  <c r="O194" i="1" a="1"/>
  <c r="O194" i="1"/>
  <c r="N194" i="1"/>
  <c r="M194" i="1"/>
  <c r="O193" i="1" a="1"/>
  <c r="O193" i="1"/>
  <c r="N193" i="1"/>
  <c r="M193" i="1"/>
  <c r="O192" i="1" a="1"/>
  <c r="O192" i="1"/>
  <c r="N192" i="1"/>
  <c r="M192" i="1"/>
  <c r="O191" i="1" a="1"/>
  <c r="O191" i="1"/>
  <c r="N191" i="1"/>
  <c r="M191" i="1"/>
  <c r="O190" i="1" a="1"/>
  <c r="O190" i="1"/>
  <c r="N190" i="1"/>
  <c r="M190" i="1"/>
  <c r="O189" i="1" a="1"/>
  <c r="O189" i="1"/>
  <c r="N189" i="1"/>
  <c r="M189" i="1"/>
  <c r="O188" i="1" a="1"/>
  <c r="O188" i="1"/>
  <c r="N188" i="1"/>
  <c r="M188" i="1"/>
  <c r="O187" i="1" a="1"/>
  <c r="O187" i="1"/>
  <c r="N187" i="1"/>
  <c r="M187" i="1"/>
  <c r="O186" i="1" a="1"/>
  <c r="O186" i="1"/>
  <c r="N186" i="1"/>
  <c r="M186" i="1"/>
  <c r="O185" i="1" a="1"/>
  <c r="O185" i="1"/>
  <c r="N185" i="1"/>
  <c r="M185" i="1"/>
  <c r="O184" i="1" a="1"/>
  <c r="O184" i="1"/>
  <c r="N184" i="1"/>
  <c r="M184" i="1"/>
  <c r="O183" i="1" a="1"/>
  <c r="O183" i="1"/>
  <c r="N183" i="1"/>
  <c r="M183" i="1"/>
  <c r="O182" i="1" a="1"/>
  <c r="O182" i="1"/>
  <c r="N182" i="1"/>
  <c r="M182" i="1"/>
  <c r="O181" i="1" a="1"/>
  <c r="O181" i="1"/>
  <c r="N181" i="1"/>
  <c r="M181" i="1"/>
  <c r="O180" i="1" a="1"/>
  <c r="O180" i="1"/>
  <c r="N180" i="1"/>
  <c r="M180" i="1"/>
  <c r="O179" i="1" a="1"/>
  <c r="O179" i="1"/>
  <c r="N179" i="1"/>
  <c r="M179" i="1"/>
  <c r="O178" i="1" a="1"/>
  <c r="O178" i="1"/>
  <c r="N178" i="1"/>
  <c r="M178" i="1"/>
  <c r="O177" i="1" a="1"/>
  <c r="O177" i="1"/>
  <c r="N177" i="1"/>
  <c r="M177" i="1"/>
  <c r="O176" i="1" a="1"/>
  <c r="O176" i="1"/>
  <c r="N176" i="1"/>
  <c r="M176" i="1"/>
  <c r="O175" i="1" a="1"/>
  <c r="O175" i="1"/>
  <c r="N175" i="1"/>
  <c r="M175" i="1"/>
  <c r="O174" i="1" a="1"/>
  <c r="O174" i="1"/>
  <c r="N174" i="1"/>
  <c r="M174" i="1"/>
  <c r="O173" i="1" a="1"/>
  <c r="O173" i="1"/>
  <c r="N173" i="1"/>
  <c r="M173" i="1"/>
  <c r="O172" i="1" a="1"/>
  <c r="O172" i="1"/>
  <c r="N172" i="1"/>
  <c r="M172" i="1"/>
  <c r="O171" i="1" a="1"/>
  <c r="O171" i="1"/>
  <c r="N171" i="1"/>
  <c r="M171" i="1"/>
  <c r="O170" i="1" a="1"/>
  <c r="O170" i="1"/>
  <c r="N170" i="1"/>
  <c r="M170" i="1"/>
  <c r="O169" i="1" a="1"/>
  <c r="O169" i="1"/>
  <c r="N169" i="1"/>
  <c r="M169" i="1"/>
  <c r="O168" i="1" a="1"/>
  <c r="O168" i="1"/>
  <c r="N168" i="1"/>
  <c r="M168" i="1"/>
  <c r="O167" i="1" a="1"/>
  <c r="O167" i="1"/>
  <c r="N167" i="1"/>
  <c r="M167" i="1"/>
  <c r="O166" i="1" a="1"/>
  <c r="O166" i="1"/>
  <c r="N166" i="1"/>
  <c r="M166" i="1"/>
  <c r="O165" i="1" a="1"/>
  <c r="O165" i="1"/>
  <c r="N165" i="1"/>
  <c r="M165" i="1"/>
  <c r="O164" i="1" a="1"/>
  <c r="O164" i="1"/>
  <c r="N164" i="1"/>
  <c r="M164" i="1"/>
  <c r="O163" i="1" a="1"/>
  <c r="O163" i="1"/>
  <c r="N163" i="1"/>
  <c r="M163" i="1"/>
  <c r="O162" i="1" a="1"/>
  <c r="O162" i="1"/>
  <c r="N162" i="1"/>
  <c r="M162" i="1"/>
  <c r="O161" i="1" a="1"/>
  <c r="O161" i="1"/>
  <c r="N161" i="1"/>
  <c r="M161" i="1"/>
  <c r="O160" i="1" a="1"/>
  <c r="O160" i="1"/>
  <c r="N160" i="1"/>
  <c r="M160" i="1"/>
  <c r="O159" i="1" a="1"/>
  <c r="O159" i="1"/>
  <c r="N159" i="1"/>
  <c r="M159" i="1"/>
  <c r="O158" i="1" a="1"/>
  <c r="O158" i="1"/>
  <c r="N158" i="1"/>
  <c r="M158" i="1"/>
  <c r="O157" i="1" a="1"/>
  <c r="O157" i="1"/>
  <c r="N157" i="1"/>
  <c r="M157" i="1"/>
  <c r="O156" i="1" a="1"/>
  <c r="O156" i="1"/>
  <c r="N156" i="1"/>
  <c r="M156" i="1"/>
  <c r="O155" i="1" a="1"/>
  <c r="O155" i="1"/>
  <c r="N155" i="1"/>
  <c r="M155" i="1"/>
  <c r="O154" i="1" a="1"/>
  <c r="O154" i="1"/>
  <c r="N154" i="1"/>
  <c r="M154" i="1"/>
  <c r="O153" i="1" a="1"/>
  <c r="O153" i="1"/>
  <c r="N153" i="1"/>
  <c r="M153" i="1"/>
  <c r="O152" i="1" a="1"/>
  <c r="O152" i="1"/>
  <c r="N152" i="1"/>
  <c r="M152" i="1"/>
  <c r="O151" i="1" a="1"/>
  <c r="O151" i="1"/>
  <c r="N151" i="1"/>
  <c r="M151" i="1"/>
  <c r="O150" i="1" a="1"/>
  <c r="O150" i="1"/>
  <c r="N150" i="1"/>
  <c r="M150" i="1"/>
  <c r="O149" i="1" a="1"/>
  <c r="O149" i="1"/>
  <c r="N149" i="1"/>
  <c r="M149" i="1"/>
  <c r="O148" i="1" a="1"/>
  <c r="O148" i="1"/>
  <c r="N148" i="1"/>
  <c r="M148" i="1"/>
  <c r="O147" i="1" a="1"/>
  <c r="O147" i="1"/>
  <c r="N147" i="1"/>
  <c r="M147" i="1"/>
  <c r="O146" i="1" a="1"/>
  <c r="O146" i="1"/>
  <c r="N146" i="1"/>
  <c r="M146" i="1"/>
  <c r="O145" i="1" a="1"/>
  <c r="O145" i="1"/>
  <c r="N145" i="1"/>
  <c r="M145" i="1"/>
  <c r="O144" i="1" a="1"/>
  <c r="O144" i="1"/>
  <c r="N144" i="1"/>
  <c r="M144" i="1"/>
  <c r="O143" i="1" a="1"/>
  <c r="O143" i="1"/>
  <c r="N143" i="1"/>
  <c r="M143" i="1"/>
  <c r="O142" i="1" a="1"/>
  <c r="O142" i="1"/>
  <c r="N142" i="1"/>
  <c r="M142" i="1"/>
  <c r="O141" i="1" a="1"/>
  <c r="O141" i="1"/>
  <c r="N141" i="1"/>
  <c r="M141" i="1"/>
  <c r="O140" i="1" a="1"/>
  <c r="O140" i="1"/>
  <c r="N140" i="1"/>
  <c r="M140" i="1"/>
  <c r="O139" i="1" a="1"/>
  <c r="O139" i="1"/>
  <c r="N139" i="1"/>
  <c r="M139" i="1"/>
  <c r="O138" i="1" a="1"/>
  <c r="O138" i="1"/>
  <c r="N138" i="1"/>
  <c r="M138" i="1"/>
  <c r="O137" i="1" a="1"/>
  <c r="O137" i="1"/>
  <c r="N137" i="1"/>
  <c r="M137" i="1"/>
  <c r="O136" i="1" a="1"/>
  <c r="O136" i="1"/>
  <c r="N136" i="1"/>
  <c r="M136" i="1"/>
  <c r="O135" i="1" a="1"/>
  <c r="O135" i="1"/>
  <c r="N135" i="1"/>
  <c r="M135" i="1"/>
  <c r="O134" i="1" a="1"/>
  <c r="O134" i="1"/>
  <c r="N134" i="1"/>
  <c r="M134" i="1"/>
  <c r="O133" i="1" a="1"/>
  <c r="O133" i="1"/>
  <c r="N133" i="1"/>
  <c r="M133" i="1"/>
  <c r="O132" i="1" a="1"/>
  <c r="O132" i="1"/>
  <c r="N132" i="1"/>
  <c r="M132" i="1"/>
  <c r="O131" i="1" a="1"/>
  <c r="O131" i="1"/>
  <c r="N131" i="1"/>
  <c r="M131" i="1"/>
  <c r="O130" i="1" a="1"/>
  <c r="O130" i="1"/>
  <c r="N130" i="1"/>
  <c r="M130" i="1"/>
  <c r="O129" i="1" a="1"/>
  <c r="O129" i="1"/>
  <c r="N129" i="1"/>
  <c r="M129" i="1"/>
  <c r="O128" i="1" a="1"/>
  <c r="O128" i="1"/>
  <c r="N128" i="1"/>
  <c r="M128" i="1"/>
  <c r="O127" i="1" a="1"/>
  <c r="O127" i="1"/>
  <c r="N127" i="1"/>
  <c r="M127" i="1"/>
  <c r="O126" i="1" a="1"/>
  <c r="O126" i="1"/>
  <c r="N126" i="1"/>
  <c r="M126" i="1"/>
  <c r="O125" i="1" a="1"/>
  <c r="O125" i="1"/>
  <c r="N125" i="1"/>
  <c r="M125" i="1"/>
  <c r="O124" i="1" a="1"/>
  <c r="O124" i="1"/>
  <c r="N124" i="1"/>
  <c r="M124" i="1"/>
  <c r="O123" i="1" a="1"/>
  <c r="O123" i="1"/>
  <c r="N123" i="1"/>
  <c r="M123" i="1"/>
  <c r="O122" i="1" a="1"/>
  <c r="O122" i="1"/>
  <c r="N122" i="1"/>
  <c r="M122" i="1"/>
  <c r="O121" i="1" a="1"/>
  <c r="O121" i="1"/>
  <c r="N121" i="1"/>
  <c r="M121" i="1"/>
  <c r="O120" i="1" a="1"/>
  <c r="O120" i="1"/>
  <c r="N120" i="1"/>
  <c r="M120" i="1"/>
  <c r="O119" i="1" a="1"/>
  <c r="O119" i="1"/>
  <c r="N119" i="1"/>
  <c r="M119" i="1"/>
  <c r="O118" i="1" a="1"/>
  <c r="O118" i="1"/>
  <c r="N118" i="1"/>
  <c r="M118" i="1"/>
  <c r="O117" i="1" a="1"/>
  <c r="O117" i="1"/>
  <c r="N117" i="1"/>
  <c r="M117" i="1"/>
  <c r="O116" i="1" a="1"/>
  <c r="O116" i="1"/>
  <c r="N116" i="1"/>
  <c r="M116" i="1"/>
  <c r="O115" i="1" a="1"/>
  <c r="O115" i="1"/>
  <c r="N115" i="1"/>
  <c r="M115" i="1"/>
  <c r="O114" i="1" a="1"/>
  <c r="O114" i="1"/>
  <c r="N114" i="1"/>
  <c r="M114" i="1"/>
  <c r="O113" i="1" a="1"/>
  <c r="O113" i="1"/>
  <c r="N113" i="1"/>
  <c r="M113" i="1"/>
  <c r="O112" i="1" a="1"/>
  <c r="O112" i="1"/>
  <c r="N112" i="1"/>
  <c r="M112" i="1"/>
  <c r="O111" i="1" a="1"/>
  <c r="O111" i="1"/>
  <c r="N111" i="1"/>
  <c r="M111" i="1"/>
  <c r="O110" i="1" a="1"/>
  <c r="O110" i="1"/>
  <c r="N110" i="1"/>
  <c r="M110" i="1"/>
  <c r="O109" i="1" a="1"/>
  <c r="O109" i="1"/>
  <c r="N109" i="1"/>
  <c r="M109" i="1"/>
  <c r="O108" i="1" a="1"/>
  <c r="O108" i="1"/>
  <c r="N108" i="1"/>
  <c r="M108" i="1"/>
  <c r="O107" i="1" a="1"/>
  <c r="O107" i="1"/>
  <c r="N107" i="1"/>
  <c r="M107" i="1"/>
  <c r="O106" i="1" a="1"/>
  <c r="O106" i="1"/>
  <c r="N106" i="1"/>
  <c r="M106" i="1"/>
  <c r="O105" i="1" a="1"/>
  <c r="O105" i="1"/>
  <c r="N105" i="1"/>
  <c r="M105" i="1"/>
  <c r="O104" i="1" a="1"/>
  <c r="O104" i="1"/>
  <c r="N104" i="1"/>
  <c r="M104" i="1"/>
  <c r="O103" i="1" a="1"/>
  <c r="O103" i="1"/>
  <c r="N103" i="1"/>
  <c r="M103" i="1"/>
  <c r="O102" i="1" a="1"/>
  <c r="O102" i="1"/>
  <c r="N102" i="1"/>
  <c r="M102" i="1"/>
  <c r="O101" i="1" a="1"/>
  <c r="O101" i="1"/>
  <c r="N101" i="1"/>
  <c r="M101" i="1"/>
  <c r="O100" i="1" a="1"/>
  <c r="O100" i="1"/>
  <c r="N100" i="1"/>
  <c r="M100" i="1"/>
  <c r="O99" i="1" a="1"/>
  <c r="O99" i="1"/>
  <c r="N99" i="1"/>
  <c r="M99" i="1"/>
  <c r="O98" i="1" a="1"/>
  <c r="O98" i="1"/>
  <c r="N98" i="1"/>
  <c r="M98" i="1"/>
  <c r="O97" i="1" a="1"/>
  <c r="O97" i="1"/>
  <c r="N97" i="1"/>
  <c r="M97" i="1"/>
  <c r="O96" i="1" a="1"/>
  <c r="O96" i="1"/>
  <c r="N96" i="1"/>
  <c r="M96" i="1"/>
  <c r="O95" i="1" a="1"/>
  <c r="O95" i="1"/>
  <c r="N95" i="1"/>
  <c r="M95" i="1"/>
  <c r="O94" i="1" a="1"/>
  <c r="O94" i="1"/>
  <c r="N94" i="1"/>
  <c r="M94" i="1"/>
  <c r="O93" i="1" a="1"/>
  <c r="O93" i="1"/>
  <c r="N93" i="1"/>
  <c r="M93" i="1"/>
  <c r="O92" i="1" a="1"/>
  <c r="O92" i="1"/>
  <c r="N92" i="1"/>
  <c r="M92" i="1"/>
  <c r="O91" i="1" a="1"/>
  <c r="O91" i="1"/>
  <c r="N91" i="1"/>
  <c r="M91" i="1"/>
  <c r="O90" i="1" a="1"/>
  <c r="O90" i="1"/>
  <c r="N90" i="1"/>
  <c r="M90" i="1"/>
  <c r="O89" i="1" a="1"/>
  <c r="O89" i="1"/>
  <c r="N89" i="1"/>
  <c r="M89" i="1"/>
  <c r="O88" i="1" a="1"/>
  <c r="O88" i="1"/>
  <c r="N88" i="1"/>
  <c r="M88" i="1"/>
  <c r="O87" i="1" a="1"/>
  <c r="O87" i="1"/>
  <c r="N87" i="1"/>
  <c r="M87" i="1"/>
  <c r="O86" i="1" a="1"/>
  <c r="O86" i="1"/>
  <c r="N86" i="1"/>
  <c r="M86" i="1"/>
  <c r="O85" i="1" a="1"/>
  <c r="O85" i="1"/>
  <c r="N85" i="1"/>
  <c r="M85" i="1"/>
  <c r="O84" i="1" a="1"/>
  <c r="O84" i="1"/>
  <c r="N84" i="1"/>
  <c r="M84" i="1"/>
  <c r="O83" i="1" a="1"/>
  <c r="O83" i="1"/>
  <c r="N83" i="1"/>
  <c r="M83" i="1"/>
  <c r="O82" i="1" a="1"/>
  <c r="O82" i="1"/>
  <c r="N82" i="1"/>
  <c r="M82" i="1"/>
  <c r="O81" i="1" a="1"/>
  <c r="O81" i="1"/>
  <c r="N81" i="1"/>
  <c r="M81" i="1"/>
  <c r="O80" i="1" a="1"/>
  <c r="O80" i="1"/>
  <c r="N80" i="1"/>
  <c r="M80" i="1"/>
  <c r="O79" i="1" a="1"/>
  <c r="O79" i="1"/>
  <c r="N79" i="1"/>
  <c r="M79" i="1"/>
  <c r="O78" i="1" a="1"/>
  <c r="O78" i="1"/>
  <c r="N78" i="1"/>
  <c r="M78" i="1"/>
  <c r="O77" i="1" a="1"/>
  <c r="O77" i="1"/>
  <c r="N77" i="1"/>
  <c r="M77" i="1"/>
  <c r="O76" i="1" a="1"/>
  <c r="O76" i="1"/>
  <c r="N76" i="1"/>
  <c r="M76" i="1"/>
  <c r="O75" i="1" a="1"/>
  <c r="O75" i="1"/>
  <c r="N75" i="1"/>
  <c r="M75" i="1"/>
  <c r="O74" i="1" a="1"/>
  <c r="O74" i="1"/>
  <c r="N74" i="1"/>
  <c r="M74" i="1"/>
  <c r="O73" i="1" a="1"/>
  <c r="O73" i="1"/>
  <c r="N73" i="1"/>
  <c r="M73" i="1"/>
  <c r="O72" i="1" a="1"/>
  <c r="O72" i="1"/>
  <c r="N72" i="1"/>
  <c r="M72" i="1"/>
  <c r="O71" i="1" a="1"/>
  <c r="O71" i="1"/>
  <c r="N71" i="1"/>
  <c r="M71" i="1"/>
  <c r="O70" i="1" a="1"/>
  <c r="O70" i="1"/>
  <c r="N70" i="1"/>
  <c r="M70" i="1"/>
  <c r="O69" i="1" a="1"/>
  <c r="O69" i="1"/>
  <c r="N69" i="1"/>
  <c r="M69" i="1"/>
  <c r="O68" i="1" a="1"/>
  <c r="O68" i="1"/>
  <c r="N68" i="1"/>
  <c r="M68" i="1"/>
  <c r="O67" i="1" a="1"/>
  <c r="O67" i="1"/>
  <c r="N67" i="1"/>
  <c r="M67" i="1"/>
  <c r="O66" i="1" a="1"/>
  <c r="O66" i="1"/>
  <c r="N66" i="1"/>
  <c r="M66" i="1"/>
  <c r="O65" i="1" a="1"/>
  <c r="O65" i="1"/>
  <c r="N65" i="1"/>
  <c r="M65" i="1"/>
  <c r="O64" i="1" a="1"/>
  <c r="O64" i="1"/>
  <c r="N64" i="1"/>
  <c r="M64" i="1"/>
  <c r="O63" i="1" a="1"/>
  <c r="O63" i="1"/>
  <c r="N63" i="1"/>
  <c r="M63" i="1"/>
  <c r="O62" i="1" a="1"/>
  <c r="O62" i="1"/>
  <c r="N62" i="1"/>
  <c r="M62" i="1"/>
  <c r="O61" i="1" a="1"/>
  <c r="O61" i="1"/>
  <c r="N61" i="1"/>
  <c r="M61" i="1"/>
  <c r="O60" i="1" a="1"/>
  <c r="O60" i="1"/>
  <c r="N60" i="1"/>
  <c r="M60" i="1"/>
  <c r="O59" i="1" a="1"/>
  <c r="O59" i="1"/>
  <c r="N59" i="1"/>
  <c r="M59" i="1"/>
  <c r="O58" i="1" a="1"/>
  <c r="O58" i="1"/>
  <c r="N58" i="1"/>
  <c r="M58" i="1"/>
  <c r="O57" i="1" a="1"/>
  <c r="O57" i="1"/>
  <c r="N57" i="1"/>
  <c r="M57" i="1"/>
  <c r="O56" i="1" a="1"/>
  <c r="O56" i="1"/>
  <c r="N56" i="1"/>
  <c r="M56" i="1"/>
  <c r="O55" i="1" a="1"/>
  <c r="O55" i="1"/>
  <c r="N55" i="1"/>
  <c r="M55" i="1"/>
  <c r="O54" i="1" a="1"/>
  <c r="O54" i="1"/>
  <c r="N54" i="1"/>
  <c r="M54" i="1"/>
  <c r="O53" i="1" a="1"/>
  <c r="O53" i="1"/>
  <c r="N53" i="1"/>
  <c r="M53" i="1"/>
  <c r="O52" i="1" a="1"/>
  <c r="O52" i="1"/>
  <c r="N52" i="1"/>
  <c r="M52" i="1"/>
  <c r="O51" i="1" a="1"/>
  <c r="O51" i="1"/>
  <c r="N51" i="1"/>
  <c r="M51" i="1"/>
  <c r="O50" i="1" a="1"/>
  <c r="O50" i="1"/>
  <c r="N50" i="1"/>
  <c r="M50" i="1"/>
  <c r="O49" i="1" a="1"/>
  <c r="O49" i="1"/>
  <c r="N49" i="1"/>
  <c r="M49" i="1"/>
  <c r="O48" i="1" a="1"/>
  <c r="O48" i="1"/>
  <c r="N48" i="1"/>
  <c r="M48" i="1"/>
  <c r="O47" i="1" a="1"/>
  <c r="O47" i="1"/>
  <c r="N47" i="1"/>
  <c r="M47" i="1"/>
  <c r="O46" i="1" a="1"/>
  <c r="O46" i="1"/>
  <c r="N46" i="1"/>
  <c r="M46" i="1"/>
  <c r="O45" i="1" a="1"/>
  <c r="O45" i="1"/>
  <c r="N45" i="1"/>
  <c r="M45" i="1"/>
  <c r="O44" i="1" a="1"/>
  <c r="O44" i="1"/>
  <c r="N44" i="1"/>
  <c r="M44" i="1"/>
  <c r="O43" i="1" a="1"/>
  <c r="O43" i="1"/>
  <c r="N43" i="1"/>
  <c r="M43" i="1"/>
  <c r="O42" i="1" a="1"/>
  <c r="O42" i="1"/>
  <c r="N42" i="1"/>
  <c r="M42" i="1"/>
  <c r="O41" i="1" a="1"/>
  <c r="O41" i="1"/>
  <c r="N41" i="1"/>
  <c r="M41" i="1"/>
  <c r="O40" i="1" a="1"/>
  <c r="O40" i="1"/>
  <c r="N40" i="1"/>
  <c r="M40" i="1"/>
  <c r="O39" i="1" a="1"/>
  <c r="O39" i="1"/>
  <c r="N39" i="1"/>
  <c r="M39" i="1"/>
  <c r="O38" i="1" a="1"/>
  <c r="O38" i="1"/>
  <c r="N38" i="1"/>
  <c r="M38" i="1"/>
  <c r="O37" i="1" a="1"/>
  <c r="O37" i="1"/>
  <c r="N37" i="1"/>
  <c r="M37" i="1"/>
  <c r="O36" i="1" a="1"/>
  <c r="O36" i="1"/>
  <c r="N36" i="1"/>
  <c r="M36" i="1"/>
  <c r="O35" i="1" a="1"/>
  <c r="O35" i="1"/>
  <c r="N35" i="1"/>
  <c r="M35" i="1"/>
  <c r="O34" i="1" a="1"/>
  <c r="O34" i="1"/>
  <c r="N34" i="1"/>
  <c r="M34" i="1"/>
  <c r="O33" i="1" a="1"/>
  <c r="O33" i="1"/>
  <c r="N33" i="1"/>
  <c r="M33" i="1"/>
  <c r="O32" i="1" a="1"/>
  <c r="O32" i="1"/>
  <c r="N32" i="1"/>
  <c r="M32" i="1"/>
  <c r="O31" i="1" a="1"/>
  <c r="O31" i="1"/>
  <c r="N31" i="1"/>
  <c r="M31" i="1"/>
  <c r="O30" i="1" a="1"/>
  <c r="O30" i="1"/>
  <c r="N30" i="1"/>
  <c r="M30" i="1"/>
  <c r="O29" i="1" a="1"/>
  <c r="O29" i="1"/>
  <c r="N29" i="1"/>
  <c r="M29" i="1"/>
  <c r="O28" i="1" a="1"/>
  <c r="O28" i="1"/>
  <c r="N28" i="1"/>
  <c r="M28" i="1"/>
  <c r="O27" i="1" a="1"/>
  <c r="O27" i="1"/>
  <c r="N27" i="1"/>
  <c r="M27" i="1"/>
  <c r="O26" i="1" a="1"/>
  <c r="O26" i="1"/>
  <c r="N26" i="1"/>
  <c r="M26" i="1"/>
  <c r="O25" i="1" a="1"/>
  <c r="O25" i="1"/>
  <c r="N25" i="1"/>
  <c r="M25" i="1"/>
  <c r="O24" i="1" a="1"/>
  <c r="O24" i="1"/>
  <c r="N24" i="1"/>
  <c r="M24" i="1"/>
  <c r="O23" i="1" a="1"/>
  <c r="O23" i="1"/>
  <c r="N23" i="1"/>
  <c r="M23" i="1"/>
  <c r="O22" i="1" a="1"/>
  <c r="O22" i="1"/>
  <c r="N22" i="1"/>
  <c r="M22" i="1"/>
  <c r="O21" i="1" a="1"/>
  <c r="O21" i="1"/>
  <c r="N21" i="1"/>
  <c r="M21" i="1"/>
  <c r="O20" i="1" a="1"/>
  <c r="O20" i="1"/>
  <c r="N20" i="1"/>
  <c r="M20" i="1"/>
  <c r="O19" i="1" a="1"/>
  <c r="O19" i="1"/>
  <c r="N19" i="1"/>
  <c r="M19" i="1"/>
  <c r="O18" i="1" a="1"/>
  <c r="O18" i="1"/>
  <c r="N18" i="1"/>
  <c r="M18" i="1"/>
  <c r="O17" i="1" a="1"/>
  <c r="O17" i="1"/>
  <c r="N17" i="1"/>
  <c r="M17" i="1"/>
  <c r="O16" i="1" a="1"/>
  <c r="O16" i="1"/>
  <c r="N16" i="1"/>
  <c r="M16" i="1"/>
  <c r="O15" i="1" a="1"/>
  <c r="O15" i="1"/>
  <c r="N15" i="1"/>
  <c r="M15" i="1"/>
  <c r="O14" i="1" a="1"/>
  <c r="O14" i="1"/>
  <c r="N14" i="1"/>
  <c r="M14" i="1"/>
  <c r="O13" i="1" a="1"/>
  <c r="O13" i="1"/>
  <c r="N13" i="1"/>
  <c r="M13" i="1"/>
  <c r="O12" i="1" a="1"/>
  <c r="O12" i="1"/>
  <c r="N12" i="1"/>
  <c r="M12" i="1"/>
  <c r="O11" i="1" a="1"/>
  <c r="O11" i="1"/>
  <c r="N11" i="1"/>
  <c r="M11" i="1"/>
  <c r="O10" i="1" a="1"/>
  <c r="O10" i="1"/>
  <c r="N10" i="1"/>
  <c r="M10" i="1"/>
  <c r="O9" i="1" a="1"/>
  <c r="O9" i="1"/>
  <c r="N9" i="1"/>
  <c r="M9" i="1"/>
  <c r="O8" i="1" a="1"/>
  <c r="O8" i="1"/>
  <c r="N8" i="1"/>
  <c r="M8" i="1"/>
  <c r="O7" i="1" a="1"/>
  <c r="O7" i="1"/>
  <c r="N7" i="1"/>
  <c r="M7" i="1"/>
  <c r="O6" i="1" a="1"/>
  <c r="O6" i="1"/>
  <c r="N6" i="1"/>
  <c r="M6" i="1"/>
  <c r="O5" i="1" a="1"/>
  <c r="O5" i="1"/>
  <c r="N5" i="1"/>
  <c r="M5" i="1"/>
  <c r="O4" i="1" a="1"/>
  <c r="O4" i="1"/>
  <c r="N4" i="1"/>
  <c r="M4" i="1"/>
  <c r="O3" i="1" a="1"/>
  <c r="O3" i="1"/>
  <c r="N3" i="1"/>
  <c r="M3" i="1"/>
  <c r="O2" i="1" a="1"/>
  <c r="O2" i="1"/>
  <c r="N2" i="1"/>
  <c r="M2" i="1"/>
  <c r="I10" i="6"/>
  <c r="H10" i="6"/>
  <c r="G10" i="6"/>
  <c r="F10" i="6"/>
  <c r="E10" i="6"/>
  <c r="I9" i="6"/>
  <c r="H9" i="6"/>
  <c r="G9" i="6"/>
  <c r="F9" i="6"/>
  <c r="E9" i="6"/>
  <c r="I8" i="6"/>
  <c r="H8" i="6"/>
  <c r="G8" i="6"/>
  <c r="F8" i="6"/>
  <c r="E8" i="6"/>
  <c r="I7" i="6"/>
  <c r="H7" i="6"/>
  <c r="G7" i="6"/>
  <c r="F7" i="6"/>
  <c r="E7" i="6"/>
  <c r="I6" i="6"/>
  <c r="H6" i="6"/>
  <c r="G6" i="6"/>
  <c r="F6" i="6"/>
  <c r="E6" i="6"/>
  <c r="I5" i="6"/>
  <c r="H5" i="6"/>
  <c r="G5" i="6"/>
  <c r="F5" i="6"/>
  <c r="M35" i="5"/>
  <c r="L35" i="5"/>
  <c r="K35" i="5"/>
  <c r="I35" i="5"/>
  <c r="H35" i="5"/>
  <c r="M34" i="5"/>
  <c r="L34" i="5"/>
  <c r="K34" i="5"/>
  <c r="I34" i="5"/>
  <c r="H34" i="5"/>
  <c r="M33" i="5"/>
  <c r="L33" i="5"/>
  <c r="K33" i="5"/>
  <c r="I33" i="5"/>
  <c r="H33" i="5"/>
  <c r="M32" i="5"/>
  <c r="L32" i="5"/>
  <c r="K32" i="5"/>
  <c r="I32" i="5"/>
  <c r="H32" i="5"/>
  <c r="M31" i="5"/>
  <c r="L31" i="5"/>
  <c r="K31" i="5"/>
  <c r="I31" i="5"/>
  <c r="H31" i="5"/>
  <c r="M30" i="5"/>
  <c r="L30" i="5"/>
  <c r="K30" i="5"/>
  <c r="I30" i="5"/>
  <c r="L4" i="5"/>
  <c r="G4" i="5"/>
  <c r="H4" i="5"/>
  <c r="I4" i="5"/>
  <c r="K4" i="5"/>
  <c r="R157" i="5"/>
  <c r="S167" i="5"/>
</calcChain>
</file>

<file path=xl/sharedStrings.xml><?xml version="1.0" encoding="utf-8"?>
<sst xmlns="http://schemas.openxmlformats.org/spreadsheetml/2006/main" count="14641" uniqueCount="2548">
  <si>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</si>
  <si>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</si>
  <si>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</si>
  <si>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</si>
  <si>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</si>
  <si>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</si>
  <si>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</si>
  <si>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</si>
  <si>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</si>
  <si>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</si>
  <si>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</si>
  <si>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</si>
  <si>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</si>
  <si>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</si>
  <si>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</si>
  <si>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</si>
  <si>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</si>
  <si>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</si>
  <si>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</si>
  <si>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</si>
  <si>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</si>
  <si>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</si>
  <si>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</si>
  <si>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</si>
  <si>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</si>
  <si>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</si>
  <si>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</si>
  <si>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</si>
  <si>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</si>
  <si>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</si>
  <si>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</si>
  <si>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</si>
  <si>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</si>
  <si>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</si>
  <si>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</si>
  <si>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</si>
  <si>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</si>
  <si>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</si>
  <si>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</si>
  <si>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</si>
  <si>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</si>
  <si>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</si>
  <si>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</si>
  <si>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</si>
  <si>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</si>
  <si>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</si>
  <si>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</si>
  <si>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</si>
  <si>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</si>
  <si>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</si>
  <si>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</si>
  <si>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</si>
  <si>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</si>
  <si>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</si>
  <si>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</si>
  <si>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</si>
  <si>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</si>
  <si>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</si>
  <si>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</si>
  <si>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</si>
  <si>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</si>
  <si>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</si>
  <si>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</si>
  <si>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</si>
  <si>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</si>
  <si>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</si>
  <si>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</si>
  <si>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</si>
  <si>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</si>
  <si>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</si>
  <si>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</si>
  <si>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</si>
  <si>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</si>
  <si>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</si>
  <si>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</si>
  <si>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</si>
  <si>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</si>
  <si>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</si>
  <si>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</si>
  <si>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</si>
  <si>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</si>
  <si>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</si>
  <si>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</si>
  <si>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</si>
  <si>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</si>
  <si>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</si>
  <si>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</si>
  <si>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</si>
  <si>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</si>
  <si>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</si>
  <si>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</si>
  <si>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</si>
  <si>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</si>
  <si>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</si>
  <si>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</si>
  <si>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</si>
  <si>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</si>
  <si>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</si>
  <si>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</si>
  <si>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</si>
  <si>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</si>
  <si>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</si>
  <si>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</si>
  <si>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</si>
  <si>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</si>
  <si>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</si>
  <si>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</si>
  <si>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</si>
  <si>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</si>
  <si>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</si>
  <si>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</si>
  <si>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</si>
  <si>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</si>
  <si>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</si>
  <si>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</si>
  <si>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</si>
  <si>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</si>
  <si>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</si>
  <si>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</si>
  <si>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</si>
  <si>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</si>
  <si>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</si>
  <si>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</si>
  <si>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</si>
  <si>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</si>
  <si>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</si>
  <si>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</si>
  <si>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</si>
  <si>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</si>
  <si>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</si>
  <si>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</si>
  <si>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</si>
  <si>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</si>
  <si>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</si>
  <si>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</si>
  <si>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</si>
  <si>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</si>
  <si>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</si>
  <si>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</si>
  <si>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</si>
  <si>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</si>
  <si>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</si>
  <si>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</si>
  <si>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</si>
  <si>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</si>
  <si>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</si>
  <si>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</si>
  <si>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</si>
  <si>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</si>
  <si>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</si>
  <si>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</si>
  <si>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</si>
  <si>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</si>
  <si>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</si>
  <si>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</si>
  <si>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</si>
  <si>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</si>
  <si>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</si>
  <si>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</si>
  <si>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</si>
  <si>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</si>
  <si>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</si>
  <si>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</si>
  <si>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</si>
  <si>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</si>
  <si>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</si>
  <si>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</si>
  <si>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</si>
  <si>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</si>
  <si>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</si>
  <si>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</si>
  <si>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</si>
  <si>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</si>
  <si>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</si>
  <si>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</si>
  <si>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</si>
  <si>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</si>
  <si>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</si>
  <si>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</si>
  <si>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</si>
  <si>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</si>
  <si>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</si>
  <si>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</si>
  <si>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</si>
  <si>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</si>
  <si>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</si>
  <si>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</si>
  <si>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</si>
  <si>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</si>
  <si>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</si>
  <si>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</si>
  <si>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</si>
  <si>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</si>
  <si>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</si>
  <si>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</si>
  <si>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</si>
  <si>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</si>
  <si>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</si>
  <si>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</si>
  <si>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</si>
  <si>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</si>
  <si>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</si>
  <si>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</si>
  <si>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</si>
  <si>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</si>
  <si>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</si>
  <si>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</si>
  <si>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</si>
  <si>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</si>
  <si>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</si>
  <si>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</si>
  <si>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</si>
  <si>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</si>
  <si>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</si>
  <si>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</si>
  <si>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</si>
  <si>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</si>
  <si>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</si>
  <si>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</si>
  <si>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</si>
  <si>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</si>
  <si>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</si>
  <si>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</si>
  <si>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</si>
  <si>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</si>
  <si>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</si>
  <si>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</si>
  <si>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</si>
  <si>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</si>
  <si>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</si>
  <si>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</si>
  <si>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</si>
  <si>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</si>
  <si>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</si>
  <si>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</si>
  <si>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</si>
  <si>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</si>
  <si>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</si>
  <si>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</si>
  <si>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</si>
  <si>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</si>
  <si>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</si>
  <si>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</si>
  <si>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</si>
  <si>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</si>
  <si>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</si>
  <si>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</si>
  <si>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</si>
  <si>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</si>
  <si>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</si>
  <si>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</si>
  <si>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</si>
  <si>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</si>
  <si>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</si>
  <si>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</si>
  <si>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</si>
  <si>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</si>
  <si>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</si>
  <si>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</si>
  <si>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</si>
  <si>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</si>
  <si>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</si>
  <si>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</si>
  <si>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</si>
  <si>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</si>
  <si>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</si>
  <si>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</si>
  <si>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</si>
  <si>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</si>
  <si>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</si>
  <si>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</si>
  <si>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</si>
  <si>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</si>
  <si>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</si>
  <si>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</si>
  <si>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</si>
  <si>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</si>
  <si>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</si>
  <si>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</si>
  <si>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</si>
  <si>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</si>
  <si>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</si>
  <si>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</si>
  <si>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</si>
  <si>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</si>
  <si>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</si>
  <si>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</si>
  <si>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</si>
  <si>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</si>
  <si>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</si>
  <si>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</si>
  <si>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</si>
  <si>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</si>
  <si>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</si>
  <si>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</si>
  <si>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</si>
  <si>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</si>
  <si>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</si>
  <si>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</si>
  <si>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</si>
  <si>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</si>
  <si>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</si>
  <si>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</si>
  <si>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</si>
  <si>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</si>
  <si>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</si>
  <si>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</si>
  <si>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</si>
  <si>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</si>
  <si>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</si>
  <si>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</si>
  <si>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</si>
  <si>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</si>
  <si>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</si>
  <si>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</si>
  <si>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</si>
  <si>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</si>
  <si>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</si>
  <si>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</si>
  <si>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</si>
  <si>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</si>
  <si>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</si>
  <si>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</si>
  <si>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</si>
  <si>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</si>
  <si>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</si>
  <si>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</si>
  <si>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</si>
  <si>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</si>
  <si>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</si>
  <si>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</si>
  <si>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</si>
  <si>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</si>
  <si>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</si>
  <si>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</si>
  <si>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</si>
  <si>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</si>
  <si>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</si>
  <si>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</si>
  <si>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</si>
  <si>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</si>
  <si>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</si>
  <si>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</si>
  <si>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</si>
  <si>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</si>
  <si>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</si>
  <si>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</si>
  <si>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</si>
  <si>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</si>
  <si>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</si>
  <si>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</si>
  <si>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</si>
  <si>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</si>
  <si>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</si>
  <si>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</si>
  <si>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</si>
  <si>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</si>
  <si>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</si>
  <si>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</si>
  <si>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</si>
  <si>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</si>
  <si>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</si>
  <si>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</si>
  <si>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</si>
  <si>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</si>
  <si>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</si>
  <si>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</si>
  <si>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</si>
  <si>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</si>
  <si>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</si>
  <si>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</si>
  <si>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</si>
  <si>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</si>
  <si>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</si>
  <si>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</si>
  <si>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</si>
  <si>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</si>
  <si>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</si>
  <si>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</si>
  <si>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</si>
  <si>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</si>
  <si>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</si>
  <si>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</si>
  <si>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</si>
  <si>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</si>
  <si>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</si>
  <si>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</si>
  <si>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</si>
  <si>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</si>
  <si>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</si>
  <si>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</si>
  <si>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</si>
  <si>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</si>
  <si>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</si>
  <si>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</si>
  <si>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</si>
  <si>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</si>
  <si>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</si>
  <si>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</si>
  <si>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</si>
  <si>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</si>
  <si>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</si>
  <si>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</si>
  <si>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</si>
  <si>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</si>
  <si>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</si>
  <si>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</si>
  <si>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</si>
  <si>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</si>
  <si>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</si>
  <si>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</si>
  <si>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</si>
  <si>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</si>
  <si>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</si>
  <si>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</si>
  <si>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</si>
  <si>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</si>
  <si>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</si>
  <si>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</si>
  <si>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</si>
  <si>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</si>
  <si>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</si>
  <si>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</si>
  <si>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</si>
  <si>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</si>
  <si>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</si>
  <si>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</si>
  <si>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</si>
  <si>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</si>
  <si>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</si>
  <si>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</si>
  <si>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</si>
  <si>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</si>
  <si>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</si>
  <si>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</si>
  <si>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</si>
  <si>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</si>
  <si>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</si>
  <si>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</si>
  <si>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</si>
  <si>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</si>
  <si>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</si>
  <si>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</si>
  <si>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</si>
  <si>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</si>
  <si>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</si>
  <si>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</si>
  <si>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</si>
  <si>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</si>
  <si>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</si>
  <si>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</si>
  <si>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</si>
  <si>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</si>
  <si>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</si>
  <si>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</si>
  <si>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</si>
  <si>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</si>
  <si>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</si>
  <si>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</si>
  <si>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</si>
  <si>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</si>
  <si>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</si>
  <si>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</si>
  <si>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</si>
  <si>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</si>
  <si>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</si>
  <si>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</si>
  <si>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</si>
  <si>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</si>
  <si>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</si>
  <si>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</si>
  <si>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</si>
  <si>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</si>
  <si>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</si>
  <si>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</si>
  <si>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</si>
  <si>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</si>
  <si>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</si>
  <si>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</si>
  <si>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</si>
  <si>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</si>
  <si>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</si>
  <si>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</si>
  <si>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</si>
  <si>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</si>
  <si>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</si>
  <si>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</si>
  <si>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</si>
  <si>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</si>
  <si>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</si>
  <si>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</si>
  <si>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</si>
  <si>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</si>
  <si>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</si>
  <si>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</si>
  <si>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</si>
  <si>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</si>
  <si>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</si>
  <si>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</si>
  <si>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</si>
  <si>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</si>
  <si>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</si>
  <si>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</si>
  <si>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</si>
  <si>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</si>
  <si>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</si>
  <si>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</si>
  <si>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</si>
  <si>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</si>
  <si>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</si>
  <si>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</si>
  <si>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</si>
  <si>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</si>
  <si>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</si>
  <si>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</si>
  <si>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</si>
  <si>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</si>
  <si>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</si>
  <si>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</si>
  <si>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</si>
  <si>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</si>
  <si>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</si>
  <si>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</si>
  <si>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</si>
  <si>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</si>
  <si>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</si>
  <si>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</si>
  <si>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</si>
  <si>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</si>
  <si>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</si>
  <si>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</si>
  <si>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</si>
  <si>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</si>
  <si>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</si>
  <si>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</si>
  <si>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</si>
  <si>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</si>
  <si>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</si>
  <si>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</si>
  <si>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</si>
  <si>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</si>
  <si>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</si>
  <si>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</si>
  <si>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</si>
  <si>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</si>
  <si>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</si>
  <si>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</si>
  <si>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</si>
  <si>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</si>
  <si>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</si>
  <si>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</si>
  <si>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</si>
  <si>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</si>
  <si>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</si>
  <si>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</si>
  <si>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</si>
  <si>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</si>
  <si>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</si>
  <si>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</si>
  <si>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</si>
  <si>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</si>
  <si>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</si>
  <si>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</si>
  <si>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</si>
  <si>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</si>
  <si>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</si>
  <si>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</si>
  <si>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</si>
  <si>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</si>
  <si>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</si>
  <si>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</si>
  <si>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</si>
  <si>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</si>
  <si>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</si>
  <si>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</si>
  <si>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</si>
  <si>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</si>
  <si>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</si>
  <si>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</si>
  <si>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</si>
  <si>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</si>
  <si>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</si>
  <si>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</si>
  <si>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</si>
  <si>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</si>
  <si>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</si>
  <si>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</si>
  <si>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</si>
  <si>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</si>
  <si>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</si>
  <si>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</si>
  <si>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</si>
  <si>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</si>
  <si>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</si>
  <si>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</si>
  <si>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</si>
  <si>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</si>
  <si>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</si>
  <si>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</si>
  <si>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</si>
  <si>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</si>
  <si>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</si>
  <si>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</si>
  <si>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</si>
  <si>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</si>
  <si>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</si>
  <si>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</si>
  <si>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</si>
  <si>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</si>
  <si>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</si>
  <si>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</si>
  <si>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</si>
  <si>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</si>
  <si>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</si>
  <si>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</si>
  <si>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</si>
  <si>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</si>
  <si>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</si>
  <si>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</si>
  <si>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</si>
  <si>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</si>
  <si>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</si>
  <si>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</si>
  <si>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</si>
  <si>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</si>
  <si>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</si>
  <si>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</si>
  <si>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</si>
  <si>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</si>
  <si>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</si>
  <si>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</si>
  <si>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</si>
  <si>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</si>
  <si>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</si>
  <si>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</si>
  <si>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</si>
  <si>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</si>
  <si>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</si>
  <si>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</si>
  <si>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</si>
  <si>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</si>
  <si>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</si>
  <si>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</si>
  <si>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</si>
  <si>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</si>
  <si>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</si>
  <si>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</si>
  <si>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</si>
  <si>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</si>
  <si>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</si>
  <si>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</si>
  <si>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</si>
  <si>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</si>
  <si>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</si>
  <si>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</si>
  <si>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</si>
  <si>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</si>
  <si>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</si>
  <si>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</si>
  <si>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</si>
  <si>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</si>
  <si>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</si>
  <si>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</si>
  <si>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</si>
  <si>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</si>
  <si>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</si>
  <si>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</si>
  <si>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</si>
  <si>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</si>
  <si>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</si>
  <si>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</si>
  <si>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</si>
  <si>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</si>
  <si>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</si>
  <si>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</si>
  <si>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</si>
  <si>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</si>
  <si>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</si>
  <si>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</si>
  <si>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</si>
  <si>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</si>
  <si>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</si>
  <si>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</si>
  <si>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</si>
  <si>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</si>
  <si>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</si>
  <si>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</si>
  <si>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</si>
  <si>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</si>
  <si>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</si>
  <si>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</si>
  <si>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</si>
  <si>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</si>
  <si>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</si>
  <si>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</si>
  <si>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</si>
  <si>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</si>
  <si>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</si>
  <si>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</si>
  <si>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</si>
  <si>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</si>
  <si>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</si>
  <si>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</si>
  <si>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</si>
  <si>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</si>
  <si>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</si>
  <si>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</si>
  <si>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</si>
  <si>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</si>
  <si>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</si>
  <si>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</si>
  <si>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</si>
  <si>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</si>
  <si>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</si>
  <si>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</si>
  <si>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</si>
  <si>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</si>
  <si>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</si>
  <si>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</si>
  <si>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</si>
  <si>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</si>
  <si>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</si>
  <si>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</si>
  <si>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</si>
  <si>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</si>
  <si>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</si>
  <si>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</si>
  <si>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</si>
  <si>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</si>
  <si>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</si>
  <si>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</si>
  <si>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</si>
  <si>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</si>
  <si>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</si>
  <si>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</si>
  <si>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</si>
  <si>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</si>
  <si>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</si>
  <si>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</si>
  <si>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</si>
  <si>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</si>
  <si>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</si>
  <si>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</si>
  <si>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</si>
  <si>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</si>
  <si>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</si>
  <si>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</si>
  <si>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</si>
  <si>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</si>
  <si>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</si>
  <si>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</si>
  <si>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</si>
  <si>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</si>
  <si>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</si>
  <si>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</si>
  <si>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</si>
  <si>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</si>
  <si>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</si>
  <si>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</si>
  <si>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</si>
  <si>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</si>
  <si>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</si>
  <si>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</si>
  <si>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</si>
  <si>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</si>
  <si>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</si>
  <si>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</si>
  <si>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</si>
  <si>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</si>
  <si>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</si>
  <si>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</si>
  <si>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</si>
  <si>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</si>
  <si>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</si>
  <si>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</si>
  <si>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</si>
  <si>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</si>
  <si>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</si>
  <si>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</si>
  <si>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</si>
  <si>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</si>
  <si>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</si>
  <si>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</si>
  <si>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</si>
  <si>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</si>
  <si>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</si>
  <si>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</si>
  <si>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</si>
  <si>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</si>
  <si>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</si>
  <si>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</si>
  <si>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</si>
  <si>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</si>
  <si>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</si>
  <si>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</si>
  <si>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</si>
  <si>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</si>
  <si>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</si>
  <si>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</si>
  <si>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</si>
  <si>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</si>
  <si>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</si>
  <si>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</si>
  <si>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</si>
  <si>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</si>
  <si>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</si>
  <si>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</si>
  <si>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</si>
  <si>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</si>
  <si>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</si>
  <si>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</si>
  <si>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</si>
  <si>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</si>
  <si>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</si>
  <si>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</si>
  <si>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</si>
  <si>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</si>
  <si>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</si>
  <si>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</si>
  <si>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</si>
  <si>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</si>
  <si>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</si>
  <si>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</si>
  <si>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</si>
  <si>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</si>
  <si>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</si>
  <si>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</si>
  <si>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</si>
  <si>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</si>
  <si>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</si>
  <si>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</si>
  <si>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</si>
  <si>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</si>
  <si>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</si>
  <si>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</si>
  <si>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</si>
  <si>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</si>
  <si>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</si>
  <si>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</si>
  <si>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</si>
  <si>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</si>
  <si>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</si>
  <si>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</si>
  <si>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</si>
  <si>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</si>
  <si>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</si>
  <si>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</si>
  <si>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</si>
  <si>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</si>
  <si>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</si>
  <si>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</si>
  <si>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</si>
  <si>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</si>
  <si>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</si>
  <si>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</si>
  <si>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</si>
  <si>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</si>
  <si>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</si>
  <si>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</si>
  <si>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</si>
  <si>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</si>
  <si>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</si>
  <si>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</si>
  <si>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</si>
  <si>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</si>
  <si>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</si>
  <si>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</si>
  <si>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</si>
  <si>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</si>
  <si>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</si>
  <si>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</si>
  <si>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</si>
  <si>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</si>
  <si>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</si>
  <si>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</si>
  <si>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</si>
  <si>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</si>
  <si>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</si>
  <si>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</si>
  <si>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</si>
  <si>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</si>
  <si>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</si>
  <si>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</si>
  <si>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</si>
  <si>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</si>
  <si>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</si>
  <si>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</si>
  <si>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</si>
  <si>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</si>
  <si>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</si>
  <si>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</si>
  <si>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</si>
  <si>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</si>
  <si>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</si>
  <si>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</si>
  <si>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</si>
  <si>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</si>
  <si>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</si>
  <si>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</si>
  <si>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</si>
  <si>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</si>
  <si>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</si>
  <si>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</si>
  <si>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</si>
  <si>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</si>
  <si>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</si>
  <si>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</si>
  <si>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</si>
  <si>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</si>
  <si>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</si>
  <si>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</si>
  <si>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</si>
  <si>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</si>
  <si>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</si>
  <si>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</si>
  <si>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</si>
  <si>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</si>
  <si>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</si>
  <si>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</si>
  <si>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</si>
  <si>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</si>
  <si>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</si>
  <si>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</si>
  <si>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</si>
  <si>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</si>
  <si>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</si>
  <si>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</si>
  <si>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</si>
  <si>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</si>
  <si>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</si>
  <si>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</si>
  <si>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</si>
  <si>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</si>
  <si>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</si>
  <si>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</si>
  <si>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</si>
  <si>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</si>
  <si>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</si>
  <si>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</si>
  <si>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</si>
  <si>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</si>
  <si>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</si>
  <si>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</si>
  <si>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</si>
  <si>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</si>
  <si>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</si>
  <si>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</si>
  <si>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</si>
  <si>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</si>
  <si>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</si>
  <si>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</si>
  <si>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</si>
  <si>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</si>
  <si>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</si>
  <si>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</si>
  <si>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</si>
  <si>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</si>
  <si>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</si>
  <si>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</si>
  <si>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</si>
  <si>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</si>
  <si>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</si>
  <si>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</si>
  <si>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</si>
  <si>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</si>
  <si>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</si>
  <si>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</si>
  <si>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</si>
  <si>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</si>
  <si>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</si>
  <si>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</si>
  <si>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</si>
  <si>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</si>
  <si>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</si>
  <si>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</si>
  <si>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</si>
  <si>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</si>
  <si>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</si>
  <si>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</si>
  <si>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</si>
  <si>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</si>
  <si>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</si>
  <si>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</si>
  <si>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</si>
  <si>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</si>
  <si>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</si>
  <si>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</si>
  <si>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</si>
  <si>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</si>
  <si>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</si>
  <si>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</si>
  <si>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</si>
  <si>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</si>
  <si>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</si>
  <si>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</si>
  <si>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</si>
  <si>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</si>
  <si>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</si>
  <si>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</si>
  <si>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</si>
  <si>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</si>
  <si>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</si>
  <si>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</si>
  <si>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</si>
  <si>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</si>
  <si>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</si>
  <si>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</si>
  <si>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</si>
  <si>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</si>
  <si>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</si>
  <si>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</si>
  <si>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</si>
  <si>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</si>
  <si>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</si>
  <si>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</si>
  <si>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</si>
  <si>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</si>
  <si>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</si>
  <si>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</si>
  <si>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</si>
  <si>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</si>
  <si>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</si>
  <si>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</si>
  <si>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</si>
  <si>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</si>
  <si>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</si>
  <si>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</si>
  <si>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</si>
  <si>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</si>
  <si>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</si>
  <si>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</si>
  <si>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</si>
  <si>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</si>
  <si>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</si>
  <si>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</si>
  <si>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</si>
  <si>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</si>
  <si>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</si>
  <si>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</si>
  <si>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</si>
  <si>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</si>
  <si>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</si>
  <si>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</si>
  <si>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</si>
  <si>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</si>
  <si>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</si>
  <si>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</si>
  <si>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</si>
  <si>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</si>
  <si>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</si>
  <si>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</si>
  <si>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</si>
  <si>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</si>
  <si>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</si>
  <si>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</si>
  <si>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</si>
  <si>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</si>
  <si>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</si>
  <si>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</si>
  <si>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</si>
  <si>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</si>
  <si>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</si>
  <si>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</si>
  <si>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</si>
  <si>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</si>
  <si>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</si>
  <si>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</si>
  <si>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</si>
  <si>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</si>
  <si>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</si>
  <si>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</si>
  <si>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</si>
  <si>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</si>
  <si>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</si>
  <si>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</si>
  <si>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</si>
  <si>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</si>
  <si>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</si>
  <si>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</si>
  <si>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</si>
  <si>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</si>
  <si>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</si>
  <si>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</si>
  <si>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</si>
  <si>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</si>
  <si>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</si>
  <si>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</si>
  <si>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</si>
  <si>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</si>
  <si>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</si>
  <si>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</si>
  <si>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</si>
  <si>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</si>
  <si>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</si>
  <si>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</si>
  <si>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</si>
  <si>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</si>
  <si>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</si>
  <si>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</si>
  <si>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</si>
  <si>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</si>
  <si>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</si>
  <si>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</si>
  <si>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</si>
  <si>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</si>
  <si>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</si>
  <si>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</si>
  <si>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</si>
  <si>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</si>
  <si>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</si>
  <si>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</si>
  <si>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</si>
  <si>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</si>
  <si>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</si>
  <si>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</si>
  <si>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</si>
  <si>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</si>
  <si>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</si>
  <si>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</si>
  <si>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</si>
  <si>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</si>
  <si>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</si>
  <si>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</si>
  <si>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</si>
  <si>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</si>
  <si>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</si>
  <si>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</si>
  <si>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</si>
  <si>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</si>
  <si>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</si>
  <si>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</si>
  <si>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</si>
  <si>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</si>
  <si>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</si>
  <si>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</si>
  <si>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</si>
  <si>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</si>
  <si>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</si>
  <si>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</si>
  <si>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</si>
  <si>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</si>
  <si>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</si>
  <si>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</si>
  <si>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</si>
  <si>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</si>
  <si>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</si>
  <si>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</si>
  <si>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</si>
  <si>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</si>
  <si>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</si>
  <si>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</si>
  <si>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</si>
  <si>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</si>
  <si>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</si>
  <si>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</si>
  <si>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</si>
  <si>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</si>
  <si>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</si>
  <si>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</si>
  <si>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</si>
  <si>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</si>
  <si>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</si>
  <si>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</si>
  <si>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</si>
  <si>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</si>
  <si>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</si>
  <si>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</si>
  <si>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</si>
  <si>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</si>
  <si>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</si>
  <si>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</si>
  <si>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</si>
  <si>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</si>
  <si>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</si>
  <si>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</si>
  <si>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</si>
  <si>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</si>
  <si>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</si>
  <si>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</si>
  <si>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</si>
  <si>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</si>
  <si>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</si>
  <si>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</si>
  <si>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</si>
  <si>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</si>
  <si>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</si>
  <si>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</si>
  <si>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</si>
  <si>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</si>
  <si>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</si>
  <si>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</si>
  <si>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</si>
  <si>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</si>
  <si>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</si>
  <si>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</si>
  <si>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</si>
  <si>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</si>
  <si>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</si>
  <si>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</si>
  <si>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</si>
  <si>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</si>
  <si>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</si>
  <si>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</si>
  <si>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</si>
  <si>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</si>
  <si>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</si>
  <si>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</si>
  <si>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</si>
  <si>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</si>
  <si>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</si>
  <si>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</si>
  <si>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</si>
  <si>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</si>
  <si>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</si>
  <si>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</si>
  <si>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</si>
  <si>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</si>
  <si>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</si>
  <si>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</si>
  <si>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</si>
  <si>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</si>
  <si>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</si>
  <si>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</si>
  <si>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</si>
  <si>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</si>
  <si>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</si>
  <si>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</si>
  <si>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</si>
  <si>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</si>
  <si>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</si>
  <si>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</si>
  <si>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</si>
  <si>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</si>
  <si>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</si>
  <si>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</si>
  <si>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</si>
  <si>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</si>
  <si>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</si>
  <si>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</si>
  <si>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</si>
  <si>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</si>
  <si>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</si>
  <si>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</si>
  <si>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</si>
  <si>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</si>
  <si>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</si>
  <si>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</si>
  <si>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</si>
  <si>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</si>
  <si>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</si>
  <si>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</si>
  <si>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</si>
  <si>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</si>
  <si>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</si>
  <si>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</si>
  <si>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</si>
  <si>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</si>
  <si>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</si>
  <si>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</si>
  <si>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</si>
  <si>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</si>
  <si>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</si>
  <si>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</si>
  <si>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</si>
  <si>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</si>
  <si>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</si>
  <si>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</si>
  <si>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</si>
  <si>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</si>
  <si>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</si>
  <si>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</si>
  <si>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</si>
  <si>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</si>
  <si>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</si>
  <si>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</si>
  <si>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</si>
  <si>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</si>
  <si>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</si>
  <si>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</si>
  <si>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</si>
  <si>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</si>
  <si>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</si>
  <si>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</si>
  <si>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</si>
  <si>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</si>
  <si>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</si>
  <si>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</si>
  <si>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</si>
  <si>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</si>
  <si>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</si>
  <si>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</si>
  <si>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</si>
  <si>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</si>
  <si>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</si>
  <si>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</si>
  <si>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</si>
  <si>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</si>
  <si>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</si>
  <si>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</si>
  <si>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</si>
  <si>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</si>
  <si>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</si>
  <si>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</si>
  <si>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</si>
  <si>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</si>
  <si>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</si>
  <si>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</si>
  <si>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</si>
  <si>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</si>
  <si>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</si>
  <si>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</si>
  <si>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</si>
  <si>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</si>
  <si>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</si>
  <si>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</si>
  <si>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</si>
  <si>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</si>
  <si>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</si>
  <si>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</si>
  <si>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</si>
  <si>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</si>
  <si>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</si>
  <si>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</si>
  <si>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</si>
  <si>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</si>
  <si>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</si>
  <si>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</si>
  <si>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</si>
  <si>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</si>
  <si>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</si>
  <si>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</si>
  <si>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</si>
  <si>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</si>
  <si>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</si>
  <si>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</si>
  <si>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</si>
  <si>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</si>
  <si>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</si>
  <si>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</si>
  <si>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</si>
  <si>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</si>
  <si>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</si>
  <si>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</si>
  <si>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</si>
  <si>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</si>
  <si>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</si>
  <si>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</si>
  <si>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</si>
  <si>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</si>
  <si>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</si>
  <si>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</si>
  <si>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</si>
  <si>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</si>
  <si>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</si>
  <si>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</si>
  <si>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</si>
  <si>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</si>
  <si>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</si>
  <si>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</si>
  <si>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</si>
  <si>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</si>
  <si>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</si>
  <si>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</si>
  <si>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</si>
  <si>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</si>
  <si>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</si>
  <si>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</si>
  <si>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</si>
  <si>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</si>
  <si>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</si>
  <si>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</si>
  <si>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</si>
  <si>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</si>
  <si>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</si>
  <si>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</si>
  <si>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</si>
  <si>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</si>
  <si>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</si>
  <si>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</si>
  <si>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</si>
  <si>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</si>
  <si>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</si>
  <si>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</si>
  <si>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</si>
  <si>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</si>
  <si>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</si>
  <si>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</si>
  <si>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</si>
  <si>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</si>
  <si>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</si>
  <si>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</si>
  <si>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</si>
  <si>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</si>
  <si>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</si>
  <si>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</si>
  <si>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</si>
  <si>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</si>
  <si>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</si>
  <si>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</si>
  <si>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</si>
  <si>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</si>
  <si>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</si>
  <si>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</si>
  <si>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</si>
  <si>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</si>
  <si>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</si>
  <si>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</si>
  <si>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</si>
  <si>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</si>
  <si>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</si>
  <si>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</si>
  <si>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</si>
  <si>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</si>
  <si>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</si>
  <si>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</si>
  <si>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</si>
  <si>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</si>
  <si>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</si>
  <si>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</si>
  <si>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</si>
  <si>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</si>
  <si>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</si>
  <si>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</si>
  <si>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</si>
  <si>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</si>
  <si>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</si>
  <si>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</si>
  <si>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</si>
  <si>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</si>
  <si>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</si>
  <si>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</si>
  <si>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</si>
  <si>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</si>
  <si>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</si>
  <si>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</si>
  <si>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</si>
  <si>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</si>
  <si>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</si>
  <si>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</si>
  <si>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</si>
  <si>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</si>
  <si>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</si>
  <si>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</si>
  <si>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</si>
  <si>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</si>
  <si>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</si>
  <si>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</si>
  <si>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</si>
  <si>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</si>
  <si>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</si>
  <si>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</si>
  <si>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</si>
  <si>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</si>
  <si>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</si>
  <si>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</si>
  <si>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</si>
  <si>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</si>
  <si>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</si>
  <si>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</si>
  <si>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</si>
  <si>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</si>
  <si>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</si>
  <si>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</si>
  <si>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</si>
  <si>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</si>
  <si>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</si>
  <si>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</si>
  <si>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</si>
  <si>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</si>
  <si>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</si>
  <si>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</si>
  <si>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</si>
  <si>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</si>
  <si>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</si>
  <si>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</si>
  <si>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</si>
  <si>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</si>
  <si>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</si>
  <si>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</si>
  <si>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</si>
  <si>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</si>
  <si>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</si>
  <si>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</si>
  <si>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</si>
  <si>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</si>
  <si>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</si>
  <si>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</si>
  <si>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</si>
  <si>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</si>
  <si>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</si>
  <si>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</si>
  <si>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</si>
  <si>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</si>
  <si>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</si>
  <si>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</si>
  <si>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</si>
  <si>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</si>
  <si>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</si>
  <si>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</si>
  <si>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</si>
  <si>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</si>
  <si>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</si>
  <si>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</si>
  <si>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</si>
  <si>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</si>
  <si>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</si>
  <si>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</si>
  <si>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</si>
  <si>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</si>
  <si>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</si>
  <si>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</si>
  <si>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</si>
  <si>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</si>
  <si>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</si>
  <si>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</si>
  <si>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</si>
  <si>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</si>
  <si>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</si>
  <si>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</si>
  <si>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</si>
  <si>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</si>
  <si>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</si>
  <si>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</si>
  <si>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</si>
  <si>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</si>
  <si>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</si>
  <si>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</si>
  <si>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</si>
  <si>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</si>
  <si>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</si>
  <si>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</si>
  <si>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</si>
  <si>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</si>
  <si>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</si>
  <si>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</si>
  <si>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</si>
  <si>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</si>
  <si>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</si>
  <si>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</si>
  <si>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</si>
  <si>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</si>
  <si>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</si>
  <si>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</si>
  <si>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</si>
  <si>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</si>
  <si>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</si>
  <si>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</si>
  <si>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</si>
  <si>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</si>
  <si>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</si>
  <si>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</si>
  <si>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</si>
  <si>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</si>
  <si>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</si>
  <si>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</si>
  <si>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</si>
  <si>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</si>
  <si>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</si>
  <si>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</si>
  <si>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</si>
  <si>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</si>
  <si>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</si>
  <si>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</si>
  <si>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</si>
  <si>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</si>
  <si>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</si>
  <si>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</si>
  <si>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</si>
  <si>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</si>
  <si>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</si>
  <si>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</si>
  <si>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</si>
  <si>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</si>
  <si>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</si>
  <si>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</si>
  <si>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</si>
  <si>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</si>
  <si>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</si>
  <si>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</si>
  <si>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</si>
  <si>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</si>
  <si>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</si>
  <si>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</si>
  <si>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</si>
  <si>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</si>
  <si>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</si>
  <si>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</si>
  <si>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</si>
  <si>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</si>
  <si>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</si>
  <si>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</si>
  <si>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</si>
  <si>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</si>
  <si>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</si>
  <si>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</si>
  <si>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</si>
  <si>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</si>
  <si>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</si>
  <si>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</si>
  <si>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</si>
  <si>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</si>
  <si>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</si>
  <si>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</si>
  <si>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</si>
  <si>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</si>
  <si>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</si>
  <si>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</si>
  <si>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</si>
  <si>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</si>
  <si>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</si>
  <si>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</si>
  <si>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</si>
  <si>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</si>
  <si>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</si>
  <si>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</si>
  <si>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</si>
  <si>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</si>
  <si>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</si>
  <si>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</si>
  <si>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</si>
  <si>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</si>
  <si>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</si>
  <si>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</si>
  <si>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</si>
  <si>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</si>
  <si>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</si>
  <si>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</si>
  <si>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</si>
  <si>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</si>
  <si>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</si>
  <si>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</si>
  <si>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</si>
  <si>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</si>
  <si>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</si>
  <si>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</si>
  <si>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</si>
  <si>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</si>
  <si>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</si>
  <si>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</si>
  <si>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</si>
  <si>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</si>
  <si>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</si>
  <si>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</si>
  <si>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</si>
  <si>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</si>
  <si>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</si>
  <si>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</si>
  <si>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</si>
  <si>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</si>
  <si>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</si>
  <si>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</si>
  <si>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</si>
  <si>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</si>
  <si>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</si>
  <si>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</si>
  <si>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</si>
  <si>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</si>
  <si>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</si>
  <si>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</si>
  <si>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</si>
  <si>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</si>
  <si>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</si>
  <si>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</si>
  <si>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</si>
  <si>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</si>
  <si>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</si>
  <si>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</si>
  <si>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</si>
  <si>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</si>
  <si>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</si>
  <si>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</si>
  <si>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</si>
  <si>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</si>
  <si>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</si>
  <si>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</si>
  <si>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</si>
  <si>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</si>
  <si>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</si>
  <si>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</si>
  <si>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</si>
  <si>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</si>
  <si>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</si>
  <si>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</si>
  <si>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</si>
  <si>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</si>
  <si>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</si>
  <si>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</si>
  <si>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</si>
  <si>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</si>
  <si>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</si>
  <si>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</si>
  <si>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</si>
  <si>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</si>
  <si>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</si>
  <si>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</si>
  <si>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</si>
  <si>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</si>
  <si>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</si>
  <si>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</si>
  <si>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</si>
  <si>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</si>
  <si>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</si>
  <si>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</si>
  <si>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</si>
  <si>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</si>
  <si>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</si>
  <si>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</si>
  <si>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</si>
  <si>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</si>
  <si>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</si>
  <si>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</si>
  <si>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</si>
  <si>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</si>
  <si>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</si>
  <si>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</si>
  <si>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</si>
  <si>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</si>
  <si>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</si>
  <si>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</si>
  <si>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</si>
  <si>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</si>
  <si>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</si>
  <si>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</si>
  <si>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</si>
  <si>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</si>
  <si>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</si>
  <si>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</si>
  <si>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</si>
  <si>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</si>
  <si>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</si>
  <si>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</si>
  <si>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</si>
  <si>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</si>
  <si>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</si>
  <si>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</si>
  <si>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</si>
  <si>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</si>
  <si>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</si>
  <si>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</si>
  <si>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</si>
  <si>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</si>
  <si>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</si>
  <si>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</si>
  <si>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</si>
  <si>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</si>
  <si>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</si>
  <si>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</si>
  <si>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</si>
  <si>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</si>
  <si>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</si>
  <si>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</si>
  <si>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</si>
  <si>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</si>
  <si>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</si>
  <si>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</si>
  <si>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</si>
  <si>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</si>
  <si>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</si>
  <si>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</si>
  <si>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</si>
  <si>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</si>
  <si>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</si>
  <si>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</si>
  <si>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</si>
  <si>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</si>
  <si>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</si>
  <si>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</si>
  <si>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</si>
  <si>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</si>
  <si>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</si>
  <si>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</si>
  <si>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</si>
  <si>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</si>
  <si>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</si>
  <si>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</si>
  <si>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</si>
  <si>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</si>
  <si>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</si>
  <si>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</si>
  <si>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</si>
  <si>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</si>
  <si>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</si>
  <si>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</si>
  <si>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</si>
  <si>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</si>
  <si>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</si>
  <si>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</si>
  <si>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</si>
  <si>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</si>
  <si>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</si>
  <si>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</si>
  <si>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</si>
  <si>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</si>
  <si>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</si>
  <si>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</si>
  <si>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</si>
  <si>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</si>
  <si>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</si>
  <si>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</si>
  <si>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</si>
  <si>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</si>
  <si>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</si>
  <si>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</si>
  <si>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</si>
  <si>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</si>
  <si>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</si>
  <si>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</si>
  <si>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</si>
  <si>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</si>
  <si>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</si>
  <si>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</si>
  <si>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</si>
  <si>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</si>
  <si>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</si>
  <si>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</si>
  <si>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</si>
  <si>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</si>
  <si>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</si>
  <si>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</si>
  <si>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</si>
  <si>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</si>
  <si>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</si>
  <si>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</si>
  <si>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</si>
  <si>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</si>
  <si>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</si>
  <si>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</si>
  <si>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</si>
  <si>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</si>
  <si>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</si>
  <si>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</si>
  <si>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</si>
  <si>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</si>
  <si>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</si>
  <si>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</si>
  <si>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</si>
  <si>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</si>
  <si>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</si>
  <si>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</si>
  <si>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</si>
  <si>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</si>
  <si>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</si>
  <si>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</si>
  <si>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</si>
  <si>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</si>
  <si>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</si>
  <si>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</si>
  <si>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</si>
  <si>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</si>
  <si>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</si>
  <si>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</si>
  <si>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</si>
  <si>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</si>
  <si>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</si>
  <si>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</si>
  <si>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</si>
  <si>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</si>
  <si>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</si>
  <si>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</si>
  <si>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</si>
  <si>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</si>
  <si>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</si>
  <si>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</si>
  <si>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</si>
  <si>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</si>
  <si>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</si>
  <si>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</si>
  <si>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</si>
  <si>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</si>
  <si>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</si>
  <si>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</si>
  <si>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</si>
  <si>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</si>
  <si>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</si>
  <si>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</si>
  <si>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</si>
  <si>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</si>
  <si>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</si>
  <si>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</si>
  <si>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</si>
  <si>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</si>
  <si>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</si>
  <si>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</si>
  <si>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</si>
  <si>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</si>
  <si>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</si>
  <si>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</si>
  <si>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</si>
  <si>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</si>
  <si>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</si>
  <si>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</si>
  <si>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</si>
  <si>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</si>
  <si>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</si>
  <si>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</si>
  <si>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</si>
  <si>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</si>
  <si>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</si>
  <si>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</si>
  <si>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</si>
  <si>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</si>
  <si>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</si>
  <si>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</si>
  <si>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</si>
  <si>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</si>
  <si>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</si>
  <si>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</si>
  <si>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</si>
  <si>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</si>
  <si>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</si>
  <si>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</si>
  <si>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</si>
  <si>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</si>
  <si>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</si>
  <si>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</si>
  <si>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</si>
  <si>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</si>
  <si>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</si>
  <si>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</si>
  <si>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</si>
  <si>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</si>
  <si>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</si>
  <si>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</si>
  <si>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</si>
  <si>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</si>
  <si>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</si>
  <si>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</si>
  <si>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</si>
  <si>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</si>
  <si>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</si>
  <si>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</si>
  <si>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</si>
  <si>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</si>
  <si>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</si>
  <si>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</si>
  <si>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</si>
  <si>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</si>
  <si>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</si>
  <si>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</si>
  <si>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</si>
  <si>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</si>
  <si>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</si>
  <si>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</si>
  <si>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</si>
  <si>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</si>
  <si>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</si>
  <si>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</si>
  <si>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</si>
  <si>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</si>
  <si>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</si>
  <si>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</si>
  <si>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</si>
  <si>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</si>
  <si>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</si>
  <si>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</si>
  <si>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</si>
  <si>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</si>
  <si>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</si>
  <si>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</si>
  <si>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</si>
  <si>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</si>
  <si>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</si>
  <si>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</si>
  <si>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</si>
  <si>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</si>
  <si>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</si>
  <si>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</si>
  <si>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</si>
  <si>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</si>
  <si>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</si>
  <si>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</si>
  <si>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</si>
  <si>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</si>
  <si>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</si>
  <si>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</si>
  <si>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</si>
  <si>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</si>
  <si>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</si>
  <si>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</si>
  <si>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</si>
  <si>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</si>
  <si>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</si>
  <si>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</si>
  <si>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</si>
  <si>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</si>
  <si>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</si>
  <si>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</si>
  <si>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</si>
  <si>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</si>
  <si>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</si>
  <si>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</si>
  <si>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</si>
  <si>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</si>
  <si>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</si>
  <si>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</si>
  <si>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</si>
  <si>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</si>
  <si>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</si>
  <si>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</si>
  <si>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</si>
  <si>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</si>
  <si>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</si>
  <si>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</si>
  <si>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</si>
  <si>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</si>
  <si>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</si>
  <si>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</si>
  <si>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</si>
  <si>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</si>
  <si>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</si>
  <si>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</si>
  <si>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</si>
  <si>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</si>
  <si>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</si>
  <si>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</si>
  <si>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</si>
  <si>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</si>
  <si>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</si>
  <si>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</si>
  <si>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</si>
  <si>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</si>
  <si>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</si>
  <si>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</si>
  <si>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</si>
  <si>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</si>
  <si>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</si>
  <si>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</si>
  <si>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</si>
  <si>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</si>
  <si>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</si>
  <si>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</si>
  <si>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</si>
  <si>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</si>
  <si>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</si>
  <si>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</si>
  <si>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</si>
  <si>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</si>
  <si>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</si>
  <si>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</si>
  <si>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</si>
  <si>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</si>
  <si>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</si>
  <si>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</si>
  <si>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</si>
  <si>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</si>
  <si>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</si>
  <si>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</si>
  <si>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</si>
  <si>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</si>
  <si>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</si>
  <si>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</si>
  <si>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</si>
  <si>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</si>
  <si>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</si>
  <si>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</si>
  <si>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</si>
  <si>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</si>
  <si>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</si>
  <si>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</si>
  <si>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</si>
  <si>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</si>
  <si>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</si>
  <si>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</si>
  <si>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</si>
  <si>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</si>
  <si>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</si>
  <si>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</si>
  <si>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</si>
  <si>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</si>
  <si>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</si>
  <si>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</si>
  <si>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</si>
  <si>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</si>
  <si>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</si>
  <si>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</si>
  <si>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</si>
  <si>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</si>
  <si>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</si>
  <si>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</si>
  <si>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</si>
  <si>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</si>
  <si>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</si>
  <si>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</si>
  <si>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</si>
  <si>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</si>
  <si>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</si>
  <si>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</si>
  <si>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</si>
  <si>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</si>
  <si>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</si>
  <si>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</si>
  <si>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</si>
  <si>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</si>
  <si>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</si>
  <si>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</si>
  <si>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</si>
  <si>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</si>
  <si>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</si>
  <si>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</si>
  <si>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</si>
  <si>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</si>
  <si>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</si>
  <si>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</si>
  <si>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</si>
  <si>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</si>
  <si>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</si>
  <si>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</si>
  <si>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</si>
  <si>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</si>
  <si>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</si>
  <si>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</si>
  <si>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</si>
  <si>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</si>
  <si>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</si>
  <si>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</si>
  <si>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</si>
  <si>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</si>
  <si>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</si>
  <si>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</si>
  <si>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</si>
  <si>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</si>
  <si>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</si>
  <si>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</si>
  <si>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</si>
  <si>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</si>
  <si>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</si>
  <si>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</si>
  <si>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</si>
  <si>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</si>
  <si>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</si>
  <si>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</si>
  <si>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</si>
  <si>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</si>
  <si>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</si>
  <si>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</si>
  <si>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</si>
  <si>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</si>
  <si>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</si>
  <si>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</si>
  <si>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</si>
  <si>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</si>
  <si>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</si>
  <si>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</si>
  <si>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</si>
  <si>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</si>
  <si>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</si>
  <si>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</si>
  <si>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</si>
  <si>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</si>
  <si>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</si>
  <si>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</si>
  <si>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</si>
  <si>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</si>
  <si>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</si>
  <si>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</si>
  <si>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</si>
  <si>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</si>
  <si>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</si>
  <si>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</si>
  <si>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</si>
  <si>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</si>
  <si>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</si>
  <si>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</si>
  <si>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</si>
  <si>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</si>
  <si>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</si>
  <si>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</si>
  <si>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</si>
  <si>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</si>
  <si>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</si>
  <si>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</si>
  <si>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</si>
  <si>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</si>
  <si>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</si>
  <si>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</si>
  <si>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</si>
  <si>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</si>
  <si>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</si>
  <si>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</si>
  <si>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</si>
  <si>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</si>
  <si>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</si>
  <si>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</si>
  <si>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</si>
  <si>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</si>
  <si>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</si>
  <si>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</si>
  <si>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</si>
  <si>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</si>
  <si>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</si>
  <si>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</si>
  <si>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</si>
  <si>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</si>
  <si>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</si>
  <si>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</si>
  <si>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</si>
  <si>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</si>
  <si>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</si>
  <si>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</si>
  <si>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</si>
  <si>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</si>
  <si>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</si>
  <si>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</si>
  <si>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</si>
  <si>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</si>
  <si>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</si>
  <si>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</si>
  <si>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</si>
  <si>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</si>
  <si>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</si>
  <si>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</si>
  <si>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</si>
  <si>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</si>
  <si>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</si>
  <si>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</si>
  <si>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</si>
  <si>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</si>
  <si>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</si>
  <si>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</si>
  <si>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</si>
  <si>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</si>
  <si>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</si>
  <si>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</si>
  <si>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</si>
  <si>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</si>
  <si>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</si>
  <si>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</si>
  <si>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</si>
  <si>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</si>
  <si>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</si>
  <si>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</si>
  <si>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</si>
  <si>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</si>
  <si>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</si>
  <si>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</si>
  <si>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</si>
  <si>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</si>
  <si>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</si>
  <si>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</si>
  <si>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</si>
  <si>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</si>
  <si>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</si>
  <si>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</si>
  <si>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</si>
  <si>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</si>
  <si>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</si>
  <si>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</si>
  <si>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</si>
  <si>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</si>
  <si>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</si>
  <si>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</si>
  <si>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</si>
  <si>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</si>
  <si>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</si>
  <si>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</si>
  <si>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</si>
  <si>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</si>
  <si>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</si>
  <si>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</si>
  <si>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</si>
  <si>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</si>
  <si>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</si>
  <si>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</si>
  <si>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</si>
  <si>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</si>
  <si>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</si>
  <si>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</si>
  <si>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</si>
  <si>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</si>
  <si>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</si>
  <si>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</si>
  <si>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</si>
  <si>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</si>
  <si>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</si>
  <si>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</si>
  <si>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</si>
  <si>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</si>
  <si>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</si>
  <si>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</si>
  <si>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</si>
  <si>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</si>
  <si>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</si>
  <si>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</si>
  <si>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</si>
  <si>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</si>
  <si>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</si>
  <si>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</si>
  <si>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</si>
  <si>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</si>
  <si>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</si>
  <si>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</si>
  <si>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</si>
  <si>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</si>
  <si>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</si>
  <si>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</si>
  <si>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</si>
  <si>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</si>
  <si>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</si>
  <si>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</si>
  <si>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</si>
  <si>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</si>
  <si>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</si>
  <si>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</si>
  <si>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</si>
  <si>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</si>
  <si>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</si>
  <si>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</si>
  <si>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</si>
  <si>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</si>
  <si>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</si>
  <si>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</si>
  <si>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</si>
  <si>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</si>
  <si>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</si>
  <si>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</si>
  <si>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</si>
  <si>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</si>
  <si>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</si>
  <si>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</si>
  <si>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</si>
  <si>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</si>
  <si>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</si>
  <si>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</si>
  <si>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</si>
  <si>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</si>
  <si>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</si>
  <si>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</si>
  <si>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</si>
  <si>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</si>
  <si>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</si>
  <si>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</si>
  <si>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</si>
  <si>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</si>
  <si>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</si>
  <si>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</si>
  <si>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</si>
  <si>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</si>
  <si>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</si>
  <si>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</si>
  <si>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</si>
  <si>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</si>
  <si>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</si>
  <si>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</si>
  <si>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</si>
  <si>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</si>
  <si>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</si>
  <si>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</si>
  <si>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</si>
  <si>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</si>
  <si>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</si>
  <si>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</si>
  <si>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</si>
  <si>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</si>
  <si>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</si>
  <si>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</si>
  <si>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</si>
  <si>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</si>
  <si>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</si>
  <si>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</si>
  <si>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</si>
  <si>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</si>
  <si>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</si>
  <si>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</si>
  <si>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</si>
  <si>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</si>
  <si>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</si>
  <si>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</si>
  <si>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</si>
  <si>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</si>
  <si>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</si>
  <si>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</si>
  <si>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</si>
  <si>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</si>
  <si>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</si>
  <si>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</si>
  <si>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</si>
  <si>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</si>
  <si>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</si>
  <si>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</si>
  <si>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</si>
  <si>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</si>
  <si>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</si>
  <si>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</si>
  <si>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</si>
  <si>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</si>
  <si>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</si>
  <si>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</si>
  <si>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</si>
  <si>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</si>
  <si>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</si>
  <si>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</si>
  <si>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</si>
  <si>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</si>
  <si>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</si>
  <si>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</si>
  <si>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</si>
  <si>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</si>
  <si>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</si>
  <si>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</si>
  <si>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</si>
  <si>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</si>
  <si>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</si>
  <si>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</si>
  <si>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</si>
  <si>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</si>
  <si>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</si>
  <si>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</si>
  <si>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</si>
  <si>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</si>
  <si>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</si>
  <si>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</si>
  <si>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</si>
  <si>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</si>
  <si>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</si>
  <si>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</si>
  <si>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</si>
  <si>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</si>
  <si>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</si>
  <si>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</si>
  <si>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</si>
  <si>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</si>
  <si>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</si>
  <si>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</si>
  <si>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</si>
  <si>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</si>
  <si>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</si>
  <si>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</si>
  <si>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</si>
  <si>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</si>
  <si>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</si>
  <si>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</si>
  <si>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</si>
  <si>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</si>
  <si>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</si>
  <si>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</si>
  <si>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</si>
  <si>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</si>
  <si>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</si>
  <si>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</si>
  <si>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</si>
  <si>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</si>
  <si>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</si>
  <si>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</si>
  <si>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</si>
  <si>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</si>
  <si>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</si>
  <si>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</si>
  <si>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</si>
  <si>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</si>
  <si>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</si>
  <si>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</si>
  <si>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</si>
  <si>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</si>
  <si>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</si>
  <si>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</si>
  <si>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</si>
  <si>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</si>
  <si>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</si>
  <si>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</si>
  <si>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</si>
  <si>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</si>
  <si>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</si>
  <si>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</si>
  <si>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</si>
  <si>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</si>
  <si>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</si>
  <si>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</si>
  <si>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</si>
  <si>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</si>
  <si>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</si>
  <si>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</si>
  <si>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</si>
  <si>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</si>
  <si>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</si>
  <si>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</si>
  <si>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</si>
  <si>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</si>
  <si>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</si>
  <si>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</si>
  <si>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</si>
  <si>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</si>
  <si>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</si>
  <si>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</si>
  <si>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</si>
  <si>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</si>
  <si>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</si>
  <si>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</si>
  <si>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</si>
  <si>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</si>
  <si>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</si>
  <si>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</si>
  <si>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</si>
  <si>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</si>
  <si>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</si>
  <si>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</si>
  <si>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</si>
  <si>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</si>
  <si>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</si>
  <si>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</si>
  <si>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</si>
  <si>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</si>
  <si>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</si>
  <si>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</si>
  <si>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</si>
  <si>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</si>
  <si>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</si>
  <si>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</si>
  <si>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</si>
  <si>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</si>
  <si>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</si>
  <si>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How many they buy?</t>
  </si>
  <si>
    <t>Count of TX ID</t>
  </si>
  <si>
    <t>Sum of Quantity</t>
  </si>
  <si>
    <t>Sum of Amount</t>
  </si>
  <si>
    <t>Average of Days to Deliver</t>
  </si>
  <si>
    <t>Average of Rating C</t>
  </si>
  <si>
    <t>Values for Display</t>
  </si>
  <si>
    <t xml:space="preserve">Orders </t>
  </si>
  <si>
    <t>Avg.RatingAvg.Days</t>
  </si>
  <si>
    <t>Row Labels</t>
  </si>
  <si>
    <t>Grand Total</t>
  </si>
  <si>
    <t>Column Labels</t>
  </si>
  <si>
    <t>Female</t>
  </si>
  <si>
    <t>Male</t>
  </si>
  <si>
    <t>Other</t>
  </si>
  <si>
    <t>Unknown</t>
  </si>
  <si>
    <t>More than 10</t>
  </si>
  <si>
    <t>6-10</t>
  </si>
  <si>
    <t>Column1</t>
  </si>
  <si>
    <t>Jan</t>
  </si>
  <si>
    <t>Feb</t>
  </si>
  <si>
    <t>Mar</t>
  </si>
  <si>
    <t>California Total</t>
  </si>
  <si>
    <t>What purchasing channels do our customers prefer</t>
  </si>
  <si>
    <t>Which products demostrate the highest customer demand?</t>
  </si>
  <si>
    <t>Whats the geographical distribution of our customers?</t>
  </si>
  <si>
    <t>What is the average order fulfillmentand dellivery time?</t>
  </si>
  <si>
    <t>Trend over the past 13 weeks</t>
  </si>
  <si>
    <t>Customer Purchasing Preference</t>
  </si>
  <si>
    <t>13 Week Trend Analysis</t>
  </si>
  <si>
    <t>Distribution of Order Quantities</t>
  </si>
  <si>
    <t>Top Performing Product</t>
  </si>
  <si>
    <t>Purchase Quantitty by Gender</t>
  </si>
  <si>
    <t>How satisfied are our client with their overall experience?</t>
  </si>
  <si>
    <t>Geographic Sales &amp; Quantity Distribution</t>
  </si>
  <si>
    <t>Order Delivery Time</t>
  </si>
  <si>
    <t>Customer Satisfaction by Month</t>
  </si>
  <si>
    <t>What is the gender distribution of our customer 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</si>
</sst>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0"/>
    <numFmt numFmtId="165" formatCode="0.0%"/>
    <numFmt numFmtId="166" formatCode="&quot;₦&quot;#,##0.00"/>
  </numFmts>
  <fonts count="4" x14ac:knownFonts="1">
    <font>
      <sz val="11"/>
      <color theme="1"/>
      <name val="Aptos Narrow"/>
      <family val="2"/>
      <scheme val="minor"/>
    </font>
    <font>
      <b/>
      <sz val="11"/>
      <color theme="1"/>
      <name val="Aptos Narrow"/>
      <family val="2"/>
      <scheme val="minor"/>
    </font>
    <font>
      <u/>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9"/>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2">
    <xf numFmtId="0" fontId="0" fillId="0" borderId="0"/>
    <xf numFmtId="9" fontId="3" fillId="0" borderId="0" applyFont="0" applyFill="0" applyBorder="0" applyAlignment="0" applyProtection="0"/>
  </cellStyleXfs>
  <cellXfs count="15">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2" fillId="0" borderId="0" xfId="0" applyFon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1" xfId="1" applyNumberFormat="1" applyFont="1" applyBorder="1" applyAlignment="1">
      <alignment horizontal="center"/>
    </xf>
    <xf numFmtId="0" fontId="0" fillId="0" borderId="1" xfId="0" applyBorder="1"/>
    <xf numFmtId="0" fontId="0" fillId="0" borderId="1" xfId="0" applyBorder="1" applyAlignment="1">
      <alignment horizontal="center"/>
    </xf>
    <xf numFmtId="1" fontId="0" fillId="0" borderId="0" xfId="0" applyNumberFormat="1"/>
    <xf numFmtId="166" fontId="0" fillId="0" borderId="0" xfId="0" applyNumberFormat="1"/>
  </cellXfs>
  <cellStyles count="2">
    <cellStyle name="Normal" xfId="0" builtinId="0"/>
    <cellStyle name="Per cent" xfId="1" builtinId="5"/>
  </cellStyles>
  <dxfs count="6">
    <dxf>
      <numFmt numFmtId="0" formatCode="General"/>
    </dxf>
    <dxf>
      <numFmt numFmtId="0" formatCode="General"/>
    </dxf>
    <dxf>
      <numFmt numFmtId="0" formatCode="General"/>
    </dxf>
    <dxf>
      <numFmt numFmtId="0" formatCode="General"/>
    </dxf>
    <dxf>
      <numFmt numFmtId="167" formatCode="d\-mmm\-yy"/>
    </dxf>
    <dxf>
      <numFmt numFmtId="167" formatCode="d\-mmm\-yy"/>
    </dxf>
  </dxfs>
  <tableStyles count="0" defaultTableStyle="TableStyleMedium2" defaultPivotStyle="PivotStyleLight16"/>
  <colors>
    <mruColors>
      <color rgb="FFD9E9F7"/>
      <color rgb="FFC5DDF3"/>
      <color rgb="FF4787E5"/>
      <color rgb="FF3E6DC2"/>
      <color rgb="FF09FF78"/>
      <color rgb="FF6198E9"/>
      <color rgb="FF2DFF8C"/>
      <color rgb="FFC5F1CF"/>
      <color rgb="FFCADFF2"/>
      <color rgb="FF37FF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 /><Relationship Id="rId3" Type="http://schemas.openxmlformats.org/officeDocument/2006/relationships/worksheet" Target="worksheets/sheet3.xml" /><Relationship Id="rId7" Type="http://schemas.microsoft.com/office/2007/relationships/slicerCache" Target="slicerCaches/slicerCache2.xml" /><Relationship Id="rId2" Type="http://schemas.openxmlformats.org/officeDocument/2006/relationships/worksheet" Target="worksheets/sheet2.xml" /><Relationship Id="rId1" Type="http://schemas.openxmlformats.org/officeDocument/2006/relationships/worksheet" Target="worksheets/sheet1.xml" /><Relationship Id="rId6" Type="http://schemas.microsoft.com/office/2007/relationships/slicerCache" Target="slicerCaches/slicerCache1.xml" /><Relationship Id="rId11" Type="http://schemas.openxmlformats.org/officeDocument/2006/relationships/calcChain" Target="calcChain.xml" /><Relationship Id="rId5" Type="http://schemas.openxmlformats.org/officeDocument/2006/relationships/pivotCacheDefinition" Target="pivotCache/pivotCacheDefinition1.xml" /><Relationship Id="rId10" Type="http://schemas.openxmlformats.org/officeDocument/2006/relationships/sharedStrings" Target="sharedStrings.xml" /><Relationship Id="rId4" Type="http://schemas.openxmlformats.org/officeDocument/2006/relationships/worksheet" Target="worksheets/sheet4.xml" /><Relationship Id="rId9" Type="http://schemas.openxmlformats.org/officeDocument/2006/relationships/styles" Target="styles.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6.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_rels/chartEx1.xml.rels><?xml version="1.0" encoding="UTF-8" standalone="yes"?>
<Relationships xmlns="http://schemas.openxmlformats.org/package/2006/relationships"><Relationship Id="rId2" Type="http://schemas.microsoft.com/office/2011/relationships/chartColorStyle" Target="colors7.xml" /><Relationship Id="rId1" Type="http://schemas.microsoft.com/office/2011/relationships/chartStyle" Target="style7.xml" /></Relationships>
</file>

<file path=xl/charts/_rels/chartEx2.xml.rels><?xml version="1.0" encoding="UTF-8" standalone="yes"?>
<Relationships xmlns="http://schemas.openxmlformats.org/package/2006/relationships"><Relationship Id="rId2" Type="http://schemas.microsoft.com/office/2011/relationships/chartColorStyle" Target="colors8.xml" /><Relationship Id="rId1" Type="http://schemas.microsoft.com/office/2011/relationships/chartStyle" Target="style8.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(Recovered) 2_121920.xlsx]Workings!Pivot Trends</c:name>
    <c:fmtId val="9"/>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13 Week Trend Analysis</a:t>
            </a:r>
          </a:p>
        </c:rich>
      </c:tx>
      <c:overlay val="0"/>
      <c:spPr>
        <a:solidFill>
          <a:srgbClr val="F49B3A"/>
        </a:solid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E8711E"/>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4472C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Workings!$B$10</c:f>
              <c:strCache>
                <c:ptCount val="1"/>
                <c:pt idx="0">
                  <c:v>Sum of Quantity</c:v>
                </c:pt>
              </c:strCache>
            </c:strRef>
          </c:tx>
          <c:spPr>
            <a:ln w="28575" cap="rnd">
              <a:solidFill>
                <a:srgbClr val="E8711E"/>
              </a:solidFill>
              <a:round/>
            </a:ln>
            <a:effectLst/>
          </c:spPr>
          <c:marker>
            <c:symbol val="circle"/>
            <c:size val="5"/>
            <c:spPr>
              <a:solidFill>
                <a:schemeClr val="accent1"/>
              </a:solidFill>
              <a:ln w="9525">
                <a:solidFill>
                  <a:schemeClr val="accent1"/>
                </a:solidFill>
              </a:ln>
              <a:effectLst/>
            </c:spPr>
          </c:marker>
          <c:cat>
            <c:strRef>
              <c:f>Workings!$A$11:$A$24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Workings!$B$11:$B$24</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4B8E-4E17-A57F-C938662BCA27}"/>
            </c:ext>
          </c:extLst>
        </c:ser>
        <c:dLbls>
          <c:showLegendKey val="0"/>
          <c:showVal val="0"/>
          <c:showCatName val="0"/>
          <c:showSerName val="0"/>
          <c:showPercent val="0"/>
          <c:showBubbleSize val="0"/>
        </c:dLbls>
        <c:marker val="1"/>
        <c:smooth val="0"/>
        <c:axId val="1809278960"/>
        <c:axId val="1809283952"/>
      </c:lineChart>
      <c:lineChart>
        <c:grouping val="standard"/>
        <c:varyColors val="0"/>
        <c:ser>
          <c:idx val="1"/>
          <c:order val="1"/>
          <c:tx>
            <c:strRef>
              <c:f>Workings!$C$10</c:f>
              <c:strCache>
                <c:ptCount val="1"/>
                <c:pt idx="0">
                  <c:v>Sum of Amount</c:v>
                </c:pt>
              </c:strCache>
            </c:strRef>
          </c:tx>
          <c:spPr>
            <a:ln w="28575" cap="rnd">
              <a:solidFill>
                <a:srgbClr val="4472C4"/>
              </a:solidFill>
              <a:round/>
            </a:ln>
            <a:effectLst/>
          </c:spPr>
          <c:marker>
            <c:symbol val="none"/>
          </c:marker>
          <c:cat>
            <c:strRef>
              <c:f>Workings!$A$11:$A$24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Workings!$C$11:$C$24</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4B8E-4E17-A57F-C938662BCA27}"/>
            </c:ext>
          </c:extLst>
        </c:ser>
        <c:dLbls>
          <c:showLegendKey val="0"/>
          <c:showVal val="0"/>
          <c:showCatName val="0"/>
          <c:showSerName val="0"/>
          <c:showPercent val="0"/>
          <c:showBubbleSize val="0"/>
        </c:dLbls>
        <c:marker val="1"/>
        <c:smooth val="0"/>
        <c:axId val="1402916112"/>
        <c:axId val="1402903216"/>
      </c:lineChart>
      <c:catAx>
        <c:axId val="18092789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283952"/>
        <c:crosses val="autoZero"/>
        <c:auto val="1"/>
        <c:lblAlgn val="ctr"/>
        <c:lblOffset val="100"/>
        <c:noMultiLvlLbl val="0"/>
      </c:catAx>
      <c:valAx>
        <c:axId val="180928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278960"/>
        <c:crosses val="autoZero"/>
        <c:crossBetween val="between"/>
      </c:valAx>
      <c:valAx>
        <c:axId val="1402903216"/>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916112"/>
        <c:crosses val="max"/>
        <c:crossBetween val="between"/>
      </c:valAx>
      <c:catAx>
        <c:axId val="1402916112"/>
        <c:scaling>
          <c:orientation val="minMax"/>
        </c:scaling>
        <c:delete val="1"/>
        <c:axPos val="b"/>
        <c:numFmt formatCode="General" sourceLinked="1"/>
        <c:majorTickMark val="out"/>
        <c:minorTickMark val="none"/>
        <c:tickLblPos val="nextTo"/>
        <c:crossAx val="140290321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(Recovered) 2_121920.xlsx]Workings!Pivot Quantity</c:name>
    <c:fmtId val="1"/>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US">
                <a:solidFill>
                  <a:schemeClr val="tx1">
                    <a:lumMod val="85000"/>
                    <a:lumOff val="15000"/>
                  </a:schemeClr>
                </a:solidFill>
              </a:rPr>
              <a:t>Distribution of Order Quantities</a:t>
            </a:r>
          </a:p>
        </c:rich>
      </c:tx>
      <c:overlay val="0"/>
      <c:spPr>
        <a:solidFill>
          <a:srgbClr val="F98435"/>
        </a:solid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Workings!$B$41</c:f>
              <c:strCache>
                <c:ptCount val="1"/>
                <c:pt idx="0">
                  <c:v>Total</c:v>
                </c:pt>
              </c:strCache>
            </c:strRef>
          </c:tx>
          <c:spPr>
            <a:solidFill>
              <a:srgbClr val="4472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Workings!$A$42:$A$49</c:f>
              <c:strCache>
                <c:ptCount val="7"/>
                <c:pt idx="0">
                  <c:v>1</c:v>
                </c:pt>
                <c:pt idx="1">
                  <c:v>2</c:v>
                </c:pt>
                <c:pt idx="2">
                  <c:v>3</c:v>
                </c:pt>
                <c:pt idx="3">
                  <c:v>4</c:v>
                </c:pt>
                <c:pt idx="4">
                  <c:v>5</c:v>
                </c:pt>
                <c:pt idx="5">
                  <c:v>6-10</c:v>
                </c:pt>
                <c:pt idx="6">
                  <c:v>More than 10</c:v>
                </c:pt>
              </c:strCache>
            </c:strRef>
          </c:cat>
          <c:val>
            <c:numRef>
              <c:f>Workings!$B$42:$B$49</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B9FD-47A3-8CB5-A1440B88CEC0}"/>
            </c:ext>
          </c:extLst>
        </c:ser>
        <c:dLbls>
          <c:dLblPos val="outEnd"/>
          <c:showLegendKey val="0"/>
          <c:showVal val="1"/>
          <c:showCatName val="0"/>
          <c:showSerName val="0"/>
          <c:showPercent val="0"/>
          <c:showBubbleSize val="0"/>
        </c:dLbls>
        <c:gapWidth val="5"/>
        <c:overlap val="-27"/>
        <c:axId val="1809261488"/>
        <c:axId val="1809259824"/>
      </c:barChart>
      <c:catAx>
        <c:axId val="1809261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259824"/>
        <c:crosses val="autoZero"/>
        <c:auto val="1"/>
        <c:lblAlgn val="ctr"/>
        <c:lblOffset val="100"/>
        <c:noMultiLvlLbl val="0"/>
      </c:catAx>
      <c:valAx>
        <c:axId val="1809259824"/>
        <c:scaling>
          <c:orientation val="minMax"/>
        </c:scaling>
        <c:delete val="1"/>
        <c:axPos val="l"/>
        <c:numFmt formatCode="General" sourceLinked="1"/>
        <c:majorTickMark val="out"/>
        <c:minorTickMark val="none"/>
        <c:tickLblPos val="nextTo"/>
        <c:crossAx val="1809261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(Recovered) 2_121920.xlsx]Workings!Pivot Product</c:name>
    <c:fmtId val="1"/>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Top Performing Product</a:t>
            </a:r>
          </a:p>
        </c:rich>
      </c:tx>
      <c:overlay val="0"/>
      <c:spPr>
        <a:solidFill>
          <a:srgbClr val="F98435"/>
        </a:solid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8711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Workings!$B$54:$B$55</c:f>
              <c:strCache>
                <c:ptCount val="1"/>
                <c:pt idx="0">
                  <c:v>Female</c:v>
                </c:pt>
              </c:strCache>
            </c:strRef>
          </c:tx>
          <c:spPr>
            <a:solidFill>
              <a:srgbClr val="4472C4"/>
            </a:solidFill>
            <a:ln>
              <a:noFill/>
            </a:ln>
            <a:effectLst/>
          </c:spPr>
          <c:invertIfNegative val="0"/>
          <c:cat>
            <c:strRef>
              <c:f>Workings!$A$56:$A$76</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Workings!$B$56:$B$76</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307B-453A-A6FF-5D4BB5181ACC}"/>
            </c:ext>
          </c:extLst>
        </c:ser>
        <c:ser>
          <c:idx val="1"/>
          <c:order val="1"/>
          <c:tx>
            <c:strRef>
              <c:f>Workings!$C$54:$C$55</c:f>
              <c:strCache>
                <c:ptCount val="1"/>
                <c:pt idx="0">
                  <c:v>Male</c:v>
                </c:pt>
              </c:strCache>
            </c:strRef>
          </c:tx>
          <c:spPr>
            <a:solidFill>
              <a:srgbClr val="E8711E"/>
            </a:solidFill>
            <a:ln>
              <a:noFill/>
            </a:ln>
            <a:effectLst/>
          </c:spPr>
          <c:invertIfNegative val="0"/>
          <c:cat>
            <c:strRef>
              <c:f>Workings!$A$56:$A$76</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Workings!$C$56:$C$76</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13-8A58-4C3D-A0CB-6006824DB236}"/>
            </c:ext>
          </c:extLst>
        </c:ser>
        <c:ser>
          <c:idx val="2"/>
          <c:order val="2"/>
          <c:tx>
            <c:strRef>
              <c:f>Workings!$D$54:$D$55</c:f>
              <c:strCache>
                <c:ptCount val="1"/>
                <c:pt idx="0">
                  <c:v>Other</c:v>
                </c:pt>
              </c:strCache>
            </c:strRef>
          </c:tx>
          <c:spPr>
            <a:solidFill>
              <a:srgbClr val="00B050"/>
            </a:solidFill>
            <a:ln>
              <a:noFill/>
            </a:ln>
            <a:effectLst/>
          </c:spPr>
          <c:invertIfNegative val="0"/>
          <c:cat>
            <c:strRef>
              <c:f>Workings!$A$56:$A$76</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Workings!$D$56:$D$76</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14-8A58-4C3D-A0CB-6006824DB236}"/>
            </c:ext>
          </c:extLst>
        </c:ser>
        <c:ser>
          <c:idx val="3"/>
          <c:order val="3"/>
          <c:tx>
            <c:strRef>
              <c:f>Workings!$E$54:$E$55</c:f>
              <c:strCache>
                <c:ptCount val="1"/>
                <c:pt idx="0">
                  <c:v>Unknown</c:v>
                </c:pt>
              </c:strCache>
            </c:strRef>
          </c:tx>
          <c:spPr>
            <a:solidFill>
              <a:srgbClr val="5B9BD5"/>
            </a:solidFill>
            <a:ln>
              <a:noFill/>
            </a:ln>
            <a:effectLst/>
          </c:spPr>
          <c:invertIfNegative val="0"/>
          <c:cat>
            <c:strRef>
              <c:f>Workings!$A$56:$A$76</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Workings!$E$56:$E$76</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15-8A58-4C3D-A0CB-6006824DB236}"/>
            </c:ext>
          </c:extLst>
        </c:ser>
        <c:dLbls>
          <c:showLegendKey val="0"/>
          <c:showVal val="0"/>
          <c:showCatName val="0"/>
          <c:showSerName val="0"/>
          <c:showPercent val="0"/>
          <c:showBubbleSize val="0"/>
        </c:dLbls>
        <c:gapWidth val="29"/>
        <c:overlap val="100"/>
        <c:axId val="1809261488"/>
        <c:axId val="1809254416"/>
      </c:barChart>
      <c:catAx>
        <c:axId val="1809261488"/>
        <c:scaling>
          <c:orientation val="maxMin"/>
        </c:scaling>
        <c:delete val="0"/>
        <c:axPos val="l"/>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254416"/>
        <c:crosses val="autoZero"/>
        <c:auto val="1"/>
        <c:lblAlgn val="ctr"/>
        <c:lblOffset val="100"/>
        <c:tickLblSkip val="1"/>
        <c:noMultiLvlLbl val="0"/>
      </c:catAx>
      <c:valAx>
        <c:axId val="1809254416"/>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261488"/>
        <c:crosses val="autoZero"/>
        <c:crossBetween val="between"/>
      </c:valAx>
      <c:spPr>
        <a:noFill/>
        <a:ln w="0">
          <a:solidFill>
            <a:schemeClr val="tx1">
              <a:lumMod val="15000"/>
              <a:lumOff val="8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(Recovered) 2_121920.xlsx]Workings!Pivot Gender</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952789436544489"/>
              <c:y val="0.147106632617208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0284958352375499"/>
              <c:y val="0.152010187037782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2508733131267499"/>
              <c:y val="-8.82639795703250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27519212888788497"/>
              <c:y val="-4.90355442057361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rgbClr val="4472C4"/>
          </a:solidFill>
          <a:ln w="19050">
            <a:solidFill>
              <a:schemeClr val="lt1"/>
            </a:solidFill>
          </a:ln>
          <a:effectLst/>
        </c:spPr>
        <c:dLbl>
          <c:idx val="0"/>
          <c:layout>
            <c:manualLayout>
              <c:x val="-0.10457955963608495"/>
              <c:y val="0.182406729236192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rgbClr val="E8711E"/>
          </a:solidFill>
          <a:ln w="19050">
            <a:solidFill>
              <a:schemeClr val="lt1"/>
            </a:solidFill>
          </a:ln>
          <a:effectLst/>
        </c:spPr>
        <c:dLbl>
          <c:idx val="0"/>
          <c:layout>
            <c:manualLayout>
              <c:x val="9.3284011078203014E-2"/>
              <c:y val="-0.137188844167150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rgbClr val="00B0F0"/>
          </a:solidFill>
          <a:ln w="19050">
            <a:solidFill>
              <a:schemeClr val="lt1"/>
            </a:solidFill>
          </a:ln>
          <a:effectLst/>
        </c:spPr>
        <c:dLbl>
          <c:idx val="0"/>
          <c:layout>
            <c:manualLayout>
              <c:x val="0.17183719537515907"/>
              <c:y val="-0.119956989770565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rgbClr val="00B050"/>
          </a:solidFill>
          <a:ln w="19050">
            <a:solidFill>
              <a:schemeClr val="lt1"/>
            </a:solidFill>
          </a:ln>
          <a:effectLst/>
        </c:spPr>
        <c:dLbl>
          <c:idx val="0"/>
          <c:layout>
            <c:manualLayout>
              <c:x val="0.18846959646466555"/>
              <c:y val="7.29801791624015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4350047306165767"/>
                  <c:h val="0.33411234271339652"/>
                </c:manualLayout>
              </c15:layout>
            </c:ext>
          </c:extLst>
        </c:dLbl>
      </c:pivotFmt>
    </c:pivotFmts>
    <c:plotArea>
      <c:layout>
        <c:manualLayout>
          <c:layoutTarget val="inner"/>
          <c:xMode val="edge"/>
          <c:yMode val="edge"/>
          <c:x val="0.18554810163942304"/>
          <c:y val="0.10607786199106667"/>
          <c:w val="0.54173351739806375"/>
          <c:h val="0.78784427601786666"/>
        </c:manualLayout>
      </c:layout>
      <c:doughnutChart>
        <c:varyColors val="1"/>
        <c:ser>
          <c:idx val="0"/>
          <c:order val="0"/>
          <c:tx>
            <c:strRef>
              <c:f>Workings!$B$81</c:f>
              <c:strCache>
                <c:ptCount val="1"/>
                <c:pt idx="0">
                  <c:v>Total</c:v>
                </c:pt>
              </c:strCache>
            </c:strRef>
          </c:tx>
          <c:dPt>
            <c:idx val="0"/>
            <c:bubble3D val="0"/>
            <c:spPr>
              <a:solidFill>
                <a:srgbClr val="4472C4"/>
              </a:solidFill>
              <a:ln w="19050">
                <a:solidFill>
                  <a:schemeClr val="lt1"/>
                </a:solidFill>
              </a:ln>
              <a:effectLst/>
            </c:spPr>
            <c:extLst>
              <c:ext xmlns:c16="http://schemas.microsoft.com/office/drawing/2014/chart" uri="{C3380CC4-5D6E-409C-BE32-E72D297353CC}">
                <c16:uniqueId val="{00000001-C57C-4472-8E30-8A6B1F53650E}"/>
              </c:ext>
            </c:extLst>
          </c:dPt>
          <c:dPt>
            <c:idx val="1"/>
            <c:bubble3D val="0"/>
            <c:spPr>
              <a:solidFill>
                <a:srgbClr val="E8711E"/>
              </a:solidFill>
              <a:ln w="19050">
                <a:solidFill>
                  <a:schemeClr val="lt1"/>
                </a:solidFill>
              </a:ln>
              <a:effectLst/>
            </c:spPr>
            <c:extLst>
              <c:ext xmlns:c16="http://schemas.microsoft.com/office/drawing/2014/chart" uri="{C3380CC4-5D6E-409C-BE32-E72D297353CC}">
                <c16:uniqueId val="{00000003-C57C-4472-8E30-8A6B1F53650E}"/>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C57C-4472-8E30-8A6B1F53650E}"/>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C57C-4472-8E30-8A6B1F53650E}"/>
              </c:ext>
            </c:extLst>
          </c:dPt>
          <c:dLbls>
            <c:dLbl>
              <c:idx val="0"/>
              <c:layout>
                <c:manualLayout>
                  <c:x val="-0.10457955963608495"/>
                  <c:y val="0.18240672923619278"/>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57C-4472-8E30-8A6B1F53650E}"/>
                </c:ext>
              </c:extLst>
            </c:dLbl>
            <c:dLbl>
              <c:idx val="1"/>
              <c:layout>
                <c:manualLayout>
                  <c:x val="9.3284011078203014E-2"/>
                  <c:y val="-0.13718884416715096"/>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57C-4472-8E30-8A6B1F53650E}"/>
                </c:ext>
              </c:extLst>
            </c:dLbl>
            <c:dLbl>
              <c:idx val="2"/>
              <c:layout>
                <c:manualLayout>
                  <c:x val="0.17183719537515907"/>
                  <c:y val="-0.1199569897705653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57C-4472-8E30-8A6B1F53650E}"/>
                </c:ext>
              </c:extLst>
            </c:dLbl>
            <c:dLbl>
              <c:idx val="3"/>
              <c:layout>
                <c:manualLayout>
                  <c:x val="0.18846959646466555"/>
                  <c:y val="7.2980179162401515E-2"/>
                </c:manualLayout>
              </c:layout>
              <c:showLegendKey val="0"/>
              <c:showVal val="1"/>
              <c:showCatName val="1"/>
              <c:showSerName val="0"/>
              <c:showPercent val="1"/>
              <c:showBubbleSize val="0"/>
              <c:extLst>
                <c:ext xmlns:c15="http://schemas.microsoft.com/office/drawing/2012/chart" uri="{CE6537A1-D6FC-4f65-9D91-7224C49458BB}">
                  <c15:layout>
                    <c:manualLayout>
                      <c:w val="0.24350047306165767"/>
                      <c:h val="0.33411234271339652"/>
                    </c:manualLayout>
                  </c15:layout>
                </c:ext>
                <c:ext xmlns:c16="http://schemas.microsoft.com/office/drawing/2014/chart" uri="{C3380CC4-5D6E-409C-BE32-E72D297353CC}">
                  <c16:uniqueId val="{00000007-C57C-4472-8E30-8A6B1F5365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Workings!$A$82:$A$86</c:f>
              <c:strCache>
                <c:ptCount val="4"/>
                <c:pt idx="0">
                  <c:v>Female</c:v>
                </c:pt>
                <c:pt idx="1">
                  <c:v>Male</c:v>
                </c:pt>
                <c:pt idx="2">
                  <c:v>Other</c:v>
                </c:pt>
                <c:pt idx="3">
                  <c:v>Unknown</c:v>
                </c:pt>
              </c:strCache>
            </c:strRef>
          </c:cat>
          <c:val>
            <c:numRef>
              <c:f>Workings!$B$82:$B$86</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C57C-4472-8E30-8A6B1F53650E}"/>
            </c:ext>
          </c:extLst>
        </c:ser>
        <c:dLbls>
          <c:showLegendKey val="0"/>
          <c:showVal val="1"/>
          <c:showCatName val="0"/>
          <c:showSerName val="0"/>
          <c:showPercent val="0"/>
          <c:showBubbleSize val="0"/>
          <c:showLeaderLines val="1"/>
        </c:dLbls>
        <c:firstSliceAng val="15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(Recovered) 2_121920.xlsx]Workings!Pivot Duration</c:name>
    <c:fmtId val="1"/>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Order</a:t>
            </a:r>
            <a:r>
              <a:rPr lang="en-US" baseline="0">
                <a:solidFill>
                  <a:schemeClr val="tx1">
                    <a:lumMod val="95000"/>
                    <a:lumOff val="5000"/>
                  </a:schemeClr>
                </a:solidFill>
              </a:rPr>
              <a:t> Delivery Time</a:t>
            </a:r>
            <a:endParaRPr lang="en-US">
              <a:solidFill>
                <a:schemeClr val="tx1">
                  <a:lumMod val="95000"/>
                  <a:lumOff val="5000"/>
                </a:schemeClr>
              </a:solidFill>
            </a:endParaRPr>
          </a:p>
        </c:rich>
      </c:tx>
      <c:overlay val="0"/>
      <c:spPr>
        <a:solidFill>
          <a:srgbClr val="F98435"/>
        </a:solid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Workings!$B$154</c:f>
              <c:strCache>
                <c:ptCount val="1"/>
                <c:pt idx="0">
                  <c:v>Total</c:v>
                </c:pt>
              </c:strCache>
            </c:strRef>
          </c:tx>
          <c:spPr>
            <a:solidFill>
              <a:srgbClr val="4472C4"/>
            </a:solidFill>
            <a:ln>
              <a:noFill/>
            </a:ln>
            <a:effectLst/>
          </c:spPr>
          <c:invertIfNegative val="0"/>
          <c:cat>
            <c:strRef>
              <c:f>Workings!$A$155:$A$170</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Workings!$B$155:$B$170</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18A0-4FF1-AE16-86A518B3654A}"/>
            </c:ext>
          </c:extLst>
        </c:ser>
        <c:dLbls>
          <c:showLegendKey val="0"/>
          <c:showVal val="0"/>
          <c:showCatName val="0"/>
          <c:showSerName val="0"/>
          <c:showPercent val="0"/>
          <c:showBubbleSize val="0"/>
        </c:dLbls>
        <c:gapWidth val="14"/>
        <c:overlap val="-27"/>
        <c:axId val="839302720"/>
        <c:axId val="839316032"/>
      </c:barChart>
      <c:catAx>
        <c:axId val="83930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316032"/>
        <c:crosses val="autoZero"/>
        <c:auto val="1"/>
        <c:lblAlgn val="ctr"/>
        <c:lblOffset val="100"/>
        <c:noMultiLvlLbl val="0"/>
      </c:catAx>
      <c:valAx>
        <c:axId val="839316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30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(Recovered) 2_121920.xlsx]Workings!Pivot Rating</c:name>
    <c:fmtId val="1"/>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Customer Satisfaction</a:t>
            </a:r>
            <a:r>
              <a:rPr lang="en-US" baseline="0">
                <a:solidFill>
                  <a:schemeClr val="tx1">
                    <a:lumMod val="95000"/>
                    <a:lumOff val="5000"/>
                  </a:schemeClr>
                </a:solidFill>
              </a:rPr>
              <a:t> by Month</a:t>
            </a:r>
            <a:endParaRPr lang="en-US">
              <a:solidFill>
                <a:schemeClr val="tx1">
                  <a:lumMod val="95000"/>
                  <a:lumOff val="5000"/>
                </a:schemeClr>
              </a:solidFill>
            </a:endParaRPr>
          </a:p>
        </c:rich>
      </c:tx>
      <c:overlay val="0"/>
      <c:spPr>
        <a:solidFill>
          <a:srgbClr val="F98435"/>
        </a:solid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8711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Workings!$B$175:$B$176</c:f>
              <c:strCache>
                <c:ptCount val="1"/>
                <c:pt idx="0">
                  <c:v>1</c:v>
                </c:pt>
              </c:strCache>
            </c:strRef>
          </c:tx>
          <c:spPr>
            <a:solidFill>
              <a:schemeClr val="accent1"/>
            </a:solidFill>
            <a:ln>
              <a:noFill/>
            </a:ln>
            <a:effectLst/>
          </c:spPr>
          <c:invertIfNegative val="0"/>
          <c:cat>
            <c:strRef>
              <c:f>Workings!$A$177:$A$180</c:f>
              <c:strCache>
                <c:ptCount val="3"/>
                <c:pt idx="0">
                  <c:v>Jan</c:v>
                </c:pt>
                <c:pt idx="1">
                  <c:v>Feb</c:v>
                </c:pt>
                <c:pt idx="2">
                  <c:v>Mar</c:v>
                </c:pt>
              </c:strCache>
            </c:strRef>
          </c:cat>
          <c:val>
            <c:numRef>
              <c:f>Workings!$B$177:$B$180</c:f>
              <c:numCache>
                <c:formatCode>General</c:formatCode>
                <c:ptCount val="3"/>
                <c:pt idx="0">
                  <c:v>7</c:v>
                </c:pt>
                <c:pt idx="1">
                  <c:v>8</c:v>
                </c:pt>
                <c:pt idx="2">
                  <c:v>6</c:v>
                </c:pt>
              </c:numCache>
            </c:numRef>
          </c:val>
          <c:extLst>
            <c:ext xmlns:c16="http://schemas.microsoft.com/office/drawing/2014/chart" uri="{C3380CC4-5D6E-409C-BE32-E72D297353CC}">
              <c16:uniqueId val="{00000000-2A26-4B75-BA7A-9BB6BED83FCC}"/>
            </c:ext>
          </c:extLst>
        </c:ser>
        <c:ser>
          <c:idx val="1"/>
          <c:order val="1"/>
          <c:tx>
            <c:strRef>
              <c:f>Workings!$C$175:$C$176</c:f>
              <c:strCache>
                <c:ptCount val="1"/>
                <c:pt idx="0">
                  <c:v>2</c:v>
                </c:pt>
              </c:strCache>
            </c:strRef>
          </c:tx>
          <c:spPr>
            <a:solidFill>
              <a:srgbClr val="5B9BD5"/>
            </a:solidFill>
            <a:ln>
              <a:noFill/>
            </a:ln>
            <a:effectLst/>
          </c:spPr>
          <c:invertIfNegative val="0"/>
          <c:cat>
            <c:strRef>
              <c:f>Workings!$A$177:$A$180</c:f>
              <c:strCache>
                <c:ptCount val="3"/>
                <c:pt idx="0">
                  <c:v>Jan</c:v>
                </c:pt>
                <c:pt idx="1">
                  <c:v>Feb</c:v>
                </c:pt>
                <c:pt idx="2">
                  <c:v>Mar</c:v>
                </c:pt>
              </c:strCache>
            </c:strRef>
          </c:cat>
          <c:val>
            <c:numRef>
              <c:f>Workings!$C$177:$C$180</c:f>
              <c:numCache>
                <c:formatCode>General</c:formatCode>
                <c:ptCount val="3"/>
                <c:pt idx="0">
                  <c:v>37</c:v>
                </c:pt>
                <c:pt idx="1">
                  <c:v>51</c:v>
                </c:pt>
                <c:pt idx="2">
                  <c:v>39</c:v>
                </c:pt>
              </c:numCache>
            </c:numRef>
          </c:val>
          <c:extLst>
            <c:ext xmlns:c16="http://schemas.microsoft.com/office/drawing/2014/chart" uri="{C3380CC4-5D6E-409C-BE32-E72D297353CC}">
              <c16:uniqueId val="{00000001-2A26-4B75-BA7A-9BB6BED83FCC}"/>
            </c:ext>
          </c:extLst>
        </c:ser>
        <c:ser>
          <c:idx val="2"/>
          <c:order val="2"/>
          <c:tx>
            <c:strRef>
              <c:f>Workings!$D$175:$D$176</c:f>
              <c:strCache>
                <c:ptCount val="1"/>
                <c:pt idx="0">
                  <c:v>3</c:v>
                </c:pt>
              </c:strCache>
            </c:strRef>
          </c:tx>
          <c:spPr>
            <a:solidFill>
              <a:srgbClr val="00B050"/>
            </a:solidFill>
            <a:ln>
              <a:noFill/>
            </a:ln>
            <a:effectLst/>
          </c:spPr>
          <c:invertIfNegative val="0"/>
          <c:cat>
            <c:strRef>
              <c:f>Workings!$A$177:$A$180</c:f>
              <c:strCache>
                <c:ptCount val="3"/>
                <c:pt idx="0">
                  <c:v>Jan</c:v>
                </c:pt>
                <c:pt idx="1">
                  <c:v>Feb</c:v>
                </c:pt>
                <c:pt idx="2">
                  <c:v>Mar</c:v>
                </c:pt>
              </c:strCache>
            </c:strRef>
          </c:cat>
          <c:val>
            <c:numRef>
              <c:f>Workings!$D$177:$D$180</c:f>
              <c:numCache>
                <c:formatCode>General</c:formatCode>
                <c:ptCount val="3"/>
                <c:pt idx="0">
                  <c:v>150</c:v>
                </c:pt>
                <c:pt idx="1">
                  <c:v>182</c:v>
                </c:pt>
                <c:pt idx="2">
                  <c:v>163</c:v>
                </c:pt>
              </c:numCache>
            </c:numRef>
          </c:val>
          <c:extLst>
            <c:ext xmlns:c16="http://schemas.microsoft.com/office/drawing/2014/chart" uri="{C3380CC4-5D6E-409C-BE32-E72D297353CC}">
              <c16:uniqueId val="{00000002-2A26-4B75-BA7A-9BB6BED83FCC}"/>
            </c:ext>
          </c:extLst>
        </c:ser>
        <c:ser>
          <c:idx val="3"/>
          <c:order val="3"/>
          <c:tx>
            <c:strRef>
              <c:f>Workings!$E$175:$E$176</c:f>
              <c:strCache>
                <c:ptCount val="1"/>
                <c:pt idx="0">
                  <c:v>4</c:v>
                </c:pt>
              </c:strCache>
            </c:strRef>
          </c:tx>
          <c:spPr>
            <a:solidFill>
              <a:srgbClr val="4472C4"/>
            </a:solidFill>
            <a:ln>
              <a:noFill/>
            </a:ln>
            <a:effectLst/>
          </c:spPr>
          <c:invertIfNegative val="0"/>
          <c:cat>
            <c:strRef>
              <c:f>Workings!$A$177:$A$180</c:f>
              <c:strCache>
                <c:ptCount val="3"/>
                <c:pt idx="0">
                  <c:v>Jan</c:v>
                </c:pt>
                <c:pt idx="1">
                  <c:v>Feb</c:v>
                </c:pt>
                <c:pt idx="2">
                  <c:v>Mar</c:v>
                </c:pt>
              </c:strCache>
            </c:strRef>
          </c:cat>
          <c:val>
            <c:numRef>
              <c:f>Workings!$E$177:$E$180</c:f>
              <c:numCache>
                <c:formatCode>General</c:formatCode>
                <c:ptCount val="3"/>
                <c:pt idx="0">
                  <c:v>312</c:v>
                </c:pt>
                <c:pt idx="1">
                  <c:v>373</c:v>
                </c:pt>
                <c:pt idx="2">
                  <c:v>351</c:v>
                </c:pt>
              </c:numCache>
            </c:numRef>
          </c:val>
          <c:extLst>
            <c:ext xmlns:c16="http://schemas.microsoft.com/office/drawing/2014/chart" uri="{C3380CC4-5D6E-409C-BE32-E72D297353CC}">
              <c16:uniqueId val="{00000004-2A26-4B75-BA7A-9BB6BED83FCC}"/>
            </c:ext>
          </c:extLst>
        </c:ser>
        <c:ser>
          <c:idx val="4"/>
          <c:order val="4"/>
          <c:tx>
            <c:strRef>
              <c:f>Workings!$F$175:$F$176</c:f>
              <c:strCache>
                <c:ptCount val="1"/>
                <c:pt idx="0">
                  <c:v>5</c:v>
                </c:pt>
              </c:strCache>
            </c:strRef>
          </c:tx>
          <c:spPr>
            <a:solidFill>
              <a:srgbClr val="E8711E"/>
            </a:solidFill>
            <a:ln>
              <a:noFill/>
            </a:ln>
            <a:effectLst/>
          </c:spPr>
          <c:invertIfNegative val="0"/>
          <c:cat>
            <c:strRef>
              <c:f>Workings!$A$177:$A$180</c:f>
              <c:strCache>
                <c:ptCount val="3"/>
                <c:pt idx="0">
                  <c:v>Jan</c:v>
                </c:pt>
                <c:pt idx="1">
                  <c:v>Feb</c:v>
                </c:pt>
                <c:pt idx="2">
                  <c:v>Mar</c:v>
                </c:pt>
              </c:strCache>
            </c:strRef>
          </c:cat>
          <c:val>
            <c:numRef>
              <c:f>Workings!$F$177:$F$180</c:f>
              <c:numCache>
                <c:formatCode>General</c:formatCode>
                <c:ptCount val="3"/>
                <c:pt idx="0">
                  <c:v>224</c:v>
                </c:pt>
                <c:pt idx="1">
                  <c:v>247</c:v>
                </c:pt>
                <c:pt idx="2">
                  <c:v>250</c:v>
                </c:pt>
              </c:numCache>
            </c:numRef>
          </c:val>
          <c:extLst>
            <c:ext xmlns:c16="http://schemas.microsoft.com/office/drawing/2014/chart" uri="{C3380CC4-5D6E-409C-BE32-E72D297353CC}">
              <c16:uniqueId val="{00000005-2A26-4B75-BA7A-9BB6BED83FCC}"/>
            </c:ext>
          </c:extLst>
        </c:ser>
        <c:dLbls>
          <c:showLegendKey val="0"/>
          <c:showVal val="0"/>
          <c:showCatName val="0"/>
          <c:showSerName val="0"/>
          <c:showPercent val="0"/>
          <c:showBubbleSize val="0"/>
        </c:dLbls>
        <c:gapWidth val="219"/>
        <c:overlap val="-27"/>
        <c:axId val="937440512"/>
        <c:axId val="937424288"/>
      </c:barChart>
      <c:catAx>
        <c:axId val="93744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424288"/>
        <c:crosses val="autoZero"/>
        <c:auto val="1"/>
        <c:lblAlgn val="ctr"/>
        <c:lblOffset val="100"/>
        <c:noMultiLvlLbl val="0"/>
      </c:catAx>
      <c:valAx>
        <c:axId val="937424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44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Geographic Sales &amp; Quantity Distribution</cx:v>
        </cx:txData>
      </cx:tx>
      <cx:spPr>
        <a:solidFill>
          <a:srgbClr val="F98435"/>
        </a:solidFill>
      </cx:spPr>
      <cx:txPr>
        <a:bodyPr spcFirstLastPara="1" vertOverflow="ellipsis" horzOverflow="overflow" wrap="square" lIns="0" tIns="0" rIns="0" bIns="0" anchor="ctr" anchorCtr="1"/>
        <a:lstStyle/>
        <a:p>
          <a:pPr algn="ctr" rtl="0">
            <a:defRPr>
              <a:solidFill>
                <a:schemeClr val="tx1">
                  <a:lumMod val="85000"/>
                  <a:lumOff val="15000"/>
                </a:schemeClr>
              </a:solidFill>
            </a:defRPr>
          </a:pPr>
          <a:r>
            <a:rPr lang="en-US" sz="1400" b="0" i="0" u="none" strike="noStrike" baseline="0">
              <a:solidFill>
                <a:schemeClr val="tx1">
                  <a:lumMod val="85000"/>
                  <a:lumOff val="15000"/>
                </a:schemeClr>
              </a:solidFill>
              <a:latin typeface="Aptos Narrow" panose="02110004020202020204"/>
            </a:rPr>
            <a:t>Geographic Sales &amp; Quantity Distribution</a:t>
          </a:r>
        </a:p>
      </cx:txPr>
    </cx:title>
    <cx:plotArea>
      <cx:plotAreaRegion>
        <cx:series layoutId="regionMap" uniqueId="{879B5684-A172-4635-8D16-2D36C9160E47}">
          <cx:spPr>
            <a:solidFill>
              <a:schemeClr val="bg2">
                <a:lumMod val="75000"/>
              </a:schemeClr>
            </a:solidFill>
            <a:ln>
              <a:solidFill>
                <a:schemeClr val="tx1"/>
              </a:solidFill>
            </a:ln>
          </cx:spPr>
          <cx:dataId val="0"/>
          <cx:layoutPr>
            <cx:regionLabelLayout val="bestFitOnly"/>
            <cx:geography cultureLanguage="en-US" cultureRegion="NG" attribution="Powered by Bing">
              <cx:geoCache provider="{E9337A44-BEBE-4D9F-B70C-5C5E7DAFC167}">
                <cx:binary>7H1pb9tItvZfCfL5pbtWVtVgeoApkpK823H2L4TiONxZJIv7r79HdpKJZKWvDLTx4hqjNNBx6EOV
+NTZnnPq6J+34z9u87t182os8tL+43b883XcttU//vjD3sZ3xdoeFcltY6z51h7dmuIP8+1bcnv3
x9dmPSRl9AdBmP1xG6+b9m58/a9/wt2iO3NmbtdtYsrr7q6Z3tzZLm/tX1zbe+nV+muRlH5i2ya5
bfGfr711nnwzTZmsX29fI3++vlmXr/zkLjKvPNOV7fT61V3ZJu30dqru/ny9dSfy+tUfu2/4aHGv
clh/230FYUqOBOaCKyJfv8pNGX3/dwdjcYRdKrGkXN2/frzrxboAwSet6X5F669fmztr4dPd/3/f
LbY+CjyTfx/yLG43z2QDRASY/Pn6XZm0d19f3bTr9s6+fpVYc//Qmskzmw/87ub+Cf2xDeW//rnz
D/DMdv7lF7R3H/D/dmkb0P8F7H/nVVLePQPS8shVlLuYswc8HwGujgS8OBdsG+rDV7Qf5x35A0De
kXhhCIOqr/u7Zm2fBWSsXIKJEOj+BfZgS6sJOnIlUoQydxvkJy1qP86Pb3EA1I+FXhjaF3f9+uv6
GaBWR8QlQlLEH6Cmu1DjI4QVA3XfgfrwFe3HeUf+AJB3JF4Ywv8u1l9N8wwIyyPKhIuIBIO8q8VC
EKIoUvfY421dPnxB+wHekT8A4B2JFwawZyDA2KiwbZ9DkSXoqVSKUrHfMRNyhCmTXGBw2Q+R30MM
9tR17Ud7710OwHyv3AtD/vyu/Gpuk/I5Im91hDeRmBD4wX6DEm8rOT0iSLiUKrEN+5MWtR/zx7c4
APDHQi8M7at8fXv3PIZcKqEwkw/mGu1z1YJRjMiDBVDbgB++rv1o78gfAPWOxAvD+WJdPY8dJ0oQ
hsl3hX6EMjkiUjHEJUTlv9rxQ9ezH90t6QOw3fr9F4as7tr2OXJndcQx5Ezod7kzwUecMxcD9tvQ
Hryg/dhuix8A7rbA/wF0/3qJW594Q5wAI/Rb7uup1Jc4IoCZq/B3q7zrgLE6crEgAjP8YJZ/vPf3
6OsXxu73a9qPK2S9+9m+h4/41w/l/xyldba29q78+xMkho4Y0FlSkYcI6rFfBbYDLjPp7oRQh69o
P3478lvbdD9vuSPxwhBe5nflMwBMwe4SxLEiQGFsB8eQEymJBeU7vvTglewHdlv8AFy3BV4YrJ7J
O/scoRJwVxsSEsjoB819RFOSI4QkdYG+2jG6B69oP747n+gAgHckXhjCZ8a++ncZ3eV3z8FGsyPE
CaGSfS8hPSo5yCPCKJBc+IGu3gmenri4/Yjvu8kBsO8Te2HY+3f5qwsDpc1n8Mz4SHAGHOWG2Nq8
wP9u228GFoBR4ZId+/2kRe1H/PEtDsD7sdALQ/t8/RVqTn8/1NQ9gooT+GHx3ZbvhtFQckIu8JcQ
RW/b8sNXtB/nHfkDQN6ReGkIA01919xNz4KxK1whKPpeVnxEbeAjl7vMpe6OOp8/YU2/QXn3Dofg
vCvzwpA+hd6U5/DX7hGFyjFhP/w1KOyW1d5kxHANWI6dfOrgBe3HeFv8AIC3BV4Yuv/OocPmWUrG
4kgiJol06W+8MjCUAD945W1L/YQV7Qd49wYHQLwr8sJAPjdQWPr7LTXDR0whBTrqPkD8KHFGR5wB
76Uw2PBfSeiDF7Qf4W3xA/DdFnhh6Ab5K9800Bbw9yNM5ZEgyuXkuw6rXSMN8RYUkqHYxN19zQFP
Wtp+rB/f4gC8Hwu9MMyPy+k54HbBZhNgwcT3tr1duLEEJky5rpQ73QGHrmc/xlvSB8C79fsvDNlN
r6u+a8p18/V5WgHYEQa2C1pt6QMdthteQy8ugcIh1JC3bfbTF7Yf7N/c5wDYfyP5wjbA+bpJnoPe
FkdKMOi+Rt9t+S4/Bp0/HLaFK9SObh+8oP14b4sfAPO2wEtD9665hY5x72/vrRdHFLnKle53EuwR
vFC/klgB+8n2eerzg9f1G5S35Q+BeVviheG86oovJv/a/v1IQyFSSBcz9rhOBabdxRRB0vUQj28b
8KcsaT/Ij+5wAMyPZF4Y0BtrVZlnKVwJ0FgGVKf8XnLeJTuBIVEuE5IItA/vp6xsP96P7nAA3o9k
XhjeD0EInPt5pvibk033z/ca1m78Da0/DBEE2r/TZv+0Ve1He889DsB7j9QLQ/wUovG/34xTfkTF
fZfXQ+aM9mj3plUbA0u6bccPXc9+lLekD8B36/dfGLJQMHgOLYZCMxxs+xmJPapHgt0mREKXLtpJ
sQ5dz35kt6QPQHbr918YspfNGhoNnkFrKfBdQHdJ93cHG4H25nBUxt3o86+U5+Er2o/ujvwB+O5I
vDCEb9a3DZQuymfxw/KICzjAyuD04v3rUUfBhvne/AEDvnntYP20te3He889DsB8j9QLw/0q7+Ak
/TNoNgTT1BVAdX9vwH2EOTqC5k6odtCdNrHDV7Qf6R35A1DekXhhCC/g5P6z+GX3SFDsco6/I7wb
XYNfFpLDH7yD8OEr2o/wjvwBCO9IvDCEj4vqrknW+TNoMYyYgPESfHO+6f71iN3mRxy2AMdw1nXz
2rHcT1nZfqwf3eEAtB/JvDC83yQwgsAmX58nIFMScUq/Z1GP0yggRmFAAXSR7ATbT1rUfqwf3+IA
sB8LvTC0z9bZcwCtjqCHE3p34SD6/WtPG7fCHLtS7HAjh65nP8Zb0gfAu/X7LwzZDdezgMzqNrG3
5kd683cMBhLgeBESUFZ+iLd3PTPUphiMR+KS7ijx1ooOcSf7Qd5/mwPQ3i/4/wP2308Q+jmSyV+3
6+B+mNMvQ4T++ur944IxVDuivz8X97OZ6/jrn6/BB1MOU61+OSy3udFWXnzfXfdjL20L3a1t++dr
mA6ljhiULhXDGMbNIAX3G+4eLkH/CYVzHdDyK6AnlEDcVkKTeQyzplwgz+ElNjzMpoEFhKzp7i9x
2G1Q54SGcaBpNqfufk7bujL5FJny5zP5/vOrsiuuTFK29s/XGzdSPfzaZrUcQUJA4X4wHQPO91Gw
UXD9dv1m0zUJT+D/4ZC2U1YJfhHPDm3eERXnRemVU4H9OHY6oWVqSXJuZUY/VsYd6yUa8mvkUE8h
mhd+k4xt4rUCha6epGvr48I0sz+JnnLdcZvSwNrwZKD5EGuTmzm7NkX2oRqKNy6OP48DaT1B6cXk
lrXPSp4EsxgTHdXxFyNiVxNUEh8qg7GekOONbbdUZZp5Bckmf6D2Jsbhx0qVVXxqUDpPfh4X0fg+
y431iqSblz1vssr4MdzV9Uw3teU5cyZ3NcXpKmFJuCBhPgSoLRMdln31haTz56hPXa91i9DDVbmw
YzJ4pkhXdeqskqRu9diUXxBt0mXuhNSfWfEuiZxbcl6V07lhmT8CdeqpfM68MA/f4lpeFwYFauqX
6XyNW/fd0NsProwCVja1Ov91CtcWxLemmpokir/PVPv547/emgL+ux/L9Z9/3Ixk+89PyzuzOZtp
d39po4g/f+s/o702G//nnK8ddXqY6/YbXfvLi09TRNi6Pwe2PVLETeGm3KOIG4v7XRHBDIOiQROB
hAEhjGx67H8qIj1CcPiGuFC52BxKh0s/NBEmy8ABLNAM0BEuEIWQ+4cmAlkGcymgiRBmhUEjMFz6
8RC2YAIDtEcTyaarcFsVQdmhPYmRTU8xVEjBHPyqihKyO9d10HxJi/h9TfPWy6ep1GVV1z6ei4Ws
3SUezDGfHK8f1fvCTJFG3Wj8QrlvU8nOqWmPizQN6l6G1heiKFWQxEP1LjcKB4ag68gpm+N2SCLl
l3nqfCG5KYguMe3jUxH2xejxEoXazUW6sm2aBEWXdteorKhvOvdmyNzZk/10qXiO9VhSv4rnTNej
eTtNznvDy3fU8E4jMuceaoZj15ku40SewPFEf4rtbTNTzbNy0FGK3lQpuVLSeU96W/pxS7EO2+y8
r5rM68Ly29TMqY4JXoRMRD5pChpwMl62DV7XeTr6vKedP5n4az0Us9+i0HpqlEGE2sGrTIwXGTTq
h5V22HQ8jMbx4iE6xZ24pFnkdTg+nTvhIRwLry/iSmPSnzZ99SFG6pPDhNEyp9eZsUHLi/dZMs+6
Sed3bTMs+g5XFzgcgqIy38Dx+32TvFFd1eueFmdVVBzjYnqf2e7UMf031PDJR84kPEJpp+ek77Xj
ZK2mebaqrVN5NHY9ZzLEDwnqPF7F8pJM1eTNU515fTvkOjaD16om9U2KEl2gyQlkls1eOVbYc5G4
jafopKR4WrZhirQdsVdKcqxcuuq65jLMm9KjKJnO47qpK126blcsW54nmeZ5cUzbxrOWn7djVmhq
CPHisl8wFH7JaKqzfHQ060Y/Lcd15JpMwz3hLKAqfTMOeoh7V8fUWaMmSr2mb6nGGfWwVXdTlslz
CQ82kMh2C9LF7lk+0FWVls1NbEN2QdrCnGIS9ZEWKvXnplvF/Th71s1ZkPfCl0WBl6WTtIsc9v9F
l8ilcNixU9v3iPMV6sj7oW+xF8UW+a0l+IJWJD2rSlPpSLk4iHkx67BPHV2OKfMoc8LlhDG6qEZK
rhNixCrJ+qVi1WoaopMis6Eea7KGI5fcz8opuRSUDJ7ibDHJYtG1dvDxlOQeH8ovkzUL0icfTeTo
RLVZEMWAZ5pP+SVjrk7GYvmLUdtjJTY24D/uWsK5IQbWBkYTAtkHrU4YkoVfbURFxz7LHYUv8+Jd
xr5y7g/F8ZPfAg6hQUyCwEZCuRZiol/fYqqi0aaJyy4z+6XLrqbqbanO/uuj7oNF/pfB4nvg+7tm
/dhLbcR+eCloUnXpZmCZQDBYFG9aVX94KYgkuVAcU+hJh9MJ7i9eih0pBKMMFQN/5EIDzS9eCmYj
Yei2uT+ShO8vPcFLbe+/TbgooMIPqQzMeuAQM8ISft0cI3KivmnK7mKeMq9uOh1ZrhNZ6L/egxgB
X/3LRr9/Iw7T3BhsdETg/OOOM8R529duyqoL1HH1Lotrx/UKkU/zCsJm3ni0LTt2DKHlfJOSLNLQ
WsQ+pFJEnyqTypMmmtQpFkWlK9Hw8Sqe6Bs6md747hQJe9pnqaWf+7F25dUQ1n2/SLFhfs/6RLuZ
k18OaW5xkFSVIYEZ8q73pBOFqU5sWH5MskkFXM4N8m15y3M2XAhWgc53qMohaMzyaWHCkXp532kn
t2bQIhkMvUQ95tlZn6eXTZsNuqjK0YvVFdCBd9xWX8s6WoQWvRV9vSoHuuSOa5YEwadwqiRQLFyo
IuBjcRxOU+3TrEh822A/n+pvsYzfzBW7wKT61tH+JsdREQysST8J8GG+irLu3BFVc1Fb7p7kiTqv
VJEH80ysLh2HfmOpLVcsjNFF2dZVUPRhrZPc4QEZ5Dlt1YUtwfLNRPZ+lMxk2Zbi3YSdjzmJa3BL
MW9020ZE6I6SGLZFWAREoiSAE89wi5YscOY27xrW0tF3ZRm/sVHvBJ3ATaBGNH5keTLBUySm1Tbr
Gp85zeSnfH5Tu608iSHPuvjrPUZAyXa3GBzvgC6FzfFbCtt6ey/XU1NH0SibCxsU66HR+Ga+EdrR
tdeuylWIdexHQbEUQROUmp+wBQ3IKvSy/2Wvc9DoX9YhoQwHs2SBOgBiF8w79LBur4OPzdBFNjYX
IYlOpjwevSyqQ10NjGgpMgXhXEgXDXEbyFEkOo9EE55gwMjN6sKbxHShQjRpSebP7WjUwpKwWMBk
50Uo58+Ch1ynoRPrcB4/1HklNGnqyROQmfnjEBKN47TQPB6DiarlgEsvDWevZjLUM1erGaKyiZAl
hKtY120Dm0IxCJjKVToy31DWaIOqYBiiMxJmsc7KBOKhCoKUIrU+KPHFMCq6rKM005ZG76LBrDAt
zrtRIu3Iaoky2GhC1WzRofTmryHeNiLwZKENHKIfdzPYk8JJrh0jomYyqKoImwvUF+kSDEEOHx6V
npPEATcJ06yOwFz/zDquHlzxrwk12Y7iH7/nDprO2IumzyJ7UUf0Ew8bb+wi489WrFjRnZs6RDpy
m0qLuvZ4blvNWTmdQeATa+nwM5PIjyixte6t8y3M2AKi/3Ni3GsUzrc8qj8XQ1L7dVlXp/cL/06s
fF/5AzXwa373a7r3MvPGjY/6ieCjvPFmMwareeySN1I/XPKmbw0mG0FfG+X4gaf54ZLhEpRVYZAw
sDvQ6yTBhvxIHBVwO5BkwglCcMfQUAEb4UfiCOeSYKow8MCuwBS4nCdROGA1twwI+EoBdhHoIAIs
I3BCaGeb96Qkbe2o6ZK7yi6Qk5eBZchmOqMyrE8lSkeu6547jsfDsjofhu4GFXzJZdZr28ydTmLE
z8ZyhG2XklJ3lp3AGQsECSi1C4LB+rsGFHfs6+qaMNi9Lmud02KK+NKm5qOaceo5HN2WNUNgUObr
IoE0IRxM7jtVn2saictZ5r1Xmh72fyUyLzHDrLGMqO6SCBinglxn1MmP+2Lo/CLkAWpivnLEOGpO
Q3uMs66UWrkl95IqewN29G7I6hvTJ2dVMTR+g1znOB2d8SRSee7NraouUed+JoS8UTXcJcTZOST5
g89I59uxzP1wUOcQeeiaklyPUX+Nsvl90VXvVFqfJrH9DDTXMq0KWOw8EMio0jPGp1F3Az+fK/l1
VnnmTVNWexJyx0kYA4TPUHtO1xY6dseFIuFtFlOruTSLEFJJ4dTnJak+pkkBRo9WoZfERRMMfPoy
J+QCJw38IKs3SRxB/pzSWl5ZKp1p6XTlpKsY3i9EQw+RlwFSrAmaCuIDMS6QGiBOaE87rBa4me9m
KZOAi/60HCFWEo2Q2top1mVnK48VaeE1cqhWKlJGD4R9qLr8vHNo5NesCvqRcN9Od6FwA0Kq1iNh
tAYm4lsnwJKJjJd+y2azwKjNz2VOrsJmcrVwawSJXXUdN/Na1pBF4daJvDg3rtcwiBJL1xz3pH2f
pua6QwXSrlsNkGSni7leQBbaeDEtlx12r8ch+tCWldJtYU+jps393ikgh3Rhu0rLQ51kUeuLaUYr
kZdJYArLtInCNkhq9b4K06usiGqvtu5pOMjGn2o7+i1P1miaI6/tzVqMFDLe0YH4yQnnVdhC7De0
WRZUEQPXRTqkEZ4rf2QR01Eb3YhQwJ4ylKxIUZy3oRm9rsyUDscZMr9axJoydpo7wzWwmp9KQUNI
NwsZcOueFS5ZwZm01usjdTmW1vq5Q7gnYnyMImS1W2HwAkMY6zQfL83oHDembfQ0ZLdAvnxIC/ql
moardJOCQ1R3B0bqoiFRoZtBXvQDR0EqZaNDW/ZnarJXtKJfU5ZU2lbxiubTlyFVFyMpbxKgfLyC
z5/yugWSwOHRQvI0XVQRBPJt6H6ypr4mUZzrNM3u0hmi0ImEy7kbgLvIHVdbZnOtouTGxNEASp3k
gVNlH8rBfMBNPGm3Z+sGpZ9LoBcAfgjlKgMETGLoeWfk+7RxTnHUn0hVoACNPHDj6iQ0PPU603k9
5B06Vc6ntp6WIoXvlmiKXA/CDjqOxMd2Jq3OIqpWfSWUbwtVrAYMG6+2il2SzEjHr/mcfP2vW7xP
VTel5t+7xYcp1Y/d4n3HwQ8+FaaVwBF4wqHNH5oWNg7uF7eIiGDupvkfvCA4pB9eEVwfOA4K1bAN
hXGf3v7HK0KZmzM4vgkNiHCQSzyFTgWS9pFXBL+MYGYwTCUE6nTTc/5rqmoqPmd8Cu0lyulbyIFu
iOWnBbPX2VileuhZfBIhPRSYrdJpSv0iy8JF2LvAtI1dqFFdgYmewBmZyXmD2Dx7cSWwHlgLijDj
6xbVRDMF9yqFiYM8rfCxihqyMdM3jShTPZdGamzGc6dGRhdlWnnD3DueM/LQF61IgeEijm7aob5A
ZfEW6Ep+Lvq5PEsJbHbjklpHoY0CkoslsyrSsgci0I3jSM9N+TYuJQVbAukhauxxXXGI+NsosBkm
WrDibq7j9w3KHZ0TvjLUuXHmDDjW2p7P89xDeB99gZGPqa55N3mNGQLghlN8hiP6tYcveqFAOUYr
Y8LIH/qO6HruUngiWQ7U8Zj5ZLZVUE3pepiBaxvb5mvXDie4BaOuEHygpg+PbSOvJkg79VQGznzW
tfhkZPIzT91jKNcwrSaOfCX4WRM1V0kBXpr1stJmxJeQLeY6Ql2AwWd7LRVWt1Fkj0UDIQZkl29I
NLBr5cS3YNqubSm70zCnuZdgYH5JbYi2oscL6jZdUIWmDfIM+NMwG7BukDwjSXw8dZAC8Cb2U1m+
GTObajR3OKhpITxpJ7BnqhgDSDDqIKrb/iZqEfVCrD5Ejkm1SapljdITm4m3TM1r7ETlspgy3aI2
SPtY+YbEma5oE+sK2MUB9cRz2/oE2gQs4FcvFS1SLwtxia4q1pY3EKzBGzdWV5m5nFlzCzGSOSa9
cwUbfK1MYoCCjsqTOMMfm7o/b2LV+Y5kqZ8M9G4curteTNPCtmMFVlGGKzHyLwWoqDawFC9L3GyR
QOzHSWRPC4lO+jT9VM3qdK7x7HETL83gnNXTBK4DSbRoI0iCTRYOurH2ok1nUJ/+bRyFX+pYyFVJ
1ahTp7gJZxrrkXQfaiqOs7qNVpKbk2QyuTaTC4ULWx67EX/XxCg+6dvS1Vk638A9hzOISntvVMYE
LWRFXpnMie6bMltgtQFvpJOH3ND1ccg+WJM2Xj93HcQyZXliSTd6oyOEjqek1rmFgsk8WvMxQmG0
KuO4uUqh3qMHWvtjOeGF7Ir3kCSn4NDjxdinWFtiEgCoKoMwT7vAJlkC2t6SY5sYqFambuw3pDtG
s0THtYyPBQ7zpQtr0bVLJw1msdWysFc2bWdtauBP2nqVOq6fmrkFJ9qmXpU7GDSNtZ6DyKgnFgsg
YyAzZrjUAv7iMH6VRkob27/DY3rKm+7EUMjpWXPTC+CPZlssYyfMdFmEsy4zfNGP3bsEai06n+Kr
gnXXWTS8l9l4bov5I7DqQmd9CwbHpO/dnpywEa0ma9+20kW67kqIbYyhWuXjWWbrQKDGLIpJWsiN
x/OwgaJHOeXBOOBAkOqEdF2pJ9t9Yzz8nET4kpn0wumrqzoVEPj29ksYcoiJs/ljHlsKKbWUQZkW
n20hiA4nCGtaUr01MTsdncoEfQ67pg3VlL2nXcqhCOuWdKkkJ0FsxhPFE+P/14Xfu3AKLu/3Lvyh
zfaxC99I/cxswYVvvk4BxgqCw4UgdMuFMyWkUPClGuBcN3XP7z58M0sWLmHJBKcMOtOAdvnhw4Gh
3jDEigPnLGFoHX+SDxePfDiD7+4g0BQFaTSTUJLY9uEsjsqShhO+5DmE5ysonYEbknV2noa5x2Z7
LeP5Qwi5BqnbfDlE6gNQO1YXcai5iZYqzCH6zMZ3TVvFATXNtdsbKPWg0y6MPLcYj+lo/blb8dT5
ZKLoJIwWsYwucaqic5NY6bl8Ur7A86gz6w7aneavOVOpnjqeaRbKT4KFeSCp0y7Y0H6aDQSlBPIo
yvurZGhpUEPtCq6j07kfJw0VwHOGpKs7kb8vnW7SRYPuksp+G2byVQLLC2XWLPYaMt4Uchy8bGSf
hsn50MxQThrnGlyVK8EIqovSnaZTh2XQRjH1UIqFKtcYpr6AGjL8xX7jYQc83Qwl1x77mEB1MSUJ
EIghI34RA48H2cwtyj7y6Sq27gwW30v40KzcVMV+KNoG2iuGiXk8Q2Ohy5jS1q/oNBw3FtjgNU5Y
2AfJ2BQrqBXGUHktsxVUGGsIhBzIJthYBShsBo2QGgNLZL5AkCofU9I3ULJMml5P0dBex1MNheQ5
b657Q9MlFFFroOxzeFQ2jICcAGcf12kE0VNGdFG7H80MIdbQZUPAGibBs9ksaLuYa/AiRRCqkC9d
MUzXsDeZTrsU+SkkzLFxzQm0ZBQaOLXkPOQo9QfV2ZM46sVyhHKBLlneWb+GwEA7MQ2XQDh8I8rI
ZR3XnVdn4FSw63zpwYxqKLPUQd/nUOqsIdBLrGNWDLl3yjHQ9VIPEEpVsFUbxY5z1FkPcpz8StIo
C7DduD9nAjofl2zJchoFWW/5Usb1XTFiteRAAeu6cfIrMZvoBJ7cDATuUK4lNMRoMiVoFSIGzwY5
SJekzzTFbdb4WIgMtpNTQrZYRuBPEgiBuAXzK53mdBBmOI2GrlmqOAanB0M2llXr5gGAxyB35N8S
6J3QbIq/YYfRpYUacwzxUAEMiKpi3UjJvqACCsZxWMQQNidCR0UD6VfF+iCMBuzAKktwfWWXfwGd
i06alKDVMGdlG8SpnFEwUgmcCHTkpN9yaF5YSRgSf20wtDcQCTWZNpxRc0qrxGvQ+Bb8ZuTnKAfi
gKpsYfL6/eSoyENzCKGxGkxggSnnvf3kRPUHmM0GVV6phiAu5jHoC2N0ikQB8Wr6HpfmKq1t8nlS
M9DfcRSfTZ2UmlWQoM7dNbROSc3dPIHvcRH1sercuzjvP3coXAyRjCE+cb4NaWuhNyL5RJ30JGf5
x9EdxJJaKEsBdbExIuocHsVxl6lvBvQUCJsU+Av5Fkl+VeP4pILvFtRlYy4EYrfEVR/63IF8vhmv
2rmRx7JpVma2N3ZW7+rYDaElqYi9umuCPp0SnYTJtKQQvHhQhGcQdJSnQ2SBxYnfRNBgAJEE5Nld
TutTjub1mKa1HkqygjDmJBPhpaTDuTNCIAQcvwRNSRqIJkZg9pO81KxUyRcIgcvPbtamq4hCDUyw
jkIZXLETmArPNXON1YwXX5TlYLNQVwYura8gXLxxIYxbplmWnERlB6psoirIpkHCkpzWm5zWXVQj
2KTQDNF1Ad/CpS2oy3W3UZ4ZhaHfbN60rXgcpGGilshWyZs8aipfEttDCb3pgGN0I+3wUS0rhqdg
TmMJqh3lYGHEtBy7KQ1Cm1A/EQUL1Jy62m34NztFs5+x+Xhq00tU1qcFTc94NxYBHRBZUuhJCyiq
wkXGbLKIYfbIMg9D7DMIj1bEHbmfVlDcjPPZC5OELAkdwdRDULeKC9BaMgxG5yWNtBvnuZ4qsFKo
DvFyKOGT8qbnm1aGSHcpdpdOCrWRtIB2iRroJGA7c6bBTHUPtaT/kvgUIpPfhzqbPtazLrGvLr8k
tvrZ2/uffsyN+I+Y574fE6p9m1n4UkGJeSvm2ZyagxZtoCg2Qc/PmAfOO28q79Dhi6gEld10cf6I
edgRHIYFMQR9Y8D2w9eDPqHADvf5H/bOrElSW23Cv4gTgECIW5baq/eenu4bYlYhiR0ESL/+S8af
7VmOfcL3vnHY0e6pqSqQXmU+mXxnBkLLh1mADE8MKR/+P8aoHyeeASbECOGE3/IKS7x/FkH5P/xG
PGvjh9fYLCoG1g3QGnO9CI8t3QzJ75jP2mvduKvMesNVdGxKHe9W35fDLqrX60qwsGVRY8a9NbPM
qdMNEloeCx/9qcNszqaYXqEox+Ox4UV/1YPD+rTWhPbXDV9b82DUhmdu50U2Hxc3b7vF7Q6qrOt8
cAJ3v6693Q8t9/MFrv1+KIM+h0Uu94R22NFmeiejhu87VbuZbvmwFw6v/JwPrXT2TQ254bEZbPm1
ltO8I54osCoy7IZ5XJnAlyAv8V+51wU16J+gdskjxGSFo1i/9vcTbv9B9HZnHS9MnLV8TzrvXK7l
kEAp6RMVY0aZ+/0c0cuiqZdEk3Ojy/ldqMhTH4+Pg7IX3szvaFg3CaN9mygRXPohyHnQX8pSHj3O
1dEbtMj4Ss+LVyXMrVky83bvihWnr0Jg+DKnIXRfOylNWlURxZmsvx0ElYe4KS96dT+WVJlz2ZEo
DYrAQij3sCvBUDFxnJuWYneJscPzgMDsXddwj0HZnnvTnefC2a+1OkyO4Pu6CodMEJty2+X9Iq71
EpK8IAGkpbLbWzscC9BrZdhXe9lA2ueOOg62LWDhe8dmXGEylPUjsOVzSbB8Ocaln8ysxtQMfEld
n+7WDpfq6ok8CCYs06zJAA8c166/LgGwWk+W+FgnloaMzTh8y/AxDEybkDXQBxzkscEXMWbSAmdk
10zXnkIi4/FwnNVq9m3lfgmo/uzVIdsPFa3PJK4dEHEqFPddw+rMWwMRph7INSiBzilW0tuPzP2k
nPJoqXMzedHzVDr7qgSizMyQF4qlmngXW7P7uWl2scRsPBT56DlpTRd1WCp/z4AsZD3BBx820WF0
5xfP4kzdhTxDpeCbpfO1dYG6iWE9hZV7Z/GHzl5zrVmZ2MDDIOt88Efvi+OsxzawF1I4hzh6txZv
LbOnqLZsF0qeD1H43FugBvP6cdYg6yY2nYNaXULf3IE38VLiK2yeKn6tuP9KYhpnw+Jd4qDh6RLc
9uXB1EGZlhb7dQgjJSqdJ7aOz4Ga85UrUJIlvwvmzk8wnGPrnsV5atURLmKV2Nl71znlE2P1M47m
0CuXXcS7r3CUTn3snNbVxblA0lMv431FKw0cYcxI6+ljoIPpIVjkCe/vHEr3jWgHpyJSiSRuh3Ln
k07e1MGqDqtT+6/twqL3I2sF7HBjiud6KtTDWkAHW9fKwyRfDAkYvzLrHaUyWWGLLCejk9533GzB
bXGZu1Dc6MA6JqmgLI6p7uh2h2GqapM+nmAP9QX7aIFVZ2VI3zmjT/N5pDdF2RWQdwBnTkE84mIm
KpmNrs4GQE/K/fBhct0hIf3SZ3zuINh68jy35rHuQOjIBdrm3I18p+LgPaWPEt981mvHZtE6NidG
KnotuhIftgX0oGj7MeBSJrQ3JW65GN9R+OTyDvCDNGrPDb/I2rOJUcW9mtqPeo3BW8iMSWi9heM+
FhTfMuneRq1y28rDLKev0bDcVqGVO15AUCRL9epLvStp9AZpOtFshA7t9TjaLLJLJkihiYzMZSzC
zBgBGjHKZe9/rum07rseU00zv8444ECU6oCj6rdxAmYw4GtWC3D46MVrxnehbl5Cr62TeJWPa2Uu
Tbwcpt7DDb7IF16ao1hwi67rdS7qPa+LBusnfZgmewvP63Utw5sWuCUL5pfFDim45ZOI7LybA8jY
qzuk+Dbyhqo324sxiSXdBzLEIa7qBQ4s4sjHtcxhCLapDOmjZ/GtjZWnEt5ET/0sThOhUzoK9xU7
wbkv4DY7orkTwk6HVvKX0PRRQtzhEG7UcGAwj69X0uDd12V0YTo6DIpDrA5f427OCtumHVO3JGQH
VWNChb4MF1B9cGAqhYs46MpictPFB3dSJ3zWmbBrk8R+fAq0uR87F3/NYDxJ1zkMIX0r3O44myoJ
IBpDjstArFnkCGC21qK8c4P1K1zcMDG2eXMDSRLfiiuI6n1f9E91M2FqbdrDzOG/wSozF5AHOLz7
Fz2IN1q0Z3cAleuDlNo1tQuFNgiWO0QIAZAMnOSKDe8bt+Q7x2W3MIbh8DZ9fx69CN5nudY7KASf
QHbVWe9y5/3SUVwv1qtyg1k4IYGoPiPSEWU+MHSaLca/LkB1v343n/0XTGZDEr7jWLf6iYDgWTUb
U7FhrBtF890I4qnQq+umcG6kfKbqnYo/BuE/Q2V/eYlt0vruJQyuYqo0XsLtoeRHt7q7XeXd37+N
zUP69W1QYJGbnYUc54+v4fva1Ess+C1CMVgcb+10Wdcnx8n+/mU2qvLnlwGkBq8NrfFB9A2W/O6t
8FYaEqmZ3+ra5r0sMRjiPuyfdXC3zF5CR7jF4enba/57lNim+r8+SvzxkO1fhdPtF38/RGxPathy
+JQGKC4E/fPdIQJNCzEi2uQb9QNc6M9DBIo5tkoONB0i/fGN+/njEIEsCaqSYH5uj/LxoBX9k0ME
2c43310x2zGCoNua4pVAcQOD++kY0XAGdWpm7a3rVvzQ8WJfcoclA1nOOppNumh/vKzab/fEtZDf
V33XyMCmpKk/DoAwwUWMB9gLYR6TwaR8oSSRQdmnusRIJJ3FR2CDOaDYqM2cZa3veoivZYilfh4I
STE5nFlBLkMYHFgbh1nolHsMpy8F421qe3a1g5nyqFUzFtfpxGsoFioIT5aJGkNtdMWN8MzDDlKi
YPfxEqmsGQRM1+EDKrublIX83VyHXbKAlUEOIppTNdsrbaKXtcB06hHyPq7aF7rO51h5lyWqnpwQ
6Aa4l3RYyudmAInnePWhKZZzZIOHppE7jzuvvlhTDhAX/m6UjkN36aL2PYrib0hZI48Srvt5hfeC
i+LDhJMGOA/odU4E+ITaMvHWqsrIsCINV/QmZ6zREApnkxSyvh2WFWEbTg5t6YsEht3NshHC3C7e
PlTTTtIePuQsIbqCw3R8e0cK+gnnrielzW5hHtIZvLlbA7ozZX0Ufj0lGKLuqI6ey77geReY91SM
0IuWsINuHagUgEy7I8KMWeNH+2mw98PaRDuvrE6rV30pLUgkNvnPtIQuO1R+kdI2vpVz5N9URXRY
GX/sb4LySGH+ugs7UyNlCkZtJ6K5hdsjcjFZmU9kmveDZu9LCq1G942fVK3Ye3XTJKpuPyGL02Zy
Mti4eg9ZjigzLs/NZA4Cx8yNFv04DOQLGk6+LK3LD7wPbjjlRyBnPDHgN3NpquAdgRyduYbB4C42
ua4/1SE9VqF3DXW5GxiHc1iJITfr6qc+p2bPdNdCeAv1lC+zcy+65XNs1TKkoSskMkr93vbBiGNe
fwqc3gf5Ci6KbvafD9y7QSorCwJ28Dd3tx3WD5gDn4TbZvNYQ6NzU45LF9dR/NKSmaTl5hP3mBBy
EfM1VxEkflhgUeptzvJUgRYgYfUQzzyjfkESAhu6iemlmEcvqTeHuuIS90VUaUhNHSzQzclGc6q7
czZ32xVWnw0MbxC9n8jmgE+wwtkmk6+UDMcOiE5STsuSOhaGZgALliNR1ra4UyA/rQkpu7sChntZ
u27WbR48hRlfNfRtgjk/tvciCLpkgG+PUwFOcbS9WQG1JYghnWK//QwCCOYyXP86qLs8UqPKnNVR
GXRUQBXhhkT0OCMhTbqHd4swpb/RBMNFyiPO+LlowR73BS6DuS4+mA1D8E1/LTYwoQGhsHbBofFK
JzFgFxyuviiNW8ZvWlzb4BvGGPnSDXiIiU+yuaqe+qb4Gm9UBM7aHJEqgBJtg2QlvBJA83BhZ943
F8dfw6sHxMIBeHezzhib2cZfRLEtsnVjMnRRtCkfwGmUy3ydBwVibmM4qlg8lgOu5jDg3nGoZJkH
Bb7xtUBuThl7D8CJJphP4SbXs007wCIEwYjM3RC/0gLkdjampNnokhlKZNb2U3Ao8X1tBIoy+LM0
6e/rgJwRWn10C/ep2DxQpKZOxeaKEmsRiB3bYZC33eoN71UcjktOYSTIdNTyrPUsLbA2Uvuw94sm
66UYX1nMy+Df3M5vIe8tX/3XM8EmL/5Zav7rYLD99u+DgYcWW7J5n3Csv9HCfw4GqCZHPz2MTBBO
mOF+VBeRLsVD7UHyAlSPtmjq7+oi+Q+L3C0JHv5/TPyfDAYAkH8aDLaGXSh/EWo6Q9cHh/XjxBqv
odOhtbG8cRTzEaGsp5xZQ450Nv0btm5TJxMw/wFWJ9CKlCsbbgfLfpTPRioJdZ3OiIgMfpCBQeeQ
s2jkzkA2WWs+aFDUwGk4BD7wQmsFmBiLBWEMmQ9CLUB/FXm9PUJ/Hfi4nzqnKh/ZNAEwCRFcRBAl
cmliuZVPdVvNz9CTpJ9WyjXIebNaJL6U5a7rkFtpp2pEiBuUYxXq6F3jzXAdDRTBd10dM6xzYWdN
GjQ42KTO2DepIh27I2ruXkndy1cn7MIDHv0Bxcqbq+IWaSzOkopJcbVjz3QK2KLmKRO0SOPWh9bp
1ikMBH11nai+iWgzP9Q+LfNBKz9IRdRgkHGKMNVVz958uCs2jae4tcBZNF2TiIkwSqVXRQ+Ox1oL
QLkWh2qI7Kfad0hW8sCMTWrcPhz8nY5DicNYQLRqj2wm0z4c8IWMmVid+XUSg+fBNYQBG0hPl00O
z7awNLf+bGfAVgvWjBh0Lwy23HQD30fuZO/HYZZvJG7G+zgao52sqBcDmwnKp3rpbmIydstd6+DT
vGuQ8nJzPrptnfKi1f0RMVwNG0n48lVVo/+0xrrScD60wqrfuKI6uKSZoi3RUchj7w1yPdWRCJYv
dGH8S0ziaK8nUuwqUbZbhgQZIYyYEKScIcoUE+P7knjdcNs7TpxSrNv/nma+MSDu365cvz2R89cV
a/ut31csRBiw8LgeQVlzRILtKPEHxok+KmROGUqcwyCItwcQ/s5xotTCC/AjMJbht/KTP1cs9p/t
eaXoOEAk8bfF7B/4IXio0k8rFtZEZLQ2zgR/BVgj28+/O/wio8SVQwvkUW0XGUi6LYDouSRTcevT
lADHdqTjH9hGaDu6fDQbs61o0GHgBcftFVQkS9WrXMdTkI1h7R7cRUFy2xhwDRjc26hwDTzcbpx4
TcoxG4COV98YcsDkcoPKN7q82zjzmY0AOjb2XMR0zJT2CqQSQKYvG6NebrR6SUHib/y6F4mXGUC7
ANhON8K9XbNmtnuUSGCi2hh4BRjegt4CnnDE6Aa7cePl/Y2cjzeGXgCmjyW4lY2u11hwgG35d0D9
wetvDD7baHxUWLQZMkNfCUB9IONTWjtRPpkvOG5AAwyBKmxsP4o9rusG+zccgN/G/wdjgyQAwYlI
dZCPSIsjomUx5Lp5PRMrZO4jTKBZsdPtfPYQMvAQNoADtx8JpFSEEHzpzSnGWpUOM/kyxX6qFlBq
sQtNi1waxDVtuCATyCHwlhEQ+Fo8MV01WVV1h1rxfG3lUxU72TQ1993gntE5kha14OkQ1vczvlIN
eRuwuBia/YSVc8dod/LgRDdjCdgzKi7uHF+aWTRpUIE/gCLrD/feCi3rTQ7QzPORtLy5d+xkun3t
IUbBXeW+N1ZCjqOz+uSHZAf7Z0mErz/FY7nDM4WgrTP8WOjlC4b5MZUQ76Cdr4fJlDdBU7AcZ16z
66fy6+LQIZHMvFI3fprseu/N3hsZupPb2lcxS6xmcPTyiAefhb+eFpebt6rsVSKmDtYOwVF2BgwT
uiAHw+G+iKtDNDDnoqP+yQi8ra7S8Go4uy3WUaQAnkDihZkuJ2T3FY3ziRr3YKOvnmyDXHjTu3mq
yqzuwPlUzL9RHPG70BGnobB71AWE2VDPQ+q05SeueptW2tgdg3KcSsP3vjO+Iql6aHHbIPDSrHBM
gK9GowWg2aAkgarjugQFMFXnzhTO+2FyT7QjHgRK+RwWJc+R948A6AKPjBnAjuFQRSoC+NqeGsyt
SVl3qe5ZiICM+jqW021XBx/msbjQCmimMvIGwOq5I+Wc4CB6bpYKyAYhMwTWKBlK0DnY5Jd9v9ZF
MmHPSPy4+tAo9mqjNofbdXRH/kqw2z9ah24oD4YB8M/PkVM+rqCtoYi+78tAHLsyPtq1PxecdWeE
c97TFdAPix4dSo8lYbdOPN6XgHq6wN7U9XBQLa5NCwQs67xGZ7PPH2bgZMptD1yL/SDLOFdr3GCg
WOnbOI/YNaV+KNhcJohe7OD+n+kEXOnfre3b1rY9OfGvh/Lvnjr86/727aGLH/6/fynansQYBQGO
hHgsZ4A/9ff9DVl7bCpb/hf7FcJ73+1vMPV9AvLwD8P/z/1tK2mEZI2onQ9Acss9/IP97UchPHSB
UboI8LnIAKP58ZfsHhLrWImbWN7oOrcghIpyH/Qv330wd/8lk/ptj/xTQP7tVfDc2RBtUwFwzhCf
wfd7aF+ICgZSKG+mVooqa5nblEk8GJYW8BdzSUbsTcb3LhFnDay1UqaVLc5z5csHtyvvK9Ru+GEp
Lovr4mjrOTBcsYwnlSfc1OXlcfHro57Lq5jjQ6e9i2uX+xHWQW/b8zqQWzHwkyvVZkByDjKrj3fR
xrkVGjyR8OPP3loCr0RuC7e3wh1b6a8CyegEp1yqkqHQMcJW+P01cuLErFieTotj632xrFE2bZOk
3GbKVVuMl2pqXDCUwbtimzujKiRvfu2MiYOz0V64qqR5qXscI1o0rLy0rWcyw3DKOPB4G1+9b6Ps
TNgNNaNZ99E25a6UlWDpEK5i76zf06zq/Wo/OJaGe69doDekIB6QFcAoUU8GARIctW4ZHMwr/vwu
A1IO7m/V59Zp9qwNREY1NsW49KsM+TyBpFagTvpbIwFeD+0E4bemAv9bawFHf0H7W5OBB5Ov3+oN
4oFGp5lr/upu5QdzhFgIQ0PCI7IE6EZgrUL2z/fDBZ0J5Yz13F3G+LltGUlog5yfo90g87u1xB6g
lhRheIOAXjjfxFpjfMBnfmkKO34YS35eDRpazArdLe7F0fGBVkQeqmh4NS8PdtawvsCMx60XP3CD
pPgkS5ExE5e7tqvddFXoVmi9LOrFC6vD+YKvbs5oL2w+TCj4glkLQaRaxYlaXebRZOx+miq02MQo
iRnL2Qcu2o97SuYDoIIoK1d/vOed9HLm1FesrpBsxmZXQyIO2vDISo2sB60OqEVTGSfu3RgvjyAB
5mc+r+xr664wZFVGl5V+bYXOwhqjXNF7T66jd5xOO8dvVR479U5B4pVQQZORdp/HcfrSCDxYWJp3
qAPLBjKfYlhqIIaAzNk9UPurQUMCiacD4B7EunEaHuaPbqivfe3sKkD1BOztoM2nRtuEt58KV3vZ
QiuyX7c4gArn15CKj5WlATQeNZ6w222mq734tX8k3L/STmcAYF87fH3jRBDHYVGO4NKO++ygXfsK
/DeHIwtU2u0TzITYtsfGPcrQk5lnygwT9x3e40MItD9bheWZGOCoB7MrrmVAVVoW/v1UNeN16acz
91dczJO3r3qc9lUR4SqrzTnGTeRCWfXjIVsZu7COXIK1fcGglaowetQ+v4dCcInw37MfX2o935ex
OFV+l0NZFTm6F6D9QfeTJQZQPSA9C/3tRjnqrVXeG/CfkxjVua3YSWrvHhp5VvmoHKqqaxjItK96
c7ZRdOiAfCesNJ96FR1wcM7iAU58Ca3T2OWEo7Y59hZ5kYm1n2tT4IxaIvtrOIbQcCVq38fdvgD7
8WCN0+/+fuVFNctPpxes76jQwfkJgRn8lG0//+70UhqvHg3Q0pu2V/4WfjA5/BeV1fVcXaaagLWa
ix1vIefXnf3idf143/fKfWLISyMItT7oQV7ctchUHL246wQcmX5tlORZ1yEtzCVsDEyAu9bimq42
UbwIx3QBcAsldvaziE2HuW0/QmnQqZDjOz8qcSDwJlQ0uWojGFNElsf1iNqSCMGMZu/JYe8H810F
dwghjs+mqh91JE+6UGc7Vqde+5eoay/gDuL9tBiYRUYcfFj+6TiLlBZOuysDuefYl7LRHR8Co720
K+nJLWPc14S7l2JC5lUO67MUM2JgFCOub/zbQNgm7Sk16Sq2JjB7U47yqBZk1ZdJZKLqj8UWu9UM
XRg1g8c9yTzk3aXi9ZxEjX8rquWMDvYD9rUhwd/SYl8bd0gO3SpZPQQR6IO5mauMgstPSecmxYDk
GRnnrLYY3SCyPgdmg6NW8QHpwrPYuixWXKBssDul+s+qd/deV4OJ9V5lbXBepCmNgwOOf1cy4lG2
cXRxe3dG+5TzufBA1ndAO6geESGoau/odNtaNl1ERN/7Lqh4F/g+c9SrqX0PBw2jcsQebokNvazZ
bKKgkwypY6nftQT2HRoIh2vV/s/aJygAPziGuFBpgGq8COw6gXz504ggLcypAcezmwJYDZEnBJ+S
v78ZfnGxgdzDdkMJPbIcEA5+MsshADYAHzm/qQCvOfRWaHEQ3cOwSFwJOMvRHijWb8MxWiv+e6ue
91MMFG/kp1fd3vd3N6Du1NQFxHGurmmQfPNJgij7I3bF9xxh/qREnWQKuvGFFuQ4I9OdzusE2R+Z
ZsBtok2BGr5vnegipsBNx7rcVfHifWQlsI7aBbzA6iXjIPWiKnilhVpPXkUoGgwQ/sy1jZqcdQ76
+7qZpaAqzVGvEfnYNhKBEcD1uRDiU4VrNe9dpM2wAptsy2mls44fdVDZPdbDZ81n/1hzghqj6bOM
4gM2padxGHZ0XBDbCuWBuKWTSxcTSrU0zd5Y7aZ9TQPAYmGJ8qH1wS+brBEC3QGE0ySMzRkX/dd+
XJAS6MRxCBz0nwVPq5UvgatO4dQOCRgZDvQcvpOcBCxPHR6VlWcfqFRjCj8jletig1FYZd2X2TX4
n2V9ZeW6b4YlnwuLK9jN1cRrZPs7tAQBg+ysZNlQFdeuZykPo4PXbp2CfH0sKciGtXOe9KS6hBCY
azaa9gjFAO3T7QfK++vg1vd9B9FiWtET5J0QH3SSOSSHqAH41Xnec2PKw1qsK0r59E1HsUeC4j4O
Q/CF9WjXKwRD3jXY8y64REuV/v0lvgn1391Fv15tP4lVC2Ss2be42uSlueM3zq4/9++WvT2GB3ph
2HrST/6CMiHv2rwtvzW4/OW1DtD4v7042lJRNIt+ru1xx99f6l5XMhyEA+faZYAqL37a7fSaeGfn
JdohcP9866SXlzmXYzJ/wD+qG3Nxk5PYFejMS+r/8bf5ceP77ZMgqO4CibA9cTf8Kbpl3KVGZ4os
b0qkW0mVCPdlmA9//3H/uGb9+ho/mRl2qLVTllWJzfULHw6xuf/7P/+/vgfk1VHPFBA4Jz99m/VK
reOKHpu3c9fHuB9CzJy/rVD/cjYhPs2/Pr6/ouv313P79jvf6dLowwKg74GIj1Gv+ue5HU2uyNa6
IQ7zSF/jX//UpTfxOQygWOMRwZ6Lk/2f53Y0ucL8omDfY7D/qIH9J+d2+HY/3G1AbFD6DfoHuA7B
nonT+49324R9q8H5eL3tpsJJOoZGkmJ4mnzEdqRvpswidvQkZq+69ae6fhxx2js4rqcP2hZe6uHO
RPsKskx9QG4IyCDQAahfNZH8QuCxpRMepHcu+/ljrBfEZw3aY1RfrXfYQLsU7FyUxrpon4IROXBX
Y3Jr4myGuXIL2Rrhn6XhDx6PUKiCdumcz8i1jFgda/hhh6oiGqkuBMBCfSSGPXHkjHZrAA6aYty5
rdBbmaJ+8M1x6XKIF/ausb547oOlvZa+aXaTjXXqKJTXefgIboUHhXh1p/jQAzS45Qtk6ulbP8fW
1FFtnR1dA0uH8+h9C5dpG2kqdNHUF42qD4XKj2Xr/phQAhJvbSAhakFcHYCe4G6ObtCTQnHIjAIR
fJpX9BGg72DrFmm3lpFGlW8hakdWilgx4vIvHCf6IWyqvNs6SgqUlUxbawnZ+ktI40GJ5PygLNhK
h6JLZWs7WSEb0wGj1mQbncB6k7tpK0cpiwV5BPSl4ItGrIB2j61T3ARoVGEW5/UtXBqga6VA54qz
la+orYZlmJB069HMQlAPlNjC3oQtvtKpW7MeLS4K5oVPhheLdhen6NCeVoICQO8L3Qpgoq0KxttK
YUBYHUM/CnE2R0QVydZb4POo4qmDA0WnTLuVy7RbzUyIvpmO2/sA/TNyK6Jxtkqa+duUvNXUUMRl
2S0xaBP6CFo/NMdo0yAhFpwd5AqwlXoDvIEQtQOIQH1xRnQEaBYknmN23yzbIpbh1Z0rtAUgNhaF
gCJw/L9g7MKYNIPdKdChm/GQib0JFTBsD+iEY/2HIUS2f2aong24+tT7XZDAsDW5qI3OWxlj9IWu
QpXFh4xaxaNjxh4TgfIATbOtmbc6EN49VE2DzVwEx5XFWzVC7T41ZTEmRRBgdoBCPYQS/YoxrWGE
LKkN3CYhpvhiDPJvDsPIEoZPw1TAlG3QNY5qWkhxN/BaqiPgbJqgb8pNoooeHWA0t5Ae2gSlgBPU
HIFswxA8zmordprCiytwDogbE6euE56GSouTZ9pzH1TesW8FvqUpTivyfvSKW2fhuwWl44gFi/3U
D0KlcT3sMd6jlxZncNZXH8sq3LG2w62O26TrIpyH6/qtK8fTGi3dUTlgjyrhebc4IJOswF73IEWP
ot+AISnAipu5dxBzjFHThGQjZtataQvVfEnRrffGg9hu+k6demNZon2/OLhAT3I2tsHe8CJGKXE/
Hru+OfPSjXLDNTmNlFvg/p4DjKZHdAd9X9SJh51V5uS4/H3n1OTOl0DksPqpoyOCOC1Vd3LIRuDw
Iqeye+0jyb/CWsriErfxfSTlFyvtBPQtRtNw8m3b+Hf/3GDiv94/f2NStge5/rqLbr/5xy7qIpEP
Mhn0cAxVfSuG/V39hvGL2nL09GDCAUC2Rdp+d3fpf2LGsMP+keL/A0eh/0HZ3Xamoh44ErTh/ZNN
FCL3z5soNmIPLnLoB1tP0M+nTiTFsEgo5txEIbpQKjSECdSNNBVF77k3tajwNgdnDEgqy/oeRnWc
zmIA9IlFfjFTm1VyOtrBq7MOUW9UhdA28RdTZH3PFlii48elXt+1cn3r3P5qNDnaiDIUxlVDHqCV
tejIM6JG8AVrmfGpelh9iVrGnnyinkiRARshkLv3Meq7k4WhSXOQA0SY6CsQzHUnl+6xhu0VeZBD
rQJxph1k3uq4fx9oiHTC69Aq5Cw7ybsu61tn1/RKY2Ud9gs6ZtEfQNC/p+sTnk6wiCwsWvT6LOgi
yIo1eOuq2TH3CK+zeVet3lITZLqn9kn30u0w1nsBz2Lketp2iXcdiAtURhqUrmIYSHtD8jlEzbpy
5J2WZkripkrrlsFPdeXnKYq+IEMORV1AuCTTDVgbf4SYV5gFkZVYC+S82sdoReDCq/03dOE6SA3/
H3tnshw5knXnV/lNe7RhHswkLWKO4DyTuYGRmSTmyd0BB/D0+sDs6sqsUS2ZVupFl3VVkhkDAPfr
957zHWGjq2TeKxkG+7GUp86s3zo7zQVEoJSIA28aMIj4lWvfdEUCsYQdBQdBcW9ikPnUQsoR/eZo
us+12zziIW+u2nlszs06m9ZGgCMkiK5Y9I912VxKS+4rvERlFJwgJj2DqrBamIbTEffbrq9d82j1
2L5SPvfWUQg+Yx+9o1nOzpr38xQmKjsNWYB0kK9vFVqxsY61U10BUb0voRHuqjbAr+QHOK4yxqlw
mDKw7YZdbnGa+f7WAn0729ONKYHcm74Ev1A2IdQ98y4Zppu4EzUgH+cK7fPOGG1o7v6NlwfHeDm3
D6DMzVluBpWAXqmuxmjY26M9rQpzgMHHldftKs0pwQDyPWFjugcjtddUW5UxJ0xn5AF06D2V07nQ
2R1nnedMWQeLzQlQXNqufaRC+HdoHAOB22H1tHcjvh+/bswzLjm6wj5/h9KKAon3ZgBr3NJA4iBq
QzifMa/P3heo+tt4If4rCIBzEt9WXtceJ08l547h3jEAf6sN+LjyXvSWhSYhuknSfNPizK7b+SR8
69GMcg3wJt/LTBwyJFgr+lQXtG6/VH2S7Y0AA7iacON07SZtk2xtGRz4qYVeo9hqtib9k9mfL7U5
XKVm+GTb+qyRxqaxRqbH3hs9On9jxvndnKRXmjlHJ/R56lmPZWdaW9NmCk83dJ0VxmVsRvu8qoHE
4+ensfM2xO5i9o7Po2SCVzeUZ2XJj1nRmVa9WmlRHcOkPwdJdMZPzttxdJxT0HiA5kJMgDsrUxNi
JKOublOTfj5dq+Qlz+xt7eU9dYf5MSOTL7LhhfHCTkfDdgp5C074RYVYAXvXoPuoNo7Vr5VyDiJp
n6dggThAzgQkRkfA7m9DqysxMdKLQAD9nPXiqJnGlcYQr5rQvXHy5Ihu58bGpb+e5uHCGzRIAq/e
xzXcAJrdh7QI9llYPAHCPqd2fAhq+pplbt6qdBnwlBcp5vfC7J/wNt2JjGtRtcNXt+JRMwUjO/tq
LKv+mExWv6IfeyhtuhaRfctNcmr6kidMqCsZmztGTAN31fBc2d1mTt1yN0iTAaU+A0l/xnSNyZQ2
jjRQD6Zwd0p0x2rWBz3QlJ+L8zFSe1XON2oo1CqougvHEWdjyy0bopWtZPkQm/WXQmdXaIiPipaN
dNsT6A4mcunjILM7j74XE84SWgNqWg8i0xC+FbitrIppylw1x9gW54S8nDix8IRZ+iJtijO6yl/G
0rmLOIvQZ6adRHGzzn1zD+97V7ftlUcMQRaE311O/6lNlmP1X9QmBFNXr7+vS5bf+ldd8pdhLJ5D
nxhzGJB7jvK/1iUh8cQ2MaYu1gViEH4+3ZsLxJs5/8K/N7Hd/BtTeRC+PxUmtKvY/lCcYWTAkUNT
nJLqx15aUbeImszcvLIdjz1ogb2v6QX0XwWgsMFlRG1WcXEwYgUw24oeY4XKIxaw0CH0vqmqvAtw
hq0osTYQiBkztNlbb5hHOXTnbMqLvokdO+swH/qD2hWO9UUHY7KXtobN1nXHbkjWSLCuHGUcqzS6
kAy/LSEjlOqUKMM0NyukA4cakdasjU0Ankdpv1k3xnxdMFpel5m+tR31EmUB3N+ivpkKUGQN/VUj
xYdLJIZcdVmGqRStW/4Mfv2LTkxWAC+/lYIUEdFho6lgJppduc1nuspg5C7M1iXRZXZXJGedzV57
OdT9WSjjb23EcML2v9iTX9y4YzeskzrGAq6gwdsc8YW3laFtvYqpoZgqQpjY4jGzzW9JQN+XE063
9svygQH/t94b+CAlfW7yQ6YySbcWnyE2i4tsbl8hDsvdEBfZlhKQzrLdYX734mM8YjQXeJmnNr6S
vf6C45WZe2Cfj2G3Vy7DrojGCQo+WHAywW3pXRV2i2+aCXmvLZPlNXrM/Wi3AH71kO5NFVLthPkN
PktgSvXIzGs+17jLtzpun7PUc5htdhAUo+KxkyysRaGevVmfab+Dhy+rjyYUF5jBkvO0SC6j1E03
tfK3WiLSs5R9kDFtRdkl93YpjigtEHgFKjppv2dK6qff6iS4S+Jpz4B+3FZNdSImxsIwYLyPbns2
+/XOz9UT/+1QN1QD0BNpC9g4atNcXdcyL88ZT9/TL7AKyK1BtfHRnW/AG6WboJcflYXqLBB7f+jS
tepFsuMHL6y+27YNzRWzGMi0MeSdNYh97hUv7mTtowThbxt6Z5JJxFo1oHPrurrp85StmO6Bq8j+
mdEmT2lAgwT757qYxUUblQzSK2SU9uTs7aQ5K4hUKSPW7SISN26hT3kKMC8V06WI+O7d+EzNbMVG
mAXTVyDq4imt1aKUjhgj+KB6bu0FY8Q4WlTGjdlG3S3Il6rcW2O2U465gwAAacuOP4pkfI+JswAD
Va5rfF2noB4fpS/eVMHksW2amyCJ9kZa3FhtecT54q3p+23aEcm2EwwMHk0BK1ddWqg0+HCgFILA
AGGQHxo1uts0dqFelsG8zvEFrZlYbFQzAp+caEzBERjHLyGiQTOaHrjQjKtz4zhlxnndpfu0MLAA
oUWk8ZHk5SYy4gODRYQHUJxGaJiTO5+cVj1ZncDaDlrDrsbdwPQT91B+HmSEBKkCYcYY7HVEP6Ot
uCCPSuT7aex3fahRXfbHzICnVSCdmJA6pFn0TFAUnmqRYq2PrA02bDAglQ9vsKgPUWdeQvn6KrXL
QzCtpzGA6uNGG6edLtw+P2qxjAxseE221lxbD/M6nU0pvvZiuEIvsZG5e29mUIqjSZzP2L9Wrldv
3YKn0ISR0I0Lqrow77w+fu/8hSs8VEeAo+FaBsOB1uW4Njok+k51HZvzAAkjozjxwlXIDCt1+wsd
1BAFsZdVBSy4JHyhq7lSPhKI2l2JydxHQX+d+cOTabfH2B13GBeCLVNg1r+xpmPrN7cOmmDg3uLK
NZG3JPkBWteqzYbL2J/vaWauOlvdxHZ/AreJp98DtBZNm3m2d74vto5hHeGPDRsJfYpV2NlFnjoz
a/SUtTusI1xGXWu+lTEGfWX3X5yM85dGpXXEi329SFHbJLmx5vA8CqdhPc9GRstNn0wkGOC6IHa2
Sb6tjCxC9+GRfJeO1/Qxd8SLXNtR+AEPCgc40iJfbSGtGjtmw0zzDXU1qfZaBeHDmPXpuvK8fj1W
XrQdc7t8LgDqbZJ2+MgJqEpH87Hs62OumvM0oqrHY37bz/bGzsSHl0zbvifrCjHFriP8CrAsPIyh
eGQF3srauxFG3KCnJTDLF09jN57pJUmLI23AbD1cK0K2bMK20nHpCidnrlIs48RxxV2Uo5PEIbm0
M2XxCAxLFxvLqK0dAhK9DgnyKs3saHu0CAkLnDcjQV/usCR+DaioJSFg0TxfWYIZKuVCskkIChuX
xLDY6T4CSkzsF8UFRnaWy2kkX6zJnprcvibv7NZdEsiGxl2NRJKhON8oMzoFRJVJfzzOS3aZCKiF
waE8jMSatcSblZld4HQg8IyOHKJYfTUsWWjuHN7NSzpaie76RiyJad6SneZ+pqh9BqpV1hKu9kM9
9UeKvt8PH3zIFku/ljkHLRxqpB/LExwqljvhqriy7qrVs7cbrrv1vKrW0ev9rbyAtbBtSDHJzr29
3qQH9BgnLznkF+n+8338p8BdLPZ/XuBuy//aNOL12x/03pZf/KXGhTRFnC8qEcf95EL93HsjlAlu
ABrTf6Y8/dJ7IynYD6hxMThj0Pr0Y/ziBVv84zbJBlz0xXT+75nEAXX/VOMuJvFFfIr3g94bdbO1
zJN/kEZ0SYxE0RogZNOM0QsidwARZzhILYNcimtjXkC6ld88ey4xABAqupUKjAD91zyupTHUpzmB
0lLMtVibEHpxgwYbgRie5jmP4+yqYlctSF8PwAvEj77ZdnGEBGFB/+YwgPsFBuyMYYqGPHiI4AQn
aUpNM8N+DmAIU6cnBwFVWGXjU6z9lHyK9k40C2ueZfFgmclXltr7EcCmUfWXjZmCol2wxabIrR1K
RAKgYBqXNOGnBXLcQDvGSPwSK/uk/FaepZosjCEpd0nnp+teo0P0R+/NF4VxUAtIWYzetIua8d1v
/HdifPKNXLDLEv5yNDrPtd3UJ+IT4BnBaLaH9IasPtqYefs1qqsrJJir0BmCNaVI0zyOaOzp0Fn7
woqbvdf6rxzTUX+VN1WM6RWv3bsPD2dkzbSast27RvoN+sut9ovkYEZoF6rBAxip53mTZ4a/7Y3x
Kkg1HKLEfszi8AKwCxZc22JZxmZGk0b7Kzr1e3SaR8dXXyoLUkXnKLmHG3M1z64mH2R6JIZBh9ej
JManVSOYzDJ0RXROmt0Hgkx294UFJnOQos1Iz8ydy3FfZQgzuiyPmCFM6Y1T2A9WtrAlJ7wq9sJB
SgrnZTaDVUsVEPX3vV8mlxg92tNsViLapkZxaL1mq2lVWEwOmc+FmADxqtMjyx4XDzt66D5cgVfN
N2SI4ETwmaN5jaIsNJprxG9kVVLK2z6hWQYoc52DIe/HAywa0Cw1X/FUbeJ8fAIf9C0gnTGGxEdr
eRmRClI6AqN/dVHo4S5wXmj8fTFax2MCF+ynyAX3REqsbSZ3XUCGFtpiZKFODQg93E3oSsc8oPFZ
nPtxQM1sZGwLYIPm+sNcuoRDH8IhpCW6bovEo4zOv8IPfUaljXl/vC1TdT4Nxj1ghC+qxIgv0LV1
vXHWjeLSdOKHsc7PJk0EQhfbj0mFUSQV8X08Bmcq5xtq7YREqjaAERtCg7XdlzjQDz6xFasyYVw5
MrZB+GO+STe61SK/TFqxs2P0b2EwLI20W2fis1RxdiMgfRFDvEa1dUoYz/a+PmsN7y2Z1GPoAkmq
vcvB9ZZj38ERFfBQeNuFnJ49KJr7PDEqGGhYfyDNMdzqMGJGU0PgyogakHb9s5DVyYmGi8Kxj7RE
H/safuNAdi5aJH1shZetuWHNFXbQWzCOb61TRYegKOlu+ujOFRnCJS29LTEdcmvDH901EcYil4lt
3lb5sQ7a9Sg51NkAypYVl1WKzmKBhrHpUeIBBzZ3PQ3bxARtbuG0MfkKWJNunMm/yPvoK9OOxeXi
P9g+Kapul6+dfrLgRLXpplmWOJHOmyEx7+yo3pVBygi0lRUHN6CyllceKqz/RNaBcqgUckDut35O
7izTfQsqdKaJHV4UQxrvk8Qwdrksb8lDFai4KfknO3izswAybF2CJPVbcrgMtvLMBl8bcgzI+g9m
yvFd3sG5w/l5X2cDET14y762qUEwzzBsG8kakWVPZHFecXg6AEv7oK+utwq6xSptzXVRdUSFZtJD
Pm/JuXqqEiNI6G5DvlVQkbeu5Z15obiPFmK3WNjd89x8aeYs2rbUXSsF4DseGLIHIL99ZVBv9OIa
WtBlChTcAQ4+Agm3kBTzGItTOdvbInHLba+8G+DgF32EAN9fWOM50PEQ+LhpCAclNDxywk/MFWSD
ewdUeRabpxJ0eb4wzAv6Q7yb+Tla8Obd9Fh5+qbV+TX3A18CIPQKIPrs4adXxJFgqkPxsFDT6TXe
1WDULV+eTLDqrjk+1DYTD9e79tFZtxDUViH/Z1yI7Ix/kQt7EOgiH6hetpDba9NWK9bYjc7aQw3c
XSyU9wDce5L7gGN9CPDewoIHCA8Vvs2P88KJNwp9rD/J8QtDvl5o8gx/s020EOabhTVfmIhX9cKf
R2SK24ya9T9V2XdHECKyP6/K8D++NeU39fvGo8Xv/VKU2c4/KJzMxaAKuZah4w8DURdTKzNNUt9/
4Zr/syhzSQAjzAQRN2xQkJlLKfXPogwaOqROqEzL30pJ5UX/TuPxtyWZi+uIKECq9wi7Leban0sy
1U+avcbT1715Ik03n24b+b1m/1OZoPvp8f/VDcSnoPAM6G9CAcDhxOf9+UWYPzqc/WV77egoR2vi
erKA6+zYNQpTiCgA7kh6L27mJvPDyzRNg2eRBHZxE5retE7NarRPtt8iGm+OXTqeZyDQfYfk9sya
Vj3Tt2kqr2PP2JQNbQ4ZHYyuuVNmyxE7ZVDaBbdjJg/xBLIupZXBkNvaeG53Mlp9ZYTFWzlBXoMM
3LftMac1Se1hrecsvUqU3IZ2eQxS2UHaER+iD/YcyDRmHJcZSOciS6oAbipPH7oBVyq69YcgPHSO
BKRYPye+eTRR/ILMbk/dWL+XMqJty4yMOuE9huNGbQsVGn8IMlEpdpgv0aoHehPWy2KlOQS2gfm2
oP9IEgY+6db3zDxPsW0/iBEtkZ0pxiyTXKeT/ip99zS5oubw3F7U6ag3UUcQtpfBCYgbwSymZo92
CSfB33NRJZTRSjo3pcaAiqnm2cid3UxbeIsSqCLgUX2QuVACJbBp/nbNdd24Z4EGPdrC4VmVRZcf
fBPkcKucZD3mUJqz1mbHG9CLuO38ZDEgcbicq6Y3bj1tsP3b5b2uIoAqYfFiQDFlfN4ewSLkl6XS
1poS7SQNKAum1aEJCpPzRH118mYHJHudVaSi0ekld7usn+J5cNdxB/6zSayTCHtB/GOwnwPva5ux
MetJnPWB+zVERA3vMPsIK6BNiRvOm05FaND8DzeDKNpl71nnaQKkAS3bGGiYeK6bpLoebPlm5TnO
LsLnVk5RH8mvrjYu7fMsXIp3J2ewKhVkeMOMgHX312w6Dzik5NooFZ7OVGwtN71LRkVkaZD06zqm
tHCxUQxJAFOC6xeF+Z2N25Ttemn2DE+FORPkPPkfeR598SzaV6m2HaJJCsgu8BgvYDkLGncZOd6e
+ZBM3V3teoytCgeGb4BVqcHZZtEBHPKSu0d3kH0030cQzC+FH9/TlmJ0n9fvrqX93SDMhyIpH2QG
c2ak90nZoS6qwPhQRvhihBP7DQEBgWMxjR5jCqFtgCXeBsAEXb9FmVVuiX3tYrLYaEHNkdXdewlR
e7FfcJeTWPdQIBM5ejMwPN/R913HbHhu3ysOX1nR4ulr2m+W6jpGdFnC9h1mu0JjaBcZynBXbUqf
7AXpP5ItP+6ndMrPKxiZmWHcij6PKkpwGI6buMIdPsCLMgIC6kXUNmtZAnicuX8Tp92PZIKhwarW
gTCYEct1y7O50Iku0SE8p6H3npljt2JZ6zhtWLuqbNdDimg9dF8XFx12ENBP/UvSuwy6Z+dW1NY2
b63bxnKOGjfPNAUb30ge7YJcs9BjnmyeRRoWakAkUZVC+VC7uSdPL5q+9cNClA3yTSHJ8K7QCRSA
jAIp8KiE3k60w2WAu1h0NNEdjl5p5mkY9JwOcxhosWHQcBPIGaJiG9vyXZIvY3fjkyHfvZ47cfCD
nePmQbWOsTNzFoo1vu68nwxjaw5T8BhgStt3nbDXeYKMwQtb1V4WEMyqxoWJNBPSMgAgWZc569aq
aNwWI6U3O3vEamIdlpzIQoeQ+k7uCJN61rp8lJ3xwiHLuSE/eb5mw+t2ouxeO9s6psL5NsbhVTdP
l1EZJZu6CjmiF7O1YR4Vro28zHbVXEX3bhVOF0mV3mVJ8pbbwljrAnKqmKcAGAIOIqQDQFYUiXc2
V1Gn91nW5JvIMU79IJ97q5nvQgNAcWzIRbrXoTzP2HvWUcEa0Bulv5F9O18ZoOTu/dzBhjmB8If0
7NU85fIpjmS/cVVQHXiaw01Xqo3rD8MB+5LeM+pt1g5BAhDXzXQ9lBAXElVkPOyZB8Q3sg6yGK4B
q90COVl3sKbzwR1WiDhJVgKhOfvWPefPZ2GNdwmAlWPk9s9LtMDKTeb4b+KG6QP96AxYNl3mlowv
/dBmpmn+ZmeHntvaod31100IvMm6ysN7n3ftLRM39+mHuucP2oM/VxHLBs9RC706YFAcTfR2ft7g
pWxGxRxRX4egb5lMTbvUePy/e4nlLfzQOwKoUZa6L/U1c1Io/4QwDV/c9u7/4EWiiHRwaisLL8HP
LyLTohjzWutrR9CNPx8NgoeOf/0Sv78sfFU/vMTSaP3hcyhyCRPLHfW1G95V3W6Gh0QVUgev+fQ3
r/Qbd8b3i/LDKy3v5IdXKtPBYyDJh0GPubJqn8Hlqa+YM5JWcZqJb/nrD/Zzh/j7PUB2j+fiaSb5
+LeQd8hJ4yyUpa/L7tlSHNv8+yQ9m6rnz5f5/6wD/OORwfMW48yfHzMghGYfjaiznxQO33/rl0PG
JwWMZHNkCLb3eSb4VXXJIQPnAtYBM1xInzSFfzlk2DBFA/J7CAGn+ue+/Nchw7H/gSSCwKUQrSSN
RGSc/4a6wfpZ3EDjN/Lpv9LSCbg5XNv9zXOlZqdpO9pkl4TMR9sB5TmZe05OKm8R6AHFrzed8hEN
+RaJtnohHXV4ICSD/VhG9d/RCRY2ww8r4+e7cc3IJgTdNTn/fMYV/PBgEH/dFlHaD5d2V1tkEsx1
vOqDhopupAUQrQbt9i/BgM+XTkCoCHbNMaaRZy4DANNRUH+LUFhc8Xek/cYuS+th9ozQ2k++F79b
k2GNux+u9x8sr/bPvqPv79hHKArgmYMUBt+fH2U3C1Ku7aQundFLIDmSX/QA2Dp0diqY6GMOyCQJ
5QticDqBT3zLRM21B7syWRsxNOpbOkpJN8ZoCdpVWQObvEppVAXCA4kD7je9LvroVHE4kZuAFv6j
TFFwldobt4Sn+BeZSIdq/9ef6veXIWCtwMcS+NwbzueH/uEyBJORaKMt5WVNOttjAzyMRnJhc2u0
dT9e4w6N7trYKr8vIH96HP15r1rQFAHWU2BRqH2Wf/xmWfQ4r7jw1evLOpytS6tI+8sa/VsWxunf
bFk/L8DfX4kVEcMQeyPkjuWp+OEDtrU7zZ1Im8uwNd3XTjei3McqnOA4kg5mdkC+1w5sUVjejqer
v7tplpvi11P38vKfTnCEzq7P3vzbl0fDB6m2xmAbdIX3ip/Xey3K5T14cyW3Pv53OKdc+j17q8a7
XzTBuyqJ2dDR5J4vdE9z7ei8KdbEY1QPIIZAYKa0nN9b4vgQ889MXb2occXBw2v7d+5d6/cXimEW
ywbCB7odwRKQ/uPXZ+L+rD0vNmh1x9VrJpQEnWeA2nCxW5A4ddJpVrwlYdSeU7GmO79xx6WxOwQf
KqCXuJ6I8V2THji8Z4x0vg1emwbfodV/ejO53u8uMhMzbiIfzDI9FC/4TW/DF2FGcLhyLnK3a2MI
RCpK4R6p0Yl2auj7tRg782aoJq9fLZ2NtbBqRFei3ZduC72q7KrbtvQqNsySGGqdc2SeJPOGFmHs
A0CGcBPDHCWxOM/B7CoH70mcy/pSt4aEXjdjtkosEuIYngHXYiBE7eqjLLfz5DqZageTPminSwXq
XQElcTY+IKGVlUFf2Qi3n+eFspufl6kXvsCGcE8pLZzzORkHlNlm6lYIoyYQHKFAx6gnTs+WptUy
5+PXVnbqrodPuORzqWAXyw5xMa2J+y61dLGPGZEQPZIW8VuE8pNwpbozvjCsRz7fSvtYNDVKyi4q
v+F693nunaq4yyJGDquhcwn0ikW/BifW7pltRlcd2vqtq0W3syxk4dvSC6xkDa2CPJiBNj2qYUfQ
xImu0thIzI1lNerAVmNDQzVzsjhUQIxWZaIR4Hx45znK2/cRLLed9CsyxP1GbCW923mHQwCrP3EU
RGqU+kMip/fWs62onevEHpIdlm2OAprctSlh7rITDQKnUjnQnflRJN4up1F/qIZglcs8N9ZBDJWM
RtsIJUGV8RqVXV3thV+Q4tJP5o12LBf/gCAlI+dOUjtH6UjuRycYz3EszWV80wPHqKolQmuqxbc0
Tm17fpHaGAPy0SLBUt58RWuaKzr9ver71rxUhapwiEfkz+yHqFfxEWAJzRVkGc2dGRjOEdC708PH
isoY8w7ReVyuKgw3dRyzH6qy0N3WL9DpgWpW2IxSbONBcyimQKebaSwjde5L5XBH6bixpF737IU7
30jz+Grg0fGTdRe2SIcsp5DVroaVDAOyY/OKt4xr/LURRxD/YBabNbM+chAQ2OFAJAmtDMpqK2Oq
gp1XJxWe7dljxaztgq4biYIcoRHiJ/JaZgZRP02ShR9GPzCC2piNrfaZG/bhpYcMKT7VTqDwj8Ht
lpxCiVdhdUsJX08D5OhyIMcE+Xud7SYCX6aDKSXQMM+eSGgLGMeC3cGUa9Crd+0no8XTuEGaSSuI
/5nGFSNVRg2MluunvMKGeHREpMptkSr/du6V4+xyA8Uco98UxO8qSO1U7WMxtPUdm7FzypPZLnZ9
yzvYghlNZpBmI1EeYT61moCXiVvb4FERm9iykAYhVC03SewkPblJA5czCyT1ST3nzvxeFmS2bELe
QLUBrpp2R8vM3EPCxAfOH0AJUsuaLCY/Li7II9Kija5J+yM6w8mQ3KDmymfjzIxLd2e1MXPEII3Q
YllTOjfHNLM00+DIpcO0/NzKirIIflOXIKYcdcYcSY2Z8UXUaC7Jqec5si+t+TNlNxxcw7mfSm33
l37LwG5TR50Co12zJSUyKPiFqEKnu4uz1KpfMI7WKV6yqoQAqAlaP4Odqu4xjXqvHjTkGIMFNy++
DAAHW+nPGW++t/JqQyodQPZQx9Dpsu6l1JrKIk/y4U56vn5riWQ5DIHGPAbN0MQlBjje2XnMgOgN
i4Hxztg67o1UnnVvKWJ0V9o3yOZU1kRrdACNkR1wONjMXSDoYEfFSPKIym+5OQnCkwCgZCqvx8kl
hMjsNNcm1STUbhoIVdYZO1j06IQmdzfDcYIU6crT2FYyiu3rHLxrcWuHNUmOGGR1fwF4YCk+02mk
s2D447bRFS/dNAvLeoTIPu/NIlg+/PLWseEu76utrEvkb3yKvvP4qtKiKeDDFgOPDulJRXZTi4BH
XvRUBQl/xppqqzq96pD5YDJx2tTkcmsx9heVkbYSO33fjZhuIYttp6Gzl0WDh4lxosUCMtLBpU5W
dfUY2050CocM7UCYegX3xZT4ryiZeBujYMCAc8aUZwllbn7WtHgp7kJ2i72sTeuyi5LuBZmKD8ra
TTP7xGk5Img7bZJhM4mg0xS4yDlBnOhibQbd9LUoC+967GHHHjrQJvi0/CqRB5pq1Qf62mUNyToA
hZwDQvAX9pTKXetX0ZNhMtiFRJt0tMRZ5iYo/bdZo+RZVBU5CQK2sJFNl6jCV0NqR48iN4ZkCxOI
x2Rmmhwd3Zo0yfeKBXk6hRa31FYvK/Y29wy+0XGYB3xCnu7OSOeCHQprUQ3stM6AAVR0+RcRDdG9
MVGmn+ZICesbYTqM2isLqgN5N+QibcfKSpF96YVN33JZAK0Xkb+bmcKqi3EKyjsUoBD1A3lwq3Hw
DrP2uTiFydCVUQVW0ovaH91zQyG62aZdXQ1nmFPalEQDGuP3VCLyGyMKlhGWTgR5RbowPiJsYEA3
mJnclUlnZc+01pyQDHcqsOmBfr+BnAJgqNimgUGyDdZi/ZYmpjGsy4AclGOGeepmlAYQSNGThbll
3MpNmi3T9euxKGfvsvJbcgy7djD9C9dKXczoVDdyq9OWq6bDOktWYg7AMIdSlltrdEYBgx3E434O
O+7+wh0T9KXxZGKba6XfPWlvsu7zVHCvsdNFj9zrzE/rqLZYYO02ynchITN6NfYvdtjr0EJAPQQP
nl13eqO9RLkX5OuGw20Xywiqf8IdvW2JM+t2HBwmRk+OKprzQLQpttQR1QcqcHrixEaORnKBb7zV
mwrrCknUddWri7IELroSUZHsZBoW6UaPpnmcOpfnfvL9RdoCrf/i/0mP5CL7KhrZfKj/vnRfvjbt
JLIkVZ8H/V//bf/eXL5W7/K3P/TT78j/+fnHMHI2r+r1p3/Z1grX0k3/Lqbbd0m2xi+NhOUn/3f/
8L/eP/+W+6l9/x//7fVbldUUQ0pkXxXj1O9/9mv4IoDEv2innL9K+V7/8W/9q50SEaniUwSAZES7
9JuYamf5zyEGbywjAa//SzvF+gfYYAdOI/0UGtz0TH6Z2TrRPyDx+fyNNGJRtfx7kY2L6fXno92S
9kIXxYM+RAuDg/7PRyNYPUu0ua+vIG/LYAtsjwiwPkAqnExZyhK1SNkLspmmfEA9a/UWsWaWGWbq
2M7ZEgXgY4+S9L7nbT7aakbh1daADFmmfe8riYyM/8oWgisUVpGBsB3FYfStJPqIzMpSd8S7M6xE
7OrGm5hUBagLbaMB0xIcbxAZ5Cf2jJSt0PRQ5oZ+5yrok9HaVnYi5i1um8oiPRdEj+oLsutMSAZ7
MSSu91BaKNd2qFVIG7FaNmffVQcOnNNhdKY+/9AOmb7JZ7xvkuR0T1EPmjjSyP814pAk4CUTOEqY
yJCQOg1boxQ+2Q9ZAPmQSFSzMhh+ecJ7G5ao4hkk0l59Rg97XeLuPeKIfW24xD+HH1AYXBolSbUN
Wv6sNTiAGQOJxiNi6bM0Qc0XWrhwkqwifESRG1Iuacjmkotsf0YkV0taslhyk3sPo6q1ZClj+gfP
uuQrW0vSsr9kLrdL+rK78Ckx3kb7sK3fi2D29s6S1kzYm7uXjcq2JnDKVYF9Zet6fXmNw06uicwF
5Eb28/9i70x6KzfStPtXGt+eBhmcl33nUVdDSsrUhtCUnBmcp1/fJ+RSOm2XC/CiF43PhUIBrrSG
lO4NRrzxPOfQ4RmAEzINCj3zPVKGaLsmzPwhvs1xRa5RYLq0SrWXUrmlnTnrlobyTUd1/d0dgoCn
KmQ7N+eBggOPnE4GKGArZd4cyHQmK8Gu/sz3jC9H2a1TNNdxh++atLC1sN1huvGVDXtQXuxGhfjY
qaRrs7Y8/Nn0M4q55tv0zK+ZcmuHyrINJomq0gDiTyoHd1ti4+6Ul9vInOqGu00Ev+HQ3rjK3z1P
RsW9vLJ6N1Jkm/nD9I2LY9Eo+/douN2iyQn7BMoNbtB7wPyR5Lv/lcX1/+CyySry11Po8/Pbe/38
b5ZNPuqnZRMAk2lbH816Ry1bP7r/YAEsmO7kWUwhhMMffeaP3V+YxFL/txg4/zpq/rFsOr+gp2AC
zQeY7M7+XtTljx5axqgeHA8yKNT22Kd66pv4eaIEDGdqRGuEl8DPwcFymG4bzErZVFM+yR7LlJLG
2PqrOZ4ObjDl2yIPQd91O90w3i2tr6iq25DFBgTrbnbkwR8sZj8hadGzvGrajeKdgZXhdtPLM4rK
2MtRTPtrKy5fja5MQK11V23H0MLovwFoh6GdkrWgOs2D+cnxs5XGOOOhFp2OJio9hvkQMDqw+xXf
ttx0HWQoDrtEbcW3LnMxr8QsrY1p8YbVHIuxRPC9H5p3M4MzMgP0WXsS0DZboTuZRjdjWDzP+vCg
TRXBAyfs8cRDRE2Bi9jM4FedQya49Ak7N6588ezkNXLrq5xbB5Io/BW7GpBLUxrXqIFopodnWc7H
RMb9NqGbDHFWXMOyudbV0CmOsxaoeTsuM8fytuDxaXY1w2vQJM0yM2j8p5HHeziyp1WmJ1/6frqO
O4RWpt4y9kescyInctfkwSrPjZumGGoMEla+0vz5GGX+IWrHYykjfckkgkhR2+9DA9tRKCmBIeWU
ZE6YRGhx4yksyHzfMG3agfvpiBi4yTJkD3vgciDZkPR74/kyHcI+MpZ6oYerJk+8rTl4GiMC8+RU
4FYsr9xMSHtuJq0gkkGCZDOF0Og4YHALrDHJKIiZ3khH20qVMIhdIJDVE47DeduEpnqcRsBdQzdm
9mVt3IKushXwWHOKYNOGFbEKt3CJ0uavTBDzJVNsnicaffKsAC435sFT5g57J6zLM7GJacUnnVaC
sEQSw6uhsbSOA6Nd9wUBRCGqW8CpdO5EP66S0eYF2bn2ld5Y5q5mSLQMu5nmlG4uyqYDb6lZzJ3S
QpU9pbuLE9Gv5sk7ozf38RY47yQSiCP4Bhc49E+BCyUEqJIRgWmcbcoQrjMl+7siMp96V5XjSThD
/HezXduMhDfC4U6bgmbPKfaVS4GCcSFu3DQsvJXe9byMfZfSFWgd0DbWTsuxZCbiBVro1tVGCnxj
c9Zyjawv6ueFNRR0wasXAtMTv3y3IhTd+M6NPs2tdVBmJGpTvHjj9ahGlubwjlfucaTFtxEpw/as
6/QFJ/nNZLbmtTvk34aibFaBR88maMjUVvb0MIboPp1gqNfMMxbe4KcrKSmmUSd79GQ3MDRn6BBL
2Dd1XC+MKHSOBNmqReUR1p3s4gtK40vtlKiV/QatdPE9biuSPui3hHfsPf1mbpPjPEdbAXg20qKz
nsC7lxNPRSsDp5zX1q0ukb8afN4N9bWjZ0JNBqa6J0okmMrxjfvhjsrckR3Gd4cBLJ1dtTRZaxnk
00Fq07NQkMQK7ygFOBwQuM+cQzy3G28Mx6Bjst+2j0VY9XIzRiU+vkir5Z05dM0DKNgBsq9AJevo
TV/vaJPZT2Eq7UPbcK66JvUdevu20qynIITxcE7sON3mftquOj945EDnrO1R8NIIwmwd8HrZWej3
SN/Tdxp43a3tEmgur8JvndXt5pRdFJjtXQQFauGqTP8Qh0hPZXDj0bwaCyqsXFvPS41sVuaE6X1n
sMLlZczylCLs7sLke1i7N7XDLEADUTHFTYlUkLqeW7q3MJLf8ql/qGw5b3gXb72gfgAsRjdQn699
Kz526WQvy1J/ptBJbKMYLsmQ3xoYtcEpBM2uyrSY11pw4XpNLKeWEKPGtTcz4cFI94VUBACzeHZl
H61N0dVL14lPcZq8CG9gNRhfRpAZBVZCpBf2Fp4U78OMHSIn6C/6iFRCgm/ZeUz3CpwdIP613ruE
hh1v+in57pgR1/YtQFqTrFAWrw2Ah0TkCibhfWWycRsoA2A+igJWvzrPw01BKQ78KL2DRMRrGqLz
arLyLfMHY5kPbJwYtNzGic32vXZPQVldy0aPl9UwMFEmIlNFAhUftBs71DZ2XRO8c4uH1JG02qor
JCnFUurOY+L1rwllme0wZseB9tqiH9tjQADQrjw2dfFlsjH7iNY5lAFp7y4pN8wHkMd5T7oJx8vU
Zbh0NEl1DtJXYcbmkh4DYWZAFbZ75/qpuSAS++70oKGGmcXWRFud0FRc5Mw1+RfHTe3UBwZumFVi
pMVx7e7Jo7I+Y2xA1AiYJr7jLP5cde5esK1M2+nUS+0hNflV6x674062LDdAWozwPfH9nU2tRmr8
aVB639s+eSsb45iLfypt/8/4CE8rSuJ/2E++16/vb3/eT6qP+txPKumpTXaYgDT83o+z9o/9pPEL
XAaHGzffNRxXcZx+20+yWRRkFvChqlgD94affTb2kxbmA58pMmlkRaD6HEb86xaeOcZf3v2xCf3j
MZyABK05bpN9dgqkL36/nzQ1MTD2TNMLxYu2PvhtTPEh7nNL4xlBsmGdO3U+MShNqhsDoWiHtACG
6G7c7wHMbAu1keDmNWm9B8a73H/F/RcSVvVRHzMZfQ3U2uK0RaqaAmLJWImFB5GQzbF3VwobhDHL
k0yny6hlPW178Ry4wl5y7DuWLGnM/TjOscjRWt6SO5vpZo8PbADfKL/dlibddCZb5S4c6XN2nkTP
49+Q4/neS8hLeZLTa1ErbDm06X3AoqtZJt4/fQK4PhoXj4V5yKnVOmqtDtWqPdbernc4tefpsFNm
cUut8IOEv4cyMFtKWfVrXz0JuOoD34+HYGnLgEW8ir52adWuCrvEWp4G6WIudWyUoNPZnZgc2gen
jXaIoUOdkSF1loWgQAvDX8t2UaSrtnhib0FOZke9gkXJfc/46PS1OlmSdWrG2L7EHDSWoREbV9Nk
Ece2xHVUSC4iGkKfTgX7l8xps4kkM1dmBnxpkXhkAqt2VwiTtTPiFApyauSWIw3Qbxs1YkxueI5e
WaOpzf2JblhjFFV8sFzNMfY+dKd0IwalgHdT48WoTGvVdcpjm9COpTfSBR7HgpRkekGdjBzgRkdE
ZCV+PTA5p9Vk1uk7Z5BHUAcnqbM5zd1hm/HsWbq2fa597QxAihdSDtCrBCgWUQ8U9TehpadkwAFR
ifwL1EmqOZH3arHEi9C9QhfH0zRq3ZQd+wRgCOGNmbDVj5L5zHALuXo6rNMyYaW1+mCfTtG+yzHm
kQAuFiAGvHU+h68zdz7gGEkSlL5qSeWg0my/iJZWbb/iO60XNmznJROmZmVG47ozgJbm0z2B6HEF
NcdexQAdie8DxQgQL7TOkK8I/fP4Dhmb6h6+pph/M+HzRoa/dulHMdpWZzbbT7kQtHoSwXG/0kcd
otsA+5lyF4MfNAa63h6deARsarM3iBVRTAct5ijGWABsjJg7LC7FHwuKxiX+wCNP0ckQHPucf9z3
PAjf6NVlNNt4/gO4WiQKbqYoZ1Mv1obinnWKgCYVC61QVDSPlz6YEhKuet2GqwCsFSOjUM7svBLc
w4dCAdX+mUd8PD+M//j82HOF+Oenh/qYz6eHYYMbJJjhMnVwIfvwiPh8euDhAd6mC27ZTNdQz4Gf
nh4WTxUySWCtQYVY/NHn08NGTscA17MoyigS4d8i/hjOH/M5PH9IPfA9wPwx0dL/IYhkRllphL3b
XuWpg7ZEZjHMgZx6ws30q1Yx/lWyaDFdQLmY9rwjbRguxlqaQHGHpTXFZnasvLia2Kh6tmtzyhuY
bS6M0ak6EttcNW0NwjuZsbCsLEYvpQUJjgYu3WXxNNdOZ127XefXBamvsreOo20PDZRdrUqaZ0wa
NfGQlrppg1JlrHu/odsRgWZpSv9MFCDaMxh2FuwXrfsKsCheRS50OsnNspVy4WlUQ3+MuQvecFAt
rtws7W4xeg0vOsmektJyFL70Vj1uskbPT7GTynVmyeAq0UC1UGCNdpjQ85TzlznxBBXBvunkcIYq
MlwZ9PVWdVB+l4PHJHcUon724pjhQmtxARYFNuVPO2m/iKHKl/wE7VdvzvxtH2UDpRKuVOkabjlh
m7ferGfr0eQiMOv00eJCthkXNuwIGsw6dBi63Zu048lglUYJbqLh3pZGD1bAuW93FbiQZGEoqImP
XeeJR+p8Hc0zT8ZUdOKFIKN95Aos3E9odr6admMi2xXiGmNfuJq9vLt0XfrKj7TYVwQp74wm1iHg
67p3tobYZ7Qqo6sJeR3TfTu+ssFMbn0fomQy+94VIBV7l1dYBfwJ419khtMrsMjsRMmxeehy2W0a
4BfU52MBAM1QM+cIbM7kwzU20P/c0DEB5VHZzTUbbzWS1+WR2VF/BJRxYAw2Q5nTvA3H4vH7YEXZ
zivz8DBKWKwL6IPaOQ4c/ZDHTQZEaeJKr20751RNHruOsDO2Fu3xxWjXhIJn4QcHpuTOA02ZR9rz
4iRQeF749oONBi7uzGRXgdxq/TLN0XjIMMXtw5gzjqSTTYOjnG6jGtYmsySubONuhDU9B5uGin+4
+mdl/XVlJaT21zvz43v9767H+JgfKyuGM4NIo+243r+Wz8+VlS274VuGxbadme3Hlv1zX87y+dEz
5J5JbeZ/3pdbrKxA13V2LGBGgFD8nX35R+Tu5+AjaWO4XpQahUMIksDs77flrlGGEKLn9sptXJr9
NMLpoEdor9zK8rcQ/J7ZRQ6bqrThfOFltDSSr143+StX+Wa5d0I9G31oaC0mCDnNmYStRfmhqi1p
bw3XBQLb0kzjLxoVPZ8q44zftpmbGy+LcN7iPrshExBuSz1gvQ6peAQTWwSWeGHN0ab9eLVW+MZU
Xk7LKZwbhNOab1xOJxwERtrMnNXNzmniZiOKMTYOeT7M8i6coapRPAwSGlgyrLc+dhuSv0UIlbN1
VrUcki1X9NV6qAJjCzPGIJNA/EtPHaYdfdQZu9SfnHltNh1op0n487jOOtOpzqWr7u4wdWkNaLDZ
OXdTE8lVKaRzF8MfYpPjlsnaIaKwxf2QtnepmYFVYLabXUboYWJbufwzmSz5dR4sQokllfOkBnsj
3X2VQctf//MW/XiLiv9YCbjOnl/f6z9vf9RHfb5J1eEZeIvtOI66jIbd8mP7I2gXs7PhrppDK1ch
XOF8vkl9nAUOh2OdpLll6Ooq/XP7w57JQOfHDQ9xbW6//1bvmK3UHw/P3MQYRJTV2VnYEGF+/y7t
p6G3WssdLu0IOwlyy6Psp1tmZ4yz/PACKS555WqhYGZpfmFSmyx7UwvuPHf4rkX6BlKRtZgVuYD4
51pXLIPcZc6IWeylVpyDMXPrRd8VtxYUzq3OGHE79MGZixnYTKX70pnxndPPj5EiKAjFUgAYv4T6
lO9StzyYireQK/KCCYJhzsQdX2s1tGCa6qEjTqR4DYkHBBoR9rlN/Xvuo+jfp+Fb0vDgBvagW+Ml
IookWZEW3G/ciEjXN1yR9TSw+utRUPHDHussXMWRyDO6gaGiIFRLswJ5pivexFBC4FUECl+xKFJF
peg4La3NNNg6ilghFbsiKK0vZA45ZPqrzjTXXdlwSlacC9j3+9kg3Ue4y4OcNT/Y/lsug1Ut4BvA
yXD79isOt3hZ4pxdWGoa1k1BhqmWwag9Tu89QbDecLmSp3Tl69FDaCBNZDq4BGnMNB4+RwinIxHu
ZYjdK1fxO2T9gNj7pevQFMmU9WheUY8Hw2PsiR3eAOQrFqHt3Hr8hAKAyQtNMtfLsqsadogDQyQd
Z1IKum8sbAUY8d3hPoc4kkAeESUIkrYvrE3ZGQSV4JMYdNu4kipA5+o4G3A9ELc7zjBNStgmJYyT
sAZ20mQZt3jR0wgFpTS70wgVpSVLxZX41w5aSuYn9sJWAJW65KZ8VlAVgeXYhbKiK9wKj48zv6bT
AIelqhH+Wd+N0qaCqW40gLWUitoiLC7bwLg4CTgcPaSQnLAxrwv5ZBYOLnjYL4wrn61u4PWluDDU
sBkPwEPDC/8W8Ir0a5OWMTI0LsEPnTPtpNO+9Rq9UxGZX2xGDGHMpQR6+2tDH/A3pFzyuOw9F7U2
JStNEWwm06NDDSUyafkhzQUDFDtq2JZDI4NDtPbLfDd9QHEaxcfheRheiQ5gUPMN55nJe+5b3sZc
RzDaicgLLubWupcKuzMNtb8PUIsxWGlGgLYBB/VusBhzGcl6Uvf+9Ey+40ho/dNgkAm8CaIgmdZE
kav5vrclt6J2P3oN92ZBat3RiaY4r4XmQ2wligvS3cGQokBM9Xik2rwii4ZZOElIu/pbIrHNCi8z
Qfuhzg5xabnrHNsIUyrzm+xt6KQzb7cs4iXNZZWziEbKHYwYlxqQRNoC451Xjo7SYFzGaH4T7Epx
HHgrWHYbfehWEL5hBiD8XBcYOFHFhwBY3KvRIgtSxssZZHRsFxsaw0CsPWoHbbuPUVzWOheZo7zO
4m5T9hp3FVpDvrEpyYy0Bysq8JClI7UmHqaTaaABRDSZ1Ndj1d37qb+rTatYhsHwQon/QUq6uLrL
ACqolknG9WFVzfPGGeIHO4IeIGesLwhprgYQKQtaVVB5ouykD/OW/1csx1hJO1v7W6mRqxeVtq7N
lDhkdV8m7kNZxeestl7qhpaEnrsXBwSo00HEsarIBJw9GBjjQg3GlvFCIP7WE8WJX1618BNGGW3q
3ud9TxQzM9ulPXjRukKGBbfaWjGvnblJpO7e8maaeOu5sxJqin0TwvaMo/YWueK+E8aBbtqR4dkp
temzM+FtUYkB3IJh5wOahEPUuYzGrNyY6ZS27xo7Ojg8Fa6Uzgf6RLy9CHwNxWE37URBgjIMnrUp
B3w632sTdyTGOL1yaZ/cTUwhl/Uw7MoGCEs+cZnnhtXrIBGKarVeLmVe3FPph/lYvsY4wJah0PMv
Y1HvtELcu6KjSV3y28jcgEtgiPLANVk2hr2blwSgnI7yO0+Hsn31xWARQsl4rTU5h/FFpodafaiJ
HnDNkIUQKR2/2TQBcd8nkTft/1L27/9ePEUVmP/60LLN3ot/c2pRH/RjQ2QAc2ZeQEOZAc/vQ33i
F5+2I/81bNAWnD9+2hB5Cs38A4/30zyIvZIn+Fz8Dzulvz0P4jP9rq9FPkYZntQ8iM2Z+nS/S6ew
q2Yf0Hn+ReQ1dmHbmMtt/eGSNzXEjGs74gbgCdxUfWN+mOdzJaGfsdE7iX+qCwaiZZ6+pDCiVL6j
F224mSwLKFBpZgiWanPeF6NZrbvev4E3/11FU8EheM9+J0AiMBpvYrw61VYPy61XmFdjqe20OHux
6xGJTSJPYTLcpCJGotPWeGadHcTInZ6w1piMq2NfkvlPpq1t8JieOZYICjNDZGebTp92E1DfRaEZ
LwnhP3DNSPI89yvrN3ciw2tZjGfPJ229DkjwffN5vLYgJKhBSZKl3iqlZYF6plU6A1ldUN5txkQv
KDwZu6qVxz7N+uXQgrZITa2GFuAWe+4W+dsWZB8bOT/mmKuo/ClgBHzUOrXqtYhNcuYCgn4XbuoU
iAluInedDMazl9ZH8IKgaSz2kYbsvuVj8NQlyR1XBheC1ywdeWBv8kaU1IuKPZsf9kcxmyiDAMNK
H1TzP/fklvyeCXuAYgvXVacymW5ymwRbSF4QX/vblPcek27FkJUBXDzudBnhPBeiGxa1YXxvhXYw
+m4/cGGZQHZaBD55oZ4mCaasbjjJmurnZGkIM5wW8G32nmvF8JXf57G1n+acbDVDsT7LKGYnoF6D
u6FJWpZDhlFUpPwqOmkCN/C6iJV9kUi2jJwF8UW/uhrxJe6zBsXf0gZPHXtePbJfqfwzly/RwU0l
igm6BXt+LqW+tvS43EaB598FKQLtZTYZI/Q6OTu73p5IUNa2lUEuBTuOxwj4CSkYcXJxb3NfBkhX
m1P96z8HxI8Dos5U46+Xw//Oyrh4//MBUX3U53oILZRrQ86A4Fw5ZugMeH6a4ujcFPKfX5vhrKKf
B0R8dwzGTf2nO9nfDogcVlTADg6smgH9vc74n5qVcHA5HPINQowihP3H9ZAkx5CgtsgumlF9C2PS
K3OXvRiTvc8MqOoJNNym7tauDTe8dzczzHN/qq4Gj+NJMOSoIGKATx3bmNrtxCa09Y0uzbsh5vLG
c3G/9SE+yjZYETygQ2W0D9wPlmTTslNkQ43ptXqXpc1z7kA46gzrLYBzvkRIxQHHHo+j17+lnVEt
lch9xYR/7Uw9o/cJNDOnBSTruT0S0OKeze3Q11mT7kAvL6ZNIadrgYdoJcLs2I02htiw/WqqOzHq
H28kKg7UiRH4jASCwr5JecsBjY+o2Baufw1i5xHVKeJ6j9UgirSBfQnz7MRJ2J6G6vY1D0nQBECc
283kyoDNYxMDWuLyNwrPLRzrMiiPjILYSE5c0uVCQPNLIf+QdU4LcQ4M8SWYsnbD5ipfoGci1dj0
dFJTDWQgGbLcnOJl4JWPng2khSE5jHaWiCoO71qRlE+0nh4mxfpsgX6WJvTPTHFAk6p+GkOqLQBC
8xJSqNXZwE9QOoOYhyPK2nGOAIuaVWMuuni4EGp01mnazSthz+F65oZuEXLnudVkd2sCK7UzuKY0
rJaYeXB3O8/t+Ey5jEm989xMptwSL9pmXROu63LI5YNvRMVdpuNaeI/D+W0Yo9uZxOHa7Up0RGkd
ed4zC+pVwOt7r7eFvoNsIi+iDvyLlXPny9h8afnduhhcZ9fWU7LQIyIzkeVPV2Yy81iIZc4Fre0+
DgWy7Rj0jznKd/oqPCpl6KMM4FzxL/rG/2dYDHV791H0+K3MoeZCf73O3cb9e93Eb/9mqVMf+GOp
g4FBLJnEiP4vwcfnSmcwyibDQZDjw1ampmSfK531C3ACl44HMRKyyYSPf4zCQPrhmfXYrX1Mq82/
Zfb0/1R0p6DPwgnJz3EExdE/VMgjUfR235niXMuqKt2TlmmTIoNZepPrK99K0gs7NDNdRU7A+ClW
owZjmgyXQxqpBo+X86WTlUaqctT2NrW/c5dq02oQTXHMyTrfMW8ZLh0Gh5MSvL3SoxwOIh/SO8sY
6iMVeUqc7YijS1AVlRZ2TZzsyuPMzuqJoZXuc4jl1FQPCBb8bJsKA4lSVtCi6B3ju2bG861onBif
Jrsj4lgg8aATkeFwgIaJRDDGSfJlHJE3yPMu+CISP7rt4K9Gdzqeh5D1wTWqeT+XUcAbxARKMq64
uQwFX7DT+04seh44wNmmwZPTM0P//qauDW/QF4RVrBVDuF6/cqBirnObIuu9lgA3XlR96rrkD5yq
Xgw1fVgmD1P1lHadubd62iMz084VF52LuqTC15aYsws7Wul97dvHvjTr5yCJHZbUiNSe7uswCLSq
xxc/xYVpbiegcfspYly6krN1OxtN7+5Ej0pduslrizbrUCL6ns92UrV7j7va/hYfNaRolKGACyNe
mFR8fRqE2vafnc/HzsdilfjrFQFPYfv8X8u6m/+8lqiP/FwSmIGDIzds3t+QzxXg5rfdD6ogA9qK
/lvs7HNNcH/By4sH2uemivcrb/wfa4LD6ZK0GhdioC4/Jud/yJL9x2yZEhH//jTI4mJyXnVYtzgW
murPf4KH+IEmnRC+8YXLH8nb3akZ2WaCEVPxCM6CyWRSG4tG1OkySxlNYC7ZV7ZBdktnMsdl0WGA
R8DrlsBYq3e7UIakBwx7ZdYSsV/RYbRjXJ64ycsQsKs3eHhjccWLRUe1WLsQfRdaOfnXUZXf2zUO
uIpLeEVtO000QMOwZXQUPwaJ+SWnrndxle1OjlyMd8qAp48GvLwsegxwsdIY92+8lEnb2Il3Q6u7
DYae4UtR+Ts6kMekHKeNPhZrrRlvK2O4jBIrSqZVuH7qBdWlra03zP/t8ZS79R1zTLS3kzw3tsv4
vzW3qe5HDM+b1ylmWizDsAdSOCFQikEgx9UdD+cNYzPCPRb2m7qO933mPhkGOA7IiFd9WLFRm0O6
nDjiuzHfIW8wVmPKnD+rU4Za820QGtMOej0/mi7uj1mMoS+3UeyU8QGWpTL1Zeu51d6SJPOZKFYu
VYR4O8wDedqAI6TWw0M0IsbI0AM3XeZdmyEJM7M1lggcSi7NzduEXJ5s3oQnv3MqYtL/MZxkOhoZ
zXOEZ2TZBOwwLLdFgGcKatpAfU2WJ5n1kCEyK146U7PzpH8Lw1ReV7lxrsZkBDZjlOvYVuNpXsNb
Vr0v1gwNM+3J92v2fYlk9lD1CVcfbbxyqoCqQNkvvSCljZ8daZ9dw3dYtRmbqaHYyBEiPbnkR99q
rG0xCkJUirLpZxDNYvc8VdNXIfONVQBpG6Zyn5v9bY+kd2HMwztfmV6zmb33bmVcUHuZi8qYrpOR
KWqQRme/04JTb9YvRh3gma4NsScI7jxFWu6uKzbT9noqqHnp88ZOmcLWSV9ehb3mHspQNpSOpQC0
zp6aOWLJY9F2vDev9IZDz1bbC1z4iuOuNRnl2eawMoP6m28hP7GmYmelJV+COEnZpbt6IE3f2fyI
vTDYank035slGWVLTAO6EffOq5wjUID3LKpwiaT2bRZgOXaoYsw5dKloWAFmIbnjkA0smugtmUt/
30r3bVTlDtND1miTqQEV2dy04FV5I56DVPdWLg/ag3TrJb1FnC6pBaNpBnYaetg8x4mPGHses0M4
bRIj+J6VwXVWT5ALc7hU3PHKJckewUOReJAo9PWsO9WOygeD8x5reHEYEtGs4kB8S0pOFQ4z7FME
xPRsDrX9rutB+kXqFtn53oPKYGQRiMJ/nk4fTyfBQv3XT6ezLNr3+n3687NJfdyPZ5P+C9QE9p5A
hQiIqQza536VxxYkKdNFx/Fxrctj6/PZhEMXVS5dOrAqys/yeSxXsTWoZKTcXC5FHb7Q33gwuR+w
5t+nK0g2AZLzyFDrpJH/EFvLSxJak+E5V7k59xsCDtZK6u43l6ymdLtH0Tr36XyDv2ErKmMtKu+m
a8N7DKUp9X7XXJZWuqqK6eycAPm/mkN6n8NSWBlmjT+qLl54LbaLaYB2kCc7PSTnVnZyY7MWLKOe
PKrQjSet6MsXoy3iBVL0YZ1YcUCTLKEwwkwyCOtDARtqkZjRY27LE2vbt1njeqH06uUQV89Tkt74
kflcO8bXsZ/E0mnHMwl/hYxKCTxUyZGry3CBpLF/nHTvKebm51iU3AnBPnJWepncwyV90id3RqbK
c4O27cbxcARU4qlv8isfsvLkuHd+vUU3vq58SRQ2Ge67KP7mxdpu0OVjU2vhwRXlym+sZV70JNr0
Db+Jq3GKrwAzoSytVX8wepNlC4q6oFzkDFd+jH1DxmJvQbYHmhtNcinEXVida3dTtuk3BLnVgm9x
2zSQhFve8ZmFCq1FK7hME+HdBxamT7tpiGqz78dQu00C7eTkckAuxkMhiLv1IJPbEu87VZp5Y9EL
VBPEXQUOvdZY11rBvVbE0bp2ZpiifXeNiJRJME1BHWLPNirM9zaOrUNW8PUyKmB2qK5x6xd9nuIV
/J1TBElKNsnz6AS+aqedIOxeQKpe5aW1chJu9+lCnYaQo7IFMB9o2aK1RoeyIPWuIiKxHc5KNz/0
BiRqi32L2zTLOMbQF7s8MqcYrFCb0+xp3We71PaU9NpN12Dt1QmOCzHdcIRvli7iZQcB8yTQHGJi
uC2UmzniN4ea496mJFMBXF5T7/dOFQKuzJPnEsFzj+g5apqXUpmfDeWAnpUNWhIWWk41nZkUVXQ/
4YzukUd3yiI9UyTgEJTfBPTwePaOO7r0clOH3B/PE1gKJqkm43VqWd53fh9cH5YXCxtkijnUNjId
7BE2jN4TPOvNOxSJT5kR8wgaznKmfDTjIaXBdtJhiAklKM30cu9hLE0IH/pRSAsTlanjNV+GJr7j
Xvw+xnWqF/LQ4T6VjrNP9fCi4UQtcKM6KZfT2TycLLM+mp08d0qjWqbjTZb32zGIT1bn0FTiWs2X
ewP/KjPeXRVGh9BCzFpP5rHE1Do0+jUYMe4AZgBGDLoGN6InZc0bkG4XTDZsXGb3UON/tePyiNyW
pzAGjEkpYgmrokqrz2HpXgocso2SyXqhuGtk8xhimQ3G5NxhnY3C6bbQM53pf/SYZlzLDvFjiKfW
DuUud2IPx3CBdpDnfOy2Z1PJbUkNE7QP95zOb3Klvw31ahl19b739a+6EuQC6cGPJ7pbLjFOHYAC
6DPAzoo5/0rqf+d2uFbw7ZLV0pYdBl4zc55mjLyDRtweQ2+Gqbeou12jzL1NyNmdqP3cBF9j7pMo
cX2YfgX4DLIUyv/rSfyD04gUmOLnvK6d7Ij98GT56X5UAmENkzAQuYuFWThQiuFEhudBSYfBML30
SkOs1dkVNPJtJf2rWomKvWHc5BXq4tg2HmKjO42G9WhiLzaU41j9CjmGvJTYjyVTMhMbshFqjyN2
ZHC/V3pKnwzi17rGnyyUSDlWSmULt3KlJMu1YW8KpV2uvPypxMM8+Xm7aDEzpxiasZoO2OKMB5eA
aAVcJsLlbDfaDeQvYymsLzDR13E8vySZe8cJJjwVNjpoHS90mRdnTUnNAmSgFuZoo3S2JICJqKCU
TlrHWkMnEruU23AhwvdUCajdAhX1hJMagA42ZcIZGx1ftVtxYOBFUS7FyEHGCfUdl7NfmyG+q7Bd
T1ivA+zXhdJgj4P3UGBv4u/8JZyyx7aKekhM12ma/g97Z7LdNpJ221f5150jV6AHBncCgJ0oiuot
eYIl2xL6vsfT3x3KtMt2uVw3/3EOq5EpUmDE15yzT5ASpK2lFpyCYt6ZRnWeiNpOZOa2Y417hRDu
fnUOLaHca66Svuzy0ahnRaZ2x8h/mGLcQWAklhGHSOCwgWGoQbqIbp269/hvPApEgQ8yFdx8DwgP
aY60EoFFIdPD44awxWa1vcQZ+Xaul01ik0slezMcFPt2XnZ2VLrXjuzdCtnFEfDXeJrs7Fi+z6ih
ik9ET7GCLtMtN4zpxagFEPhJjwPz23dcHhbHWXaO1eiOFymLQ69Rlrey7Q4m32IvI4jI12XvibnC
IXwu/zBWkRYI2aGCKS23KpQzxStSi5VjESEB6WlisaA+papNNqu5tgpGpMm86aZyReC7Yv6YcgPT
PM4pqeNY8wDM0OWktxdjnVxrDhmfc7ohuOSxaMLbqIHr30Ccs1H8aLnDLFZtnkJy7H07mjatCvp7
zObdYITQJ/r+05gCusicZyPUT+O0cMkkQTGM2z5EqqJ397VggO/Y8Qsn66PQ2304xWdhEuGZ6kcM
p7SNMfCNRAcpr+hP9WoeGeueaIx034JlCGZ/CxXuArEZs6sFbrjVhudUmAH4pdu+Qz2DBekAcP7S
nJO92tK0ZvRE7uSZlchQbzK/hkZ+407FXQ+9fqyWJSjK8r6k2fILJTuKZDoIoZxYu/iUQjttbg5Q
U1FWIcG3myNu9g+WoR9zdBDseXE9OtvMqT+HKYCXLLqZQyqFxaw3axhvGKj6ZtO/kvJ7SZ6l3/HQ
zSDuBzf/bOkEUwLdPaCNuG011J5a4jOCXDy9wJo7i7suU0hlKxWFkE5kIvT6rG+34RgFbsiKdkDd
0Kfqvhi0p9ExQMiDwzUVaInYtSgtGiCQyMaWPHsiPxM3lgk6ELuZmw0ySS0/KHX6CEdkR3t0LcA6
4tRU75cJL1haf6iwWQR6gTBOGZMvYVuNxE5MA94m/WoyxVUY6R9n0Vsb9C8bI7R3qZsc3ES42ygK
2RGvr/ViXvU1oQWc77ALNR6WqJpMUAU2wUVLrW7CxXLOlVpdlAYBOrljBXEvbnKDVDeSyqRQadt1
SuuFZqx6LcaFfbxYz+aULncuJw2b6vlynp0hUKbqw4wSGA3Os6YhcK+T5kkw6wXCMmyzbiQbtuNd
O6G6d+XRg4qGlEjilKKWQC2ccKca5V8WKRDrtfaIXYQ5hdXNiM+KN2xo0F+WpgyQ4L0xkwkY4dxF
yQxZdC0Ok63hQ++Hy7WVt7ZpPM0qX7QUT1XQzi42jcWAfptcZYDUjNQg2jxeu8s6bEmfmPUP7KYg
rKJidLv8mb2usZdfd4toSc8tuc2zdtSfnZjQo9q4Uac5uXT1EudEfYhqca9h3F4rk5CladhFogpE
kV02kSAriQlMZBZv+A1zznJtE+nOfdaTIIkdPhst6sxp3oDpeIL2cuvOTUmmnH2VqtFVYadIsYzl
WM7pY5O7z8aMd4Nz+GjqtNlDZFVbrTeeSRI4uJ2qYKFIyl058g8rjUrScNIHQHnHPaMazevKmtsx
Mgqh30FP1mgj2lYxSIpaDC31M91SNpqahIRgfdfx/eUj/Z9yKK6rpOy7//t/5OTuXw2UHB6inbU0
hPMqE0Qk6j9O9rRECMwqZXJO8ZKU5albZ+ZSd79/kR+tqV9fxFIRneLpoJX88UWycG51MhCSs1gO
SnkSSuwpxn0/3f/+ZX7UrPz1MjYqYhDjhg1S5ceXCdkM0AUICnftbaoeFP2/8XX//bOyMdiiYwZ0
he/wp8+qQ6leVVaRn8uJB23vhC9/+/e38XPxCfFBmcBpfvz9I7sMV91sijPC0sK8Nt3L3//7P4qc
//3z+en3N6yMiR9HKbtDBkh+pm5bOzASb37N0+BvvxTEZwu8mGGS9+D+9KfIHcS9OASys0j3oAeI
gCcFMTJ8rmHIGb9/Lflr//QI//BnkY/4d8NpoSaQbQlPZ7XrM78y6bv6gDN1Gbe/f6FffH4/vNBP
b6q0U7canD9fSIe9gM8r3nKPyKu4/i/P2i++l7arqoiCuB2BFLHv+/5N6SbRmly85bkDQZq/jPPG
DD///u384uvy/Uv8/LitHTnz6BDKc+m8pOGzofwvHmcw1GSDuYCzEbX++BbSJjd7AzXPmYxMV4cm
s/wvDi847KwmmP4gzZBu/e8/pFIpqe8ttTqv9stkXw0oFET/X86uX/3ReYhZscilrSpXM9+/BvQb
xtHOWpxbCr/FB/mimjdox6o6WPX/8iT/4rVYtEhLg7QyMX/68bUQHOCdSM3yHMueepNU5Ght7Ial
4k67ff/j/7Oi1/jQfjfy/FJ9/sW8kx/6Ou9EiSTdWi48B+T8rnxsv5t38iRoOqcA5EFmod/mnUTk
sYYzvm7ivpt48r8wnWSjr7OQhYGPEuBvTDyRLX1/2LHTk0nF+IhVTJnAy5yfHvmmasCKxEQkYMow
iXZ7hxqa9lmFlsdQJ3onHmZ/4g8JFxIuICzJRWR507db552XOL2zEzGq7iEE6uFLnRWp2ExTmStH
3nQXXqhxuuAUQ9cYXRMXjmwEu0HMDkYdUIXinDRXaNTExzEQpM+10SqOC4N7n0EEae6y72AZhkCw
ifc2/B5GN6lJatlMxgNDmdYFfk3kFpiDKW/PBGUOkPb0ZbI3kSMqYEzUuWLtB+XVTNx+98+j/+e0
n+fxd49++QuPugy6+Pbk239w1UipnSY9V/Lx/vrk86WwcJkLw1SR6L0zQL9O+qUTC8Ee34lvzvav
w36b3EikKS7mS/An0r/1Nx593eWb991FL4l52N0R4BHAACwHZfSPx2O3imQZzMG6YkTJvAGmCijo
yokbI1AQcuHrXcOByaOC+y8PnD60qxO2EthOA0JgL+5NkZ+cIREMheBOWHbkd9A2jU2okKPmbphq
a9Cm18nM4YT06RB9mAZIX8EqIgPQXWYrbn3ojBZLhzua1nwzpDaDM4qqaGtL7dnAPhyZcQKnQt/3
pe1gz0ap1oxi9CBzvQsAu204iPsUYVtbWvmmYr4LM/i2lNo3ogSYNCOHq6viWDbhJb3M49LV1GhS
OVfXxW6oD7lU1C1SW5dIlR1bUuBsMx1jIjV4g1TjjTMSY+R5KmoVMG66pwwo92qp4RNSzTcVzkWL
vE+TOr9kGJ96qfxTkQAWCaMCYsWuO6kOnCyaIEsqBsOx6Wmb1znIeitnwoKycJH2fkdoG2EOS4CV
AiYhQkTFmI/AqYAfyeDzIlS/zDMJeIPZbVPihxOpZySp7zKVCsekbR8HEwhc2kyX3ZChhJSayBVx
pGKILRtWbYuAl8EDhMQQi/3BiEGQz0Z1lWrVLZxRP7TrY8IwMCYuyxvlDW3jxh7yTwb+HMKLx6DX
hTfmWZCzV/THOrowwgINngOsiZLbw3aTem1eZVtnscH06WQOKsTuYWlLLyG57dQo+jCUuNqzygUQ
tVD9KVZ0zXHG/tvtfYxFDFzGFHhX+yGqFp7EzDyiirrro3mD/x2T3YzXtUxvo3K8TEw9gJIud51r
Aoxsyb3aUMJ9m4WxL2b3GuiIvXEa/bXK1W6v1lVHoGN1Zaplv4tJlCv17ME2rccibShEmjNQ9BrX
SkZmDb4xMvFS8ITF42Q7geS4DkJ/FiyuAhsqzTjld3NmHgCtMa8LmeHHoNH9pUvB7AktPtZ1S6SA
u+K1mqYPJfdhkGr9hzmcHlWjuzc6+DCAc3dl7J7TziQxDxmm2cMTC0sa2YnYBTtjIpuhO3JYPej9
cMfoJ2MboTLDWKJD1BkROvnmdrBIgXSij9j9E2xC6BfdNGk2BNWpviGGhzFhh6NmRhIQiHRB6PkF
KrmXcmXIKKJG87VKvcMYzvDeuMdluFN09taMp7w50e9kixg4BLZy7yhXUWycWMUoPkbp7ZzkHxLD
ph9Xl5ciWmcyJKL9MJIAqsSO65dKVjLZyastge3PadmMfD7ga/J5dY6uwAGACYNRwtpKTgTcdga8
oZbTr2N99SyFYXu3nFXVeG1JPqN+a65q28ayFsYXbaETGKvOr6SG37IstD1Lr0P22jOUwnV5m8YC
Rf2IMRQDpuGj8XH8uutVRGlT5Yf5cGeFGY8OMBEvUxWWPHWyMHupTOJl4n0WzS9W3Jeb3irLzWy5
p8FsTqpivCJ50dnVgxFuJZnPBNG3guprQfYhDtkva/VMhAAsP6B+tqT71WD+RAvvz5kVoJ+DdWvM
mnGIoBB7ACUANmjpSQUYCBxhx8T7iID6Jm3DY5Gnh7hv7sK4eeslcRBe5uUCgtBS6vtaMgnJzGnQ
qsIpdCWxsJXswhGIIUroaZeCNSwl39CWpMO8Cz1Tsg+hzvcAraZHV3IRhwqQ8ShZiVgFnmdJT5zB
KCKmExLrW/kucQTbDNiiNr1OLWI7IjeSTbkYx9gqnueFT1R1h7t86rVNOFaPbco+TO+UR2zMr3EE
pHDJbIGr1zyIrsJLZcAoEW+jysNQl9Z9zYjbmwxVD8wcSbHKAmjbFPb1CEU10kMV1M6keHk+kvqR
3fJWA5y657UwWE0ZKHvQiOCvhSxqc7kTZSQOoEoSmJfOfDAm806rw6fYdiHW58lrQZ4h6d0T0qhp
LWWy44NeVisTXzJcpvkdhvJPlfRnlUTX9Z+rpHP7Ukavv+gQ+Knv6iT+rBr/GuMa9R339q1Ocv5A
+WlqpmY5dIzY0r8pIvQ/0DxY1DDoRf/EB38TReh4t9DW0XGoumlD9Pk7dRKqh5/qJAkLQiHsMu+i
UVF/ztpqLNDeky1CeFwq7Mc1z1wKdzc8KnMjjqXdQXlUxDJ8NNL4IgmXZ0IgV79GI6pLsSiwysne
U0IV46bRBd7vugFonSZp5FNZVY9RKzWn6rv+lN03ntJ3VeokBapGHiav/SDCFlIE2lWzGyuCbsCa
sRzdxhRizabPOzRaeD4hibapa11w6bqem3H+YdRxvSyp8VqlAClguLVvihMBwMk4dIiOZmunuV9C
0lY8S15tip662xyvgEf6DjVeG13krLnqtTqy5zyt63Sj6utlPOJL15VLo8oPahQfZkapvmm1SBVV
xSTqZyQ8j5zUy9qwdqJWrlOsmrd16Bz7Ok59xI/YYRnjXpYdmbPIBbPNYoG5b+GwQ/IYznPfnZVs
Bi7OvtlbWB2tVTVtCP2yiBiyeoVKR1/at0zv75Jc3CHmLkzGy315rTTZetINrpGm3ka1FT9BGvBt
4lpCEohOo5Ejz6riN7sjEx3DebTRKofVxhC4i17cKZY5bWuHlYrdrFrQtpCiG95unVtwiNDshaTw
BZpKnsoYTeE+qdPBg/uz7WelurVwhbrWJAvhFrjAUHq1RjZfQtAZwkD01ADMhtp46AAK2THLo3bJ
cZvmoMRyYCQze3SE1Xb9bIYDyeKqwn7DK7Wo87sFDc13X8X/n2E1XzimiUQPEsXGfPenAWkq4klk
bpdeaSKutzrpPS/xwuc0LRnDuH/Ov/fzTzAy+M/nnzf0/S+OP/lDX48/VF/oSywCHb/R078efxoh
nrb0tEqvAoEVHJp/tYkGKB6clpgKBcaCd2DHt+PP/QO+B0gAGk/9T4LP32oT/21EIiMVgQHx20Fb
M6yfxrRjPcNRj2L93M2G8Nd5PEyLgZQ+1fHFW80WrSrYjH75wA5Xh1xtfEbBfNm7SxaYMoUnnUNj
17fxsceT7eGmPCmpaD1Ww0Mwd+MVkLEuMFzil6tqAPxcPsdEhRMNdZsZcDSX/gLm+21Tw/9OG7Qj
bq11SBO0y7IARRYp9kOXuZCfmV2SjxM+rFX6wST8yyNFCQnRXJzNSD+rk7Vxcc/aEBAy0q4P60gz
NWQgjMd4hkq5bjSnfjNqrAtTZF6UqELJVPnkEJDhdivshKIC+QXGWCdoy7OMgoq2DmkvMJvZdfw4
qcPHbCa1niSKvQYT2qs7lMFFTGJbPwLWTmr9KiuaC/RM7MQ5iBuQ5KSyV9AEcuecwFf0p6g5p+ZY
X8xFT6hNEkYgFasMnHob+S7SiavOqgQCpgH1V2Osbw4hFFejYX9eEz5cNorxjUb768Vd+8pm0z2l
nNCmS2kUavWCdKtzzl0yk3rBHMlrUdd4bdRHflZAKUkjvvZjqlq7ZMQWZ7UkDhmzHd2ICKbBWqfQ
piMgcEWpc4RO6EaTggwLseTpXtfnfKMggdmlsYy+XAlytGaClgBI7oswVAO0rQiMjS7ZoiAKt8ZE
3d4WvbbrwZxsSj29RDlxBJx9zkr10C/RGiSF88aOzvJSYOUIyBM9WIYl3aihvewyKXEXKeSTxlCZ
67aNu+tTC68c5KWdq6FIKQCqB4KgsFscXQ69PlAoXWWHIkQYBjQFOkxnXbnJWSF5xco7bWaLFSlZ
L1snAvOQ4kjxliqqNwrxY+QJZcmF2XXTLtLi+0XrrimPy02sMKOr+vpTlbNxTmKLWhcCxEXt4nRD
Ws6Zv8qPKNHKj1Nnpg8lWWteF7vlfhnIp9VmmM64vtWz6cQYh2toqwmfu6e3yrB3JlTh8WSAr0Cd
/iVDNuyJ1A43Y1Qoe9Gj9TdBcIeli0cIIESBPtFjYFJ4jsHVpEAPDNq6yH0LheXNqs436TxwURHf
0WkpArlcy6/g5/d7Ar3e+nL9hKwQjFWNHSmHRHdKCGfydanOaxvrYC1TeGkp9ghiuzRuNWV4xBve
K4Hohzncxdqsql4y1J8Z+yDUV1A5xkBbOuZKgPOXe1Vh3T9Tv/tidC/KQrMYlYLbcbFB4+VbvJp8
T7/Po01SlgpaKbFPdP1hlL7mLorvC4zOdlpeT3bnK4qNT+AjYNzjAE39CRr464RRepaO6VJ6px3p
oh7e/dSuTGKQHusoE5carxbX8XEcjbeGIDtfXfOTmITqja79uErHdpKu8K274gugMUynRXGosHdT
J14OZkJwpnR+E3Zf7bJEJaxtjM3gnek6Sq84hO5DKd3jdqfDKpeOcpVN5KBEdzlWc4HlHHM8pyBk
xsDGjp5gS58zy9p00qk+dozASPbZqZjYkYi3IHY7qSnD4Z5jde+c6cOAhjiwFeMaSo6DKwRPPDU0
/0/pkx+kY77GOk+Gy57Mq9IfjZBxEe56JsAQCKTjXpndoJ/b10568c0xCYidtJ5xdxfmpsKyX2r9
5woLfzmYT/AEzEOCuT9t108EdBJDWc173nS+jSUJAJJHkFv2FZPuXSxZARrQgMylnx4rda801n6Z
8FFIvoCSTDes2C9zrdMRjeSfeuSlNkgCFTSBgiEkIn6SvymUJ5X/bL7EoB/9LhnemL1jdJ8IQqiW
Q18Y8Wawc18xshsiAxXugsHP9eUY9/lN4SqBmsT3ORnIsVUi52MCMBTJfZ4wVtcsaAVhZ8MLWfdU
v5eJ1ANi7+9czadVeaX6YuyuO8qy6xytc66TAtJ8ZJW3gG/bzT+10Z+9IbXCf66Nrl5qVqA/e0I1
fuZbaUT9g8wB9YEtWRxyIfldaYQ9GMOWUAUtngQO/muCTuen6Sg8XTTs75jCrxN02kkTpgcdnUSP
Szja3ymNpIH0xwm6FOQjYaAMYyj/bz6utukKwxy19UzibcH4puc2dWEN1+byoKbNLpRUZjBJQVgP
n8QQfkyk3VzMBs1UmDPSUx7csQmEuZzMtaYh64mxCPOeaVxytkjfWELnmuaADoJN0aaZxC6b3dOk
m5dVUe2IT9wPqYYajePKIfXLbyOaht6a7iwTNGivq6+KVRJk5YJvHY3oZFsZ7SURUZ7TYLTRmMo0
itgVenIQdKl+rTmPdq1foxo7myDPvaEtR/dSH/PHzFp24QyrfzHdmzyN7iK0RaXJTHAx08qLcuqS
pTdepypK6ROHGi8fr7OY425VqF6gcPhQs/co3sSWuDD0wvkUo6RNRO9rUX0xCMxkWj2V3gA6IMji
xk9yc+s2+adoSIJ+4Vevx243NBzifkVtOOM12toCvu6EoUeO57AFASKLyT7O1YO2VEdd5MkFLelF
iFHAdyQPKMyQoxOd6LuTdUf6obVdnLb3sR3wLtzWwHNrHcqJuVe1upZndmZ+QNt9ZWXcgmXJLdSH
H7vIuU8VhyNR0ffGEr4icYE+RMwhzRZ4IPwAnsYZijAH020cdpzihbhHSN959mweEADOgRHVtzDN
9zObIJ84TdWPVlI3q6QLD0jfhacKMr5qOvIELdlmjZNl0xDe6plR9pmoaQ71RoWBrazarduoDnvE
bEPUM9kSMDIDpVfFdpwAhaEV0IpTRqTDwRoUc89WcPInxckOtcOtJbFuI85/D2FTSjlm5s2+7aIK
IB8xOReqFX+JlKre4BhzL3DxJj75W4e2ie7R+jM67rW9odS9j3hg08WDuRkd1GJjWR1Lp5UgurcK
3JJnrNNRzONT3aEtZlL/OGgNVzKLK38M66exc8TG7tZLQl8vi0IYfuukN2vvkGRURbt+Mk9MqvlK
KI/9pAof8ixgOmRvVmScuaJ3A9ZbM2Fn0RlZxfyj27FOumRYAKrN7T+uNanFIntwZywUhRkeIq1h
fE+Ahp+qTbJp06rbJnH54ooMUIHC9RPFGzjPpzJ39z3qDn+ylS9JmDwQvtL4kRLFXqqJL3pSP45E
eSsRKWct9NKXsTU3iqo8A0GM2Xw5QAKYcuLzzG6szPjY1+B3VfuLvXZHdJtXq8rIOKFi7ioTe2Sl
nUqmDjmhs5vato4kY/ptK+9rLb4dIy7bLFk+avZ9pmyMxTnWSbJ1qQ8otJLWL2vlPhltFZJXfuNg
MWOq34IKg81lDSGjePjFZoiJTO8DfSKAKUk3imLt1456vg/xSYi2c31m2nDW3BN95sEeM9qT2B8M
/ura1B1HG8pLVqwfXWvstz1kYgAv6LBTQo2YavVjczlM6wH75CfNrAmBU9XAKSaXEIT0rs/NT24b
N8Ew48UrG/uRSrv01SLkS1zFQPHjnswAzkLPXfOZ7FhtKa7+uXH/vHFRc/3mxn0dX7786s7lp77d
uQK0KBg5CJRogN5nDt/uXHI5HEHOJWeBTMfgOvx654KbIfcNJQUyClv++L8sai7/nvkeowH8Sv17
DjX9HZz+L3UaS2vbZtFkumjgsMnxW/y4tA4H2mgzTJZzUl7rCzQ32l32U737MK/a5IlFA2QH0Q4c
+K2zGJ+WOiegne0jrCraPVKDiOeFiMfM4MxApkIcb31y4+yUD+4jeM4HfSrfBohRjUIvlbj2M3O5
mpBaix4BAp/QistKIvnGcGS0uiJNFk1MDpowvMbKHi2yMrY6skbijhq8W9A2K818ynIe82X9RIwl
riyIgBNkQIif1y2kwASR8E64zh157g9VNUdXIVTBahprb4EzqDpo3OeS8Jq54j2vQYqXtnGGwwCh
kBFRyGy33Jax8mGAYehyp5uae4VmcLsSsxyUNr0iMQiMUGkh2QduGyd3WCOy/DDUL2xgz12mWoA+
m+VuVQpiG0LdV+vOX+mGcbbpCRe3gRgG0OTGVcznYs1Ya02hTYCDyC/sKnGDZlJBN9IAslmXbZc0
prngHeE8ErC1QlRn0bbUFYJy85ElWJP5EWtGVNUDl7YHKobObLawtT2o04Qud3TMhnl30wsyT9N+
bLHORSnXTRzlICGAJKIDSC4xZ2yybtmJfGb6M1obcDCMACKQycJg7AtIEzG3+mDYyG0K23itU/OU
C/iUY79+XA2qNavjwYnD4YGQ949J/tqG5kVj5JVnGt1hGYbj3JIpZ6XlvtKEsomzGhKQPZ5cQe5R
hhOKiJIPi2FdFDXWtMJcXhrVbB6MoruNCoMbfvSmegKLOO/mNGVibIYICJJwj2248qNGP4IdpAFW
avuwKAtyoMJ5VMbWQc+jbCdX24lkRPrAwtQJp8PqmpknqhrATlQGrqRRjk29SwBweMImGUYLt/pg
biUT3mvb4XHFxpGb2lul85lxwD8JB99kmD0sdvwcFVAqGUT7c++wUF+furaEucTmkwWD7RPKtynn
/qIYbJ7mdH0aaR6xZLz0SwKdSTuyYKbPqp+tZOqDUMdXlQmcEnmb33NdPMSoIvFbGx2/WnbMyHur
JcGzt58bklcYQFmnFl/8Ghs7oZMrtijzTiyLXwzDR9OJbjV2xrZannWDm7EGVdJYq4bSARlGY5UQ
0bBi69E2K79krNEH5OCbbgp3VTLJ9D6Dlbm5XCeWSfBIyH8zDRmv3T2tA0EIZNi8MJkqfVNkvS86
8uVyGL3juNxbK0XDXOU2Ixj7viyjo9OI59WJT7k73+iasqM0I76sYXdSiH3hOjxGdnPAhMMDGN7n
KeBtMN6vZmrUfKHUex7jJ+z3McdCddUn1k3n6l9cOAabVJmuqxC/UNGp0gau2YR8lcAlrRjvJA55
ljVzfr1k7m2Wca6wIWoO4RiLTbGo07a03E9z2L9keXMdqi3KEtsMg24SaDyYQlHWmMfa6YxrIr53
CmQ2kK2Sm1mX6udwgTPA6JOZaXWpr9EnFYvJIJmbkGWUTZ9pVzGZQV5Xk6vOoqIkT7F/rZjQ0HjH
IGOymmlg33Cxk2sISwrOZyqJn6HRXq4gQHtNvUhAgsZxf9tiU/LEpB8soKEz8FDAnHh0oCvUfSyw
DkEYXaIoSONiwL5nBP9c+e9XvsHA/j9f+X8hU/KXX+W7yh/9du9zuQty7E3LdFnCylXrt3tf439i
9UlIqyHpmt/12kjS0JDpMn31a1TX114bZgo0OQ03hNAxKvy9WGxsAT/32o6gyxKAPE3wLCiHf7z4
bTVS87w1wXU5rBlZxMn7eFkwN3FeMUFVDxNAC8Y/h7IoIQuRVPRcuPYFIM2tg+ixyqsre2gOCCcB
TIYbYZDelRPcc5kndnVOk/ZxEcaT49YQYLtl8RyFOdOS3f/p9+pX3LFRBuc/tcla5ctCfH0KFxEP
ERYYR+YTqQQV0aSNgSuzi+Iw5jA0HTwuoseZSsTRmqIpVSPcPBjq17Aiowhp0n6QyUgKEUnzQjuz
kFrgw5E1g1iqycZRPIwyWgnK8qSRtdS7RuZb7/lLBDHh8o5Bg/LvNjKlaRi5t7C3ktxUpp/dxHU2
i0x1GmDF0AXGh7U0wkMus59EMTPlo/sHnJcfTVOZLpGfupLRW/pGmz5A2GOxncMwaaP0TESHL+Ok
vGklw8Ma7lGjWuBpmgeEf+casoun6/iJZwoMvQkHkvXKISiVnK2GIRrfbflMs2Y4schhGrFU5MOO
isRGXiDOR3o13ropbshwgi28Ture1ukOlyz5Mqr6KSrXq1UrRrRQ9KlD2j7lveKHQyWbIXI4Y4dG
WbAGj1C8Kevc+5XMGeuqlBTUPtWDXLMOaW/dZOFCDC3yj0CDOdcYhbOdlOpzo2E700THbTJtjIac
VzJrYN+c1Xw46vqK7s7ojs3IMxMO3XWTWL0H9IZI2ZH8M8OtUGohf0yHXdPoJ9uMs23PFNQHu1Lt
M7UMslrZtalync1Vd1pJQ/NMlDoYi61bzdJObp1LG+44+0Zh2L6GuZYl9cpW2Og7XH4Cvf8Ubrqo
u59pYLdjWp4iI/y4NOOyzRVnF3W6FZi9eDSa5mOqk5uq4kJZGmIjnCS6IcTyUp2LYI3mq6Zzv7TW
VAcF1BaW4tYhathHrJZ52Q/dOam6RrmpCEFeX5c5z/Z2UQRuVj8SLN7440rvSq96Koesvkh797nK
xC38ASgsi9/i6KrXaAvRJai76cLtlW0rtGOVx1dJVV3MaXdFUsb1WOK4ZVAz7PJwIPg2NN9WSxnY
8E26QTpmaI8efJn1TrPWE55Q9EB5Mm2jxERJqlu8LsDRvN1NtNAbypj9tOrXrfncKSSxF4P7UEKX
Z0h1bDUkhUVvHibY1xHZPcOq7cMRSdtiDjccdl5L3aLRpVKRsYQPm/Bax2WP7IR1HzmU1ZDcQoXy
wyW6WyHOsxUb4MrC4GbCTdtqMHffuZGqb9nkJ1s9s3Ys85Hj5ShcNS12UOjlJnpRnhwgE8RsoMdl
11RcowJ7so3yrWrFl8LRMOpV+eNaRpemypRtbiAlmDpqNyFBOUCEPjkSncN48YRZj2NCiOtC4nWo
zNQzy7RXckpmuDnT6yBhPJAtb3WJ59Hh9KjwehpDPC3wewD7b10J9Ckk2seRkJ8ZaW4psT8Z/J/a
WXYjPCBRt9cufCBBjPIqgUEm5CAyZZMAjd4eNat7YUMXcoYw4JVHX3eNe1UCiGKJIloboES1xBM1
inaaJbDIhlxkQjBCMge+XUKNbKx6msQcJRJ4ZEI+4r0mTC6AZriwPOKGgrqXoCT8SBsVclLkfk6o
Fzt4SpkEK2l8BfEjEksEc4ll4lZICFMocUy1BDONEtE0jekuboA2JRLftMBxSvjnHAl2Mk0ELpCe
4lRjqSvhT4bEQPEHBQilzbdzSUppUccBkj41AAOwx7UIRsppo8MMoSJUgMjTAWB/8Ant/ii6NQFu
gg1yNlhOG/NWiZs7DVSVJZlVUWwNNE0y9QCgVaYxSlM6fdeayPvHpjlFkn6lafXdAA7LkFwsRW92
A8MzM6uvJknOqkFoRf18K5ZqA1tl2Zr4yCtgWwycpvt4XYbtBIgrcwe2GbZ9U8Q22PwcHt0/9dR7
PSVpbL+tp/4nSF6jX2j/5Q9+raZU6w+KKeH8tWaQ85Cv1RRUSsYX0odm8lR8L+rQ9T8YcKDEt23G
iu8Rpt9EHdofJjtboEECYpwMqPs7m4tfadqw31LQ6cxyKPeE1Lx9Z/JL0jTuYkgAJ6QfTPbY/MKN
9FkpZmR9FVNNcTWudsspLGoNSkS5rHcDySIRUQeXOjr9lyyWWeGMQQX3jZ2r6jUTAHYY6Uh/4nVj
6Z6Lql8vIn3Ik0PTL9o9AhPFPKidaBXPdZX+XIR6eJEtFoxWRBWpepfYNG3HNVrz7rNbRtZ0anUq
hBvW17vRKvNXWhfEy2Uy5EwjCWjZCQlcdN/Zi32z9AeDrSLxGStBAZtQivJWw6bps5tYHDUp2mub
Jv1/7J3JdtvGuoVf5b5AZaFv7pAEe4qkOsvSBEuSZfR9j6e/Xyk3ia342CtnnMkZnNiGKICFqn/v
/W0cyUCEVuHoVryy6nbVKVN0MNvJOPo+vpRF7Pruc9dgyaY1wWfsYxsY4nFFdZdQM58JEj6R63+N
sYGsiDFly9Iy38o2e7PcQqWqJauMLyBv0BShGFTBsMtnxVy3ieieBiZE8NsVJM0h6VT0ggHJBrrH
gyoieEHJ4L+OEcgJ2qYpuRM+CG98J2wiavuENW6Eo1lWG3SnYln3c0sdaz4uTackPgk4ER2dsu6w
KT0LJ1czND7JjezgdFhkTL8G32aa8y4x8PpFGklxww03tmQp1wEroD45Me49bGt2nnil4745Rig2
Tj9v8UicdYyJm8mnlkQ07A0DH4N3Y4yfjZBIVDLM/QLH5qZQXdL+7bhsw3o4JbCPaegLx6Wbwkxm
qTM58pbaGbknucUcqd/klpW/xYpR77Mqyh+wq9PqEVVfcjh3h39Xrd9PgT+14d62zzkVfTyyLFEf
ILzGN1ZceqWwzcrM93vBmzxk/bFsYVMz+E9gdk1drj+saH8Mfx1casx6WJts7Z1C9tfw1/5NUsQk
Y5cTJYiyf7Rssdz94BDISRQ6rypxvwo/+rfLlnCEntT0J587tJT5CvnHjE+qocjCtDZLLzzJPTpU
ap7MsrpwKng1ZDtuTU1ur3IyytTsWGn1YzoV+7TJbyKKdVvZsKvHtEeZ5hX95qialPAGOtCLmlre
UBkecOe/vdP/i15rsDVYxTXIqzUd7fEinCkz8RmGaAY+0JQeQ3J2TDIdw6v1PldfNOp5xn4I0vUQ
9I66U2y9jvZaYrVoKAQJZgjnrsUutdRxOvlC0UsKmsqdHdnZprIpbwGjYtzpfsvWyM+GGKOqS/zi
WMdR8xgPPr6GHmwGNc/0MC/bjuBAk1sxjjizGfBFmQIKmVPDf8ztfl5VNUv2KjMtl5jTML50vABg
tOQPdml2fGcHvu4AssrIei59lnx7qLAMOenAVLGgDpKznNagdKMDrqqZqVro6qvC7+81xf8k6nnX
2uKmt7Nl3g87uIseE8rjOJhnF5vzwimtZZ1qN+Q/nktRHNIOnkzRdlednbPqCDgAoQ1gylVv+k7s
MK6ucr86OUH5VcNJl4lhC+phP1jZNvCrY+Dmp0wbT10BfWxqblwaLKH43Cdu74WmvfXV4GyFPfJr
Wt6m5cy6FnlpqWwGs7mpW8bg47BjGSfdBd3MpS7DafZpPDCByuBXxO7XXKW2KLVOOiSSoXA2Rjkv
Vc5wftRcmIY90rPj2WBhSqGucjs8zQXAAY66cEVPeWNsm1F7mIfiqgfZgWnwxL2kjmtYu2F4ipkF
NrpLm5W5xki6j814U1rKk2bGaydqr0q9fQkKJ17JWx/Y7h1ZOVq/1I1jjTRKNS22ZeXUaZCTq/hU
g7qqoFe2s7g3Q32XxvIOE1MikLprkIcdAOuuX70B9lz2efpgx+E9NZ03bSjWfmkedcNZU4dzUuIe
ktikHgdjfIGT3C7dXPVw5R1psNoTtV7WYXsMbHUtovEAZn1XNLBlnal+q23tpnfHm5px5cIPevPa
NutNZA3hyfINXj4aye8UEzx2mkq+ggqdcXDP78scq7PCEXRQeaQ619il8nQKFK/kJOl+mTi4Khxg
jUw/2hxoR3myHYH9gK6zPZ1DbxtPPH6cgssSFUKei4XukzFJrwZ5Ynay7o5360oXMugjT9WaPF+r
7ydteeYWYT0uKXfKV1qoXvmGcWPIEzqwLoaa8tTex+4l5hjfGJlXynM9NYmC/TvkkmpUrwg4bjgi
L02GAcqAXs/Twd3StHbhypGBH3ICZIigyWlCODWHlPECGKOjzrhBZeyQWcSa5ByCTtvXUk4mtFl4
6K2DF8upRcT4wkydHe1LOl2QTDZyOePw5bRDIBEVcv6hUYu7iBmJZFHKbIQhSaYVn1s5NcED0C9F
Np86BiojgxVLTliEw4G4ZBI7RgSJcsYwFuMYqtP2wgy2jujSNQDrEh7wcMXkcFr0cpqTybmOKyc8
mpz1DFFZreNuOhZyDmTp0TlhMNRbnbXkzX8XWPg4QrzvuRQrnOSMx0VdAh9mx8GgyZUTJ1fOngw5
hSKrmB5C00r+PbGo7+9+7acT4Ku3nJB+9MO08rfzX+03rAmEaQgef2RmQ8unFpvwPiEUQ3PRXP//
1Y8NXVFwUlF2/R7g/5aZTZBZQlcwWf1D0ZdAwnevfdDbiinN50TzGE4D2fiQVLbTNnAyLRBnlbb2
ro0YuxnzGySvYEHBmLXodAWIaMwIJuCgANCovnHrTFxrdi+wKttFbt8EgZux/KkTfT2NWj/4eCOm
V1M4LZXJvpzVUGIDc5NJHrho5mnYIRrDNTY442VwZnA2YxuNq74U7rpWtc8ghpTXoEqzZaWN5boI
7ZRIGnzTPuhBcxb8WZ1SWqyYWv3E0FMlJI3uOoe9uR9yex/HNT5wvQa9hqu86cSm07oXhjLk8Ko6
xHuba4tU61eYEK+moHBprDRXoWv0JydXGPDUcbBiYM74YGJ14DuKHx+FjQg3zmF60FawFGdK5mrI
YLCQGZk3l7jJWTamNn1EX51uVZXcJvUhjUhOFOWFHk636xjUJC53lbA3xi5niOh+LKEzDmvLAZxq
tBjUnN5ka+GMUPHsIdrnHOwWph6NO6KQyqoxKz1ZkFYeFs6oFPzOoFpyW8TZqCKW+sBdxLi+ly0Q
0cqguTDpi/F6dmJ7wyszuR575VyUYbh1E9B1bIn4S8k8R2shCD6BG8tTAk3xUGxrhuyLWaM8ECHA
cLzGsaF3xWEISc/NS//W5LKb/r3BiAc73+V132+ypoj2viWcq8gYcH22ro87ir+cX6lV51+rXfiY
hiYIvdx6Duh6WQxNqq1Uw31M1DZY+W35VXEpfWpFcIQLjdU6Bj2nJJIwkn0NZ9Or6Gc5TxmIE0Rn
m3m6k/AWJWktemtX95W9Z+aoLnvAYlhmuU1ZtjFC/setnaU6mh0h4EnWD2OlHvgBWq1jOF73g2Zc
9RBP9/B22YfoqX4xzYZEQk1Pi9JQxa2zPaNOvIxBoNWVq3hMy/VzXwzWuq7M6mAZReGJotgU9aDR
MzN3G+rqn9LehiU/qksk2GY/jEwWyYHhqDJ855QgLYjM/aKJhkKy7Lrountf6FdNSX/eQhPlacLb
vcNWG0Ncm7fCpBCGsWt6p8S+z6jtrRXjIUrtQ2TYxyks3BWbj001TisLBi2fmT1TfjSz7AlR4GCq
0TELnWAZdaZ/lTukUnG2A1YPg9twGoNdFaY7yODbpOImsWHcl4M0FuOKX2iJ8xx0A99AKzpD0saa
nbsQ2ts+46xdLVUr3eGRWDl1/ZyhsQ9Foi4LkKw2YVH8lzVtz2WCCwoPNiR75YY5Np2yMS4o4+AO
4xLm4Tv8gE3zmN5T0HFm539PQwUhAIIo1tlntrP3nfkrosiNOXc7uT3Us2xlkRjmKDweSLAu475/
Di19Q8qCsX5QIpw6lybJb5xC++KS4qY0Fs6uO90YAu89YTbI6zM96mwfucdZDBbBYNYQ8FLvZ5is
OLRf52m6G+TzqCbxjnTHBYruOXOYf4BC9ceCWT5A4YDLp6ZyneXjCZr7UpsRzXyYduTAw1lsZvjo
QD2XWUnTacMI01RGVqLo1XIwWLNFF/R/JaG9ws8BuVVxVrlCoWnLDhfIw0VrUyTvYDviDc0KcezZ
ijEbf646MDzJSLY6+6oZoHrJxQPOWPotnov0rfC7m7G1eSIV2ktJYQz5ZxMdoyFVxGlwlbf10vC1
s2U4t01rrY2edEkwEqJ2pd6ueW4KCbnAI5sxP2CAwxOIKZw2EfQ/IHpVdGKFW0/QEpoQjKMz0lHa
hDudUe84158Vtd3PpnNrWeVnJ8S7AdWzyxhClG+VomDxGdWFrUfryCqpeJy8JDBWoTItAz281uvw
quj1G83PvqrQqLVaYQ9oI0kpW+H2W6cRTKbT2xhidYsbpeYntX28oBbYRl8gqSjdmq/iqXGdtao3
e91HnByrVQCSF+8PUPgKGoBhaK9DV3zmnzLWI2DtqTGIGMSY6exwWE758NzkzTJ3xCFti90sbNQH
mLY9sKWQ3hmiJZiS3HACa2HZG63tH7Iuf2orfLqYT5hLrkpGOcuirbc55lY23AWmUnejxv3noVYe
ijq+KYS68RlsR37H7w7MB8kRuzV5Ou1Nb/bX6DuHcsabKkiDR/bWGf0zLSm73ICi6atX1C84i7yL
1lk6XUpf2fEFW5SDQ9Qdp7E6PpbwMKZa6ZZAhe5BFl43dXPOG/OGbjll4agN03HT60tkzRrAfW6m
R0b4wEYrhXNscFXLhWouSIO0B602N2WJdbEdljGurWaQ8478wI73vqYVRtWKg9CM8Cx8xX8Jpii9
bZhoLWet3cO+Q4jE6UUUS4j4C5mV+7jN7J3GaA/edftomLzUQZ5D6qW+Wf1iZcRO2uozVVM7RVPP
rLewRetko2KaNOeI72VqJ9TMqo+h2ZRrV0/usrqF1zgmm0RXL3HCYS9xQQfiMVvDKtj6ibUcNAEE
mDrXvqFMlTbfpTppsjSR2sj8MgYWjO9xP8IfKQVJJbjbbW0uSt5/fAMamrl6e4WlbVWHIl8KdghJ
2zEk4SUxEkHqhfOl7/ELRSAY6FqLlHGVF0xysyYe0THm9ZjlBypjD3Vr3hUmPq26pRYRClGLERti
uNjnaFqlglTCNKNWC+o92qtZDI9NXb6ilayCGEupn46kb8HXZQqvv2+G8L+Osr7vEHEdYk0k8ui6
5ocoK3XBdd1FuThD7Ixi2BjJjUDx/vlFpLfwL+/h79tQXbUkRg4Mny6TCt9OnyKRcUA1VHEenZd6
2Azd44gipaOj/n9a9nX83+Ct+MHH+dGG99srfXA5Fj4U/tnnSppzCg2ZicK9N+8K61PcPUWF9fvJ
6D9eDqHi7x+Mb5Ns0ZK17R8+GJUkneOnRXDpxVPbHargNU9ff/67+9EnYrfMZpnL6H9LkQI7pvF7
KsMLCcl42HQ4N1Iw/lmwiWak1PZ3g+8/+URYRDi0kP8w6Bf8cGLoc0x9k9JGlygPsJiDwwo2ZfKL
z/Q9GOD9efjuIh9ElMYXrWn5XAS46KKtj/Re/W5a+q8/hrxx38g0WBQxPjLPvdTlFZMQeDl3CKS/
uMj3Q9W/f4wPd79MSFb0WRNdRoGybXISv9AqygL3SMe81Zy1rvnFFX/wvBlwBlG6mDKaaGDff6wk
cmgVInp4savrSgmWyJq2//XnD9yPrqHjEcadxHOgOh9+db6pC8vp6/iCy5LRigc+fDmk9z+/yI9+
dfR1uMAM4QsSu/7+gxRDaNtRNMbcn8ec2gNOirGE6Pq3cXcw+mox+Nc/v6J8pj6sQSxxf13xw80i
M+rWpTrFF2UUFMU+kIH6xWKgfv+bA0qGvmhL6obLJIDv64fFpykgQoWjml3iY71rd7w8r9COVuZ1
eGMu8xV2qqVY//xTfX/J3x/Bbz/Vh0uGPWYkUhHxpbcajslYcVwWhWL786v8+HeHFKHw5sTn9uFu
WbNq2W2mxBe/YlCmHhyn/cXvTv72P94dAzon0i78QrJh3z8PZaNF6tSI+GJz9J0cjd3mU2QEiyCO
f/FZfvQb+/ZKHxY4TsRFTc9ZfFGh6zjXpn9bzb9Y3n58CZQeiRgGZfzhUYvUBMb3HCSXPD+buAlG
/MRQi37xUv3RV4iH7c+rfLj1oKZDst5cJUpeUyGpIivZNoGNK2kvIqFs8xf36G8fS0NCR/EmOOgi
IxkftgqaC98sszEhtf2GylK4ANV88w8ftA+XYMz27bKd9wG/0LBKL8CFYHgE3oSn7b+5BAq+DSFC
siO+v0Q8joxgOWldmvRVzMTFol9c4G+PMp8BerLJ94TBG9jB7y/A0mkPKmUYF/Z5WWcuw3gHd32R
u2/vH+RfcqrOk/xzH8m+4Mwb/aDZXv7VP5wkSLIYNFTCLtpHOtJ7zaHFAdamT8rAL/LnXFZ3fmPy
ysxU5ynXTHCR30qyhkPh8vs/RmLnHzVG/c7Q/WvFw67iKJKvTdbc0GUy6MNzyH4vY/A21eeJwRZS
jga1kFRX7sREDcP8HBnWFckE5B90IIo8TSQqpKE5UG5037hJ6u6tAIi0GFGRGIkcQlSlXu+OiaYt
BWoTpQdHB/WJGR/SAXoUFtmjkoL401GqkIrXfmAfGxSsYhLXFoqWPeUPJpKIg9LlGA7nEQfna75L
UMJCCKyMe/UdoIVPtJ6g7ijXUANOHcVFNMOcRrtHrkFdo/BpY9YqlVLBvUnHhuATrdJ6eHHR5XwX
e2etP+kBthR0u9y3CNu6h96oTj66nluMazzA2L1K1DnwbAUFTuiAtmFuQ4pXXPQukWA6poyY4/Sq
7wjQoCOGSv+IznwJw+4qGKZlL/VGdEcd/bHWSk6GXxu6dFaZFCjDrtvPKJY+c4YIBTOO+51oXK9H
2QyDeSPi2MtQPK2yvp2aiXjgGJ0DNNHEptMIjdRssu2MZpo57UuOhiqc/ERD67FHW2Vstc/qadtV
DCrQXvHagUuEI+m7NE8bN3aISOswCmqlbGukw1UihVx1qg6VnzzrhXHjovSG4LCQIG3ABwiGmvSf
9rua4QAtIjexO+5UNGOM2PcBGrKV40KtUJV92fsSSqHZzqqrSErPlhSh0wmvYYEubb8L1NW4caRk
HYzlg6bhf8lQs/N3Xbt+17ibyR1wAb1r37TghtTzkaM8G/M8UiBGUYq+YXdNeFIduPsjJSjg3DdF
1aWoYuVNAtJjnzOfWzYVpCY1lbKZOfdeP+HjTKnuZMRMOwrDjfhGU7VNgoGYDHewjXPCUOgpDK3w
+i1zDaKFmnfMtkpQmq2jxPiYBwMjam5SoTPdRsZUYewm/OjrABDnjgN2UVYa+KvmnnSyQs9gJ6kN
2nXkTBBU46+D6bPRFNqd0PzXwtE90m7nWTPXRp1g8U0GDDn9En7Ym3TrOnH7IKj1ja/qrkVSmIxu
WdGDCKQF0EZWXNPo+An1IkLZRFb2TSp8COUw2iiNF/pAc2yoEBHKpuo8VJFTVNOXZI/xF1ewM+BU
ny37njEUPJ23oHSf8km759Xyxs8fooUozXKa9NTTSwSEMNNLz8xjcvIJM+2+VIFr1Z7uRNQbZnuC
op+Mcfra2co+dp09FEYIk4IuoSD8FM20iWRpdcKFVK2zHhuT1gnrqkh9OgTQgwJyvwi4sDk6Q48X
vMI+DzHz+KbKvojCeTfHyy6bIF/HybjzRbqJFfqi3Ll/nAuSwfSAnCPFfgn78WU0emCKI/5nmF9b
3WLiaGMwCBwMbFpFpVMJ6qbStY1faJ9bGnukFEEAnVh40DXM2KLPU0B8zhXGa+RXGfIKSM6ufRFd
7TUa1LfRVyjM8x/0QDIxGQjOWke0mc4YvRPa0mjrbjHX5V046JmnxDLvAGN0Mfr+Zz1VpMnet3m+
9DUsAYKP7sBXNEomEtN8LdGsaBHR9a+ZQvas95FdOvylUYL9eciqHeVMFj9bvycfdB4zwJET8zSM
D7ilFZI//adcUfbt4FA2JgDJRWKCLKKMxyRUboegPZh5eKdONoJVTFkYA/mFA9bHs0ZxjEhjIzQl
93WIETbKSttL7RLaZhgm+boeQLksReEbaF2tgnzdhzujjdZh2hvkJRyxoUuul6IWojHopTXlsmQ2
J5yAcK5tdUyvo6KPft8a/rsXkUap/7wXWYN4+ZE8LP/WH9sQlR2FxdveYbPBrkLmbv90hskdCltE
gxM9f8L8ZhuC1dUx2Z38zmFUHf7BP+JB5m+wW9nZAIBnFMpW858YWm1bYzv63T4EAAeZYNoxKF4B
fCaPGd9MSpIMf+IIovrko14FbdXnV+2gTdYyzvqyhJcYdfPGGWgRpGYvGD/RxEMxVMGMNDy0cQjx
tLnNwmrywoYOrKElyDEEXjJzFlWVXKPGFZ25cOMXHUVxoecMdsnmVlTkmSc4be3SSsVjMWQ3UMke
mNGryXULFuwWYtQW1WiR277UTigkUiKBnpY7dA/2FQQsETxOJOAuPvF96xKmk30xc6ehs3aQMGWr
Y5TvmcQM8zvLFtRX1C6WtmZU/fZciSaEo0DUtF+lyfCQaFRfek1SbDFzxNNWU+qrITb2Q2femIEx
gdXJPymzzGYCFirC8lVzmEpbIcJzO0fLmvwkUM2XMI8Z5ArjZHXagzWOn+i2NJf6II6iF57IjJy4
MLqxUZYk+ylwIv5iGwik4GF93VlmVvKkBeZt4gxntFfTQx78gv56l3XGm2IAjm14WS9Mp722dbge
wdhX24F/n8N/mTxNLIeLZIi2yuwOXlWxLGepc1elqrYucoKXud7isYu1LfHERd73tZcN0U4PWfFN
DO+wnzDUN0Q0adKGopAo014vtWsfd9Ny1qmDyA1tWyQT4QEHMq87jdpu6lWZ01C+KIXrOV1DtYpv
+qvEbjZZ7j4HYXHA4nhodBd3qgNgSp/dW9uHs+SSjhx98cV053WqjLvSp7K4Jj4OYs4r69naZjkg
iMYvv7YF8jRZWQQYkb0OoUvAa0LncukG1Fz65S0DtYHH69oAgr1oHcKiZixgZ9AC7LbYDgmNBaF6
45eUdJE4CEl71eYSaBxtl+QUCF98hglDoUbQ7lvuYNt0a5LU0WY0Gc5bSkUEOzd2WT+dx8p8UJv2
BOjlDj0+WUZK8ykLwptQ5sZLpYPCawnsca2+6MP6ZrL9OxhZ13PV8RUh9esRQA0WbhSRaKv9C6j0
7ZT6Ygcg+rWuROgpRplsJhNH16y66RL8e+YFZrNxOJ8jFkzznjDpOZ6KaV0QoVuWXY60CcZzURnD
ESLKlxR+C++SFC9mdGXFJa8vxT5MBWwsBcEPbjuSLl8Az1DjZ/Auw3py2zMYl8+9CJEwebIW8ZSx
Fe14D04YpGlzuOnmEqOkvZ35zSxsCf01JP63TXAxSiCwMHg6/QDceQMtGHrKTLmV/dmUHGGVO9xL
tHBaaztwCTo7FwciKow9S4KIFYkkHqr4HMEotmAVZzCLcaEKCARgOQZ4xlHmXkitVGtLoo4Jh+te
JfHHFRxkcEE9CA7lqw8hWdHTV7BDu2rQqduSEGVfaG8GVOVG4pWzLPuUSeCyBnl5kgjmCBZzAZOZ
nSzkHSx5IbFmm2rVaz12eAeDP5gowq1ewBx4gAnotBPs5DuY1hbK0GpOio3Zzy+1rj1WZBi2rgLE
pnTty9z1QF1alFOjhpFHIR3553AiQ+w3O8Vub8O8BaKFCoR6W0zEkmjggn74VFrGbZtJrGhI2Z/a
+YNXdxTXx2WZL/NIOfUdWIDE1N/6eXI9NvBXcayxy/YLzipJ7qIk0k3odsSMM/LDC1B4r4Kk9VJt
qAVQ/ME8RaPJRrKpRgrPcUPqWnUzIAHsJ8duVyqd3UkEb4cd5roN9MmLCDIykwnLq8wedlPmPyGF
j16G129FOgMcvs7TWtbxq0UbB0kimvbM3F8Hhj5trbyudkVprJNQi7yQqqS1Q6HNgvUQiHtcPdUO
tZm1AGNGEL3Lw2siSRYFjBHZI3LZC7fNXDa0eYH6O/nX2O3KNRmuXRXoxxhv47rNYmfTVBiQoRai
j2OP3HPa+5JUCszfstX3Gl7hpUm99yoZg3wb5jkZbkoIPArZxZrgfMGBlfvKkYsVse13eubLOgRn
RvjvD0Hq7n13PohozmStW00lwHxdZzLfYd86wraOgIiqRdjN0O57ZNouvOMUg+g9q+kaMHG06EJR
I6m2r1aVQVpEld+MDqb/SSVI4mj0nlEtfmkj7UIngOIlQHhRYueD3vpHPwXYX82XHoP1So8rxdN8
HBuRXZ9cM3518uwFTDkhAhu4hWUJyhZBOBW6M618K+jBJFXpQlEA6HfJc5GIS1pHt1TpFUvMahZd
b+AsaqN8S2f7awBJiMO50Xh1ZPBPAmH0hlR5LJHzFn0XnXyXCmqokL03VPRQF34CtohQfzzGwSeM
Jl40+I+WBj1Q46trp9nXOmsfkRcWZtieyp5H2WizV595+kp1UUc5n3zqCioviyjqMceIa+wZiifS
6EotqbQviuSQ1uxEDN6ppuhZwFT1baQ/xu78o+NPGRa2aQ8QkqlAIjCG5A/ZBP9C1mlYU0ZWI6ZU
2q/3VaMezJSDTel8HTgiLayh2OUVU9QmfnNEv266ot00drlqSv7rUIhP1Dgf5+CQcfqqOxvtPXl2
u/glxNaO91UB72fv4I7Kpwb/TWPVe8BANPMl3J6MaF1cNodx5nmmYB4mtWa86eSHF5pp3wK05g+z
gPcZQL06VQkPFWjVfO027Nye2IHtorFYV+x0Fnpr4bYAoNGVoM4qZ+G7wwPOh8OIBR/ZhL7AwQo3
etZi4XcfAsoQiDlXJ8XOLnITo+q88Dh+byhqzLzJ0U84Wu/rYeBU2SjE6vD/l5F7nDTf9XSruukE
I3kKGzjX0tcGvHD2sGSvLHXIFoVewtfIsgBTA1+dfNZZLOrpNusrPpqT96uQfefCSaMVDT9y91CD
9A/3wxR/DVUzWgeDc2YosCnmTQNjX3Pw5OWeOh4dkdxxpiFHbRjZkrzYhjENWBcKDsBxvOiOHG0E
L44VHQ0NaRwbQsjNqp6hQOFc0ghD8yLu6wNfHyprR5A0rfNJLW0SBnjzmnrlbJlCbTUwr/gUPN/R
y2tmFqRNlTyyhlWER0E8hH1RKMtRy5t6n4x8ZB17Te/0VJL3YrqeuDu5YkbCM/yCM/SMp89z3AQG
DU0rYyL4tol6M7sBzNiCRg/GQV6e0MsQGYVnZEnngfz/DEhxXuUOslc/Beoq1eJ7vc5vB8Ma140O
aDOuH4zINqEuqnxSGrvB/OxC23gu8/Eyyk5vxkoJUyOYXOy7mmWS0P1tDj30/4m0ZSabwROFFxse
DYv7J+8de/POnTj4h8eqVo1FSnAWH9Gpp3LcpXqchJvLGTJ+Vt3Ja1zjqMqW8rIoX3i34NOnwDyh
yLyJMCNCWn+bZcf5HONAmnpna/TdBeZIyCZv3owcJQDm0ZEOSu1LPWTMBGhPh3E7rysK1Y0qvdGS
HqsSeVgK5oct6+7RpYTdpqEaWh697F3PN1o2tRP1pLNdtrc31LgTI7Agf+P/lw3vrpo8JRUGr/Cc
lJLdTjXCyNSyBijrOv1JNDBW8pIEnRl/AVNMFkud4HZHpyJQTqZLJpzOeQOzFBQtMVdgzOmj7ymm
T4Zg11JU39rtPdXe6JVU2Dv1ZrTs2xHMOPtePGHaU8RUxm0EK2MW7ObJnndxl8JQi+/DSKCmshdc
hW0ZHVgVnoyswEk0MxIqqvgATqbwGgzyyymbr4Z+0rDxq5/LXnke4+SaYqznpHRq3CyE1yb3McUU
FdHsnQ0YAv4VF94t3/J8+58P9EA//ufqGRLL39Ne8i/+caaXeHEUMAuAuExTWfynP8/05E01StHg
iON1gej1l7Rg/0bRiyat2H8e9/8405P2Qo3SFFP9LwqqvldrURZsmq6wo5uajVFAUz6IaE03dFUG
bfisFJcar90U27+wIciZwF8zA6k64w5BuTD5hGj3Mgj37czAGuxE7+yuOzdGvI/sT0I5uzRXG1vV
vwz9CWLWNzfh8vu//G057Hvl10+vKH+ib6YUsqE8YgfVUQ9LSAw3NeirqSk0lrGgaK6HunD2fWuW
wCbZKDTW2oqnCubj6Jsr9tD2CkS39URuX9tZkg0wSUqA2vAC1p3waAIQyCVJoAQp0IvkqwtiQEp4
hWQO2CAzAWPVpFAmiAS6ZBPUklKQSV6BAbigkQQDk3kOtQlRsfGnEWq5JB3YNcwDIqz0ImsRmU0a
dMAiOMg19P0VCzvqjwJwApgQHD2+wxoJVMGYiJxYw7UP55Nji74tCvXSg2EA6rrLafVaJAAaCkAN
nS7ua0lu6POnftYpngm3vSQ7qJyOIlAPRunsGUCMi9AqhrUo6wa06nRV0Ip3a0M5Z0gLWCC/LarQ
2lpVCdAxr7YVa3N7PZcG/0eX1WNxTgPj2CqqfcqzGbR5085e1unVS6I4R4uwMfv/Y2lHuzEheOz6
J6Ekp2m2HtQUEGglZKuGDugBJ6xhKl9SUZirwTSuxtLY+9Q69Ul5bP0Br920o9PqoszVkvCaF43T
cZjGI064wmvnTFkG5nBoeuUBS+zKMHjlZmzgzXSUnOkJK36XX/KkhWhJfnZO9kqR8MIvLQXnHruY
agQqQ+uIgkU8XXESvCdezUoulGCtZSVguG5oIWtoDQDIajqSdsTe52gkjpjXD2cjdG6aDrCUSgR8
EYb1WqXh3E+jS5eL26HPMYtyW+g2WjkcWuys/WJzFFioVnyt0cLudlkHAkP1mMl51Idft13BeANE
hDUYm6Hu1wp54NaiqF5VvKIobpk4XDK/os9sBMvepkl/M07hjeWruxoonVM6n+lFXI6Exe5KRehL
cDxfc51zBT3oHFUJdAPSo0eYrvf+TRmCQ95ZXsWZf8kKtuOUYy11PVpRFQVgK7gA4bkyzBgmZQYH
zlyldk6ZnH9oGiIDcvswt1SpiBMuDgJWYsdCcT05AcIHIxDg6f66cvVPRt3QQU+1b5Xkg/SZTtsE
qvmuTqFkMOEnZSH2STPfNSXbziltkUWK27hXPDZ5PNY+QfPO0eQG+zm2nauiSomCxnBzh6aeFn4z
ZGSy2WT8+9J7f+kpWDn+80tvCaK+fv4f4unt89/fe/Lv/vneUyVMge5saj8lmIo3yzfvPRpBTXTs
P2s1/ko54/vUeE9ovJDe2dF/zrJ5JWL5MeUIWuWVQmz6H2ClGX9/916Sbz6X0JQrazdITdNi9P1b
ws3s2c2xUp/TPtJCH0RBoeyxnxv7nHKLeBlb2f0Ug6qzEVoc1B8vNjmDD4gwIUCnhdrGd6CQD4kz
3vbINZOPXlmGbIM7qeXM0bxHxf40ZNPJRuwxI4vgsl/AlGzO5TjurZLc3igFov9j78y22zbWrftE
8EBbAC4PCbCnelmibjBk2ULf93j6f5Z8nO04O8mf65Nb22pMElVfs9ZcC0d3TqbBKHdHge1O24Z1
ksGTwkcY1o8qd01VjFO2kfunxTE3fZI4rB3ZTbltdJnltqrNzNmHOs8Gi1WWKfp+ZcrtliXXXISq
rmeIAqbcgDWswjKicTq5G6NF9qx4/CJYUyZye4Zs7a1mQrIeWKyJekI+bwuGjfBY5O5NYQkHC5jh
IhbdAP10JPd0BltuXW7uWKZjxmUAOcutHgkXX4hQY+w9UWBQclt4eWO5CcxNtNisBh25I9SmsfGa
AYw9DuSvoWqCS2alWJW4LLmADS/ou28i0FHup/NrTHt/JB3AXjcYXSFVCvpFR7vTW7vxzJI0wtgy
CSZpJ3c7julRs+rh4rgDRjAMzN2mTAa6Uzv2TbI2sV0aKuOaafEdCJM0OEsJGrto8WU5xEbmAwG0
JUPYIFPmdUdIzIpxSkQIR9n4sxoHuDJa6nO1zLZAJrp7ncHeZyANkVeqWbBK20w9zyIntm5M00vZ
DDpFkC0AMef5Xdto9U0k9HjvaM1EOihug2HOyoMuanaStLPJKRhxWPlKyc3WLKB8uNmCL5MTK443
Wkq9L3T1loRHzY+isXoE6wgVLUB9/KIkbvhuOlnv52g3V2MHQyt1HPoF6K0ttRHcHjkwb+Kj1urn
DuYpTSv88/BE43NRW9TkSt1fNVEx7oKgkxTwgdmOUboEh1IXmVN1ZXZ6t6m5bBMbwketuceA4dEq
zZCxFQamEjG4hQcBFEik5sSenc/qpuyNqPIpcmyjqEhfEOm5dB3nSNjI8BkDobMXJb7aSFGDLXqJ
Zd0qzfukB8oOs4w3OXP8Xdj+70rSpN7/88P8Pv6G/+qPx7j8qt+OcWk+1bCYOGB2vmucfjvGyVSy
aFIMA94/CELq7B/HuPuJzzBOUgMhiGFYLt/wR/vifuJGoOVgJwnVH9njPzrG5a/2U7Ev2wob0yrf
yzKxzxJY/ftjnD1THullrF4bDivDIF/ktOmlDL+CMV1gGJOeVJxiiTKNgbyexoo/b3T7WsA77cku
E/BPMzioMHHX5OpCwk6j5wJDSw0Byyicc+WyImrtiybpvJmc3sNY7SybJaPEruph/0hE7QPxAOjf
XTVb1zUgQQyRlwBqK4beo0WYTg7NdYmo7qC76qaCt3vqDpEFBEsCYNMl3rU0YqsENqwW2rsxYvVh
os2kSr8kefG4QJN1ocriKibTF86sMhZPnBGfUw1fqwmJtnGVzQKZNnYpY/mfbSsXu/rI0wfkgLsn
kAY1yLYdippUmR1Iw9huYd827UD8DjTcetTZQnSzvcebxg4lMI+JmpU4CZQd0kdzpcVNsOtJ6yjN
aa9/EHfF3Vj1d3OXN48ZTN5MwnkZNB7CSH1Sc+tIMjbcHnU6hxLoO4a24lswfrtBSchhQ75ttntw
PlyL8IBn7WsLHTiEEjyzqCKRDnDw4owvqUQJZzD/MtjChoQM46J+FBI7PKoAiBVqyU4iiWcJJ1an
eZdAK3ac0a+gF/ctr1kogcbjd7hx+kE6JlycpMHATsptZ9H3HHETz6vFrNRuXzqwIzubWRZ5E0Tm
URs0NieWGQx+2xqd+5oNNUyLztI7T6RYuNhmjDMDYzjwxNeasMyAoa0r0z3nfV37jG/fiqipVxAo
dc8wFSQ1OlM1Y1S9cWnfRNBDYyMayLHY+8wBVEHaJzQY6DNCK72zl2o+Ihq4UiLCtDq94nswPCuV
6DmbzEvhTFiopuEetRFTNAVkg1lbX5kjv+vz9G3pqIQHO/scouSHIGmcOckxUrb6sSmU2E/GzvCB
Hd1McH49w013ZtRcnNTqNgZrId8KnMvcgS6qTJFQD4xfaXQo1iGb8Mnp2CfFLTs5LpxzFhJbe8kG
rwjDQ4F2yZwoMHI+L6AbrXQ5kvC6TcrqdjAS4FCwuCszhsVC+EAWBSs4T2DdVPEUSBqVxZ842vjE
KuI2DrL1bGKNHdtLYVko7WbIJoptL7HHt5ok+5iA40hhl4G0TIladofsJXGp0rVFzKaJmNqnUXRc
RHGF3AcvV/UOVKeBvzw0pDbPafNd3P1//V4x6dj+6l75n+w1//ZHBP73L/vtYgF1JBzhENWBLsWw
aR1+u1j0T8hfHFOFbCsx9/zVj4vFRtBiugZ8ehPiEEHt/7lYoOTiEHEg5pPlB1TynwWSalIS/5+5
1Ud/QKtB32ILbDSu8Ut/4Exh7cJ+Z4oUo1B0Mtck+3w6OkVWr62++SwocuukS3fFB8Qz+gB64rhi
XITGw5HiKTeqCjiLtO6heYDewlYmQ8/BaByGF1SibSyFWGYVbcIUadYoRVphhVwLohjKLVJrik3+
oeciOP3CHpiFo2Cyb3fMi9aVztZ5mJTlYDHZp4OZZWHUkxjOOkbZddRMgHuWdSzLqFkrKai01N1n
ssiqZLmly8LL+V6CcXDImsyR5VklC7WhUQi+ksUbKxTIrrKg0yXNqKHGSz+KPRJzLFn+WdSBjiwI
B1kaDhlbSUWWi60sHBGhXWmylOyoKRtqS9QM0tHr6dScqhkeR1mEdrIcRcZaY0xmh90Ddilk0Rri
/vL5YeF7MJbiBWjvwNRA6gl6VVnWOIgZoDf9XZQa9w5XcL8nipR5VCxHUxYjqUIOq+qPuZX4mGFF
H9hTwyYu0dBgVhLTbL2TxjXuMXv0UCBhpi55cTMDUeXGPxRAVWtVPzpAVst2PCi4nErgqx+NGSQo
K66+joV+F3fu5d8Jw8eEwaIV//Oi9KEHo/3tj0Wp/KofZwd0R1wlHA+GDi3Fks/mj7NDIyTDNlSH
pZaEO0pWyo+zQ3zi1MCUwlwB14Ujgz5/FKXWJ+bgTCQc6W2lktP+UVHqyKLz57ODH+xyPPE7EO5A
fDqn1M8TaJhZal3kZX+1ZCiJprh/QQYfkWzYkR4wSON19mRpQbymOT7HjTPSdY8tjflwAzVjz0Je
WbWWjuqH4CoiBo5Rn5xZD40s4uJ7VU2/DuqAK7gcUDsrDLiCUT+XCwVkoIpwnbfVdTGpT+MiXjgk
nt2alGEHqMkm+BgZKCioCO+j1YsoQ2jf7RDBFBm7nwFpv1Rz+ThEPO5l1xLkJMTnpu72xVQ8da7y
RMQTWeT2NYPA85BGJ4qml7Z0UGYgX2kM6y1zQ8fP+Y8xqwNkSJVz6LXywsEy+2ZiLHzbOV3X2bij
X36c9QrjcjduTJNpoS7d4+ZI+mWKX7oG4uKRE3Vqu+xhLEjeckIccqlzh8rja926N1RtMxph5M5q
mHR+MI5XTjU8I0l7C7ryEtT6dVsWbzjwmBGmTej3RFTuWrbbYeWi3mtXZhK+4PAZ/CpzKm8UabYa
q/Jt1NwzRXLnIQnANw9NioEGghLId1APNPvUtSlQleBUhJm3gMLZzMzM1WY8hK67C3Xrbl6G99hM
vtl582DE4Rb9+nMeogRRbX5J3iRXbSiIRwRGuprUwNVrcSuG9oxa7R2oWOlBZAGQHajrvklaRDn6
kxlad2Y3A5uM0wcz1N97Zi77mXhqpAF9vzGN/jknzLJFc4jsRYA7I9OL4UmypSa6sJpIN3rVX4Gv
QuiUkupHq2KtVJOaaUk3qk36K17Fbd1FpHSlFcVTxbsG8Xdc65ZA7C2DEomHEnHLcqCtjnFA1uqS
Y3JvoGexRF7u7MzajgWotdqs1yjqaDRSRM9qB9nBWdrEy3o+cZY9Kmtn4UM8t7yHuV6F/tgs92XY
8FMLZxMGwyZQ+/vFMQ4o+YyVrWfM42vCWsMMi9TQp29dOT07RUyItKi+qBp71qJkkDdO8KvVmB1F
o6ypkHcqmSqeYjP7VkFoCBJSNTXuiY9WiJyKxnllDM63PKlPzgTJpGI24jdutxfhzDWFIssPcyJj
avLNJOiaTyNiTqBxbU/imyplMOYC9DqfhH40EU564GHccJ99yETTdHxC/gh/pPmQkfIyICnVOwgD
vogtYyM+RKckJyJANbsKMaoLuCJaa05u3wAmRa4KVSO6MeopvMCp8Zko2eNK0kCvKqaG8Nbh6FGI
q5DEItsF3lKrCsHf1nSrZsoBnnhs+FhuDGuFxI8hjyPaeo/wP2DdEoNbAqBqZMSpzQTSjBlQcjHV
IF8N/TkdVTU+Z0UlXRVZpHkssN/UsO8T8IxzQ4MyBqWL+yM1rdonl9YOH9TOztqLHgxh4EXGglCs
VnMRvKRWHJlnVUeLC3Vp6qt/ZeXfwWMat9ufX5f7vPrWxK/ZHy9M+XW/XZgmxbZuqdxxbHoNOUX5
7cIU7JOFZnMfGkjF5Rz8x4VpfAKGzB4aIBln2seA58eFqX8SDOMJCOGG/Sjg/8mFiVD9lwtTjm8Y
+aOyBInquHJe9POFaUc1tbVSz+fJQOy80dgV2ufKJvv5XV0WAhARTatdCa4fYeqyKwWPVYHXKuEh
EmZ6F+jIRZwioN7UBpsHWuhvgJradekGr42W3sPwy0l3YZ5QL0LfAF/FWQP7+1wK8R5VTsKolymB
VpCcjArQICMvbnxCHm04w5p1Issm3ytF1tVQf9ICT4ngGU3Y9F5VjM9WAyooJLzpEcho4bGqmjeN
BWKkI5FwleUkIuauhigZAf2VOcwHnoaTU3bBEYJgukkVF3GJyxZlxeQWpE5qzZvJtSPPkBEctTGl
7OTsyqsnlsekUhWIfpVLJrTrSkzFgcXhAwGCqhfkSIWQJFU8/7Ny1STibSw4rurS1raM09+XJHlB
d0SQpjloOWkednCq2C4+IrcL0MdG0NGNct9HybcuXPSL3kRIkTmbNoPIAOBA6IrJamaUT2+BF08J
NF+MqnIwq0k9WXHRbeNIB8re9OLUQEZ3sjC5z7UMt8v8oFRWsSpNBk+kI93aAt2kGzQFB5DJVqWc
oOmkSMBMdSSze06Vkxb1AOznJrIuQxWi+VYNhm/BrHVbcplniSVrGtFcR7x3A3Tr+DxrcY3CPGRB
Wa8TvhP0fUnBBrNcI3z/gGMz45KOLonMJtl7OTQDHO34A6ldMmij7OJFCK5dZFrIpPADDpqbnnQU
61qYL/dMC7TJ+7fY/yj2TSzPf3563ZfZ638zxciv+nF2SQMu7TfYAFgWv0yg9U8MARz46oKDigr+
P2eXw/aR006Fv65Cq5G23R9nFyRlAxo7j6WJzlgehv9gkUg5/8vZZUFsYpyNfIcaiK3lLw5+08mT
xuz1+drpwuaGBJn8LkY7+Fxmpn6Y5daHj6u9cbpBPRMVEbB2YTukyT2RLTdGkdwdLYsW43woA99W
ugZHYx35oJauMhkPORhacGIz2tyC+ebrB54Xr186h7FiNe0Uxz1M+sJSp4u6nVYZKT44lSlbQfKk
OtM1NFU7veRRFB4QbyDDV7rE0wt1XrWOU63nZv7s6vWa6L7XOcjtQ8/Zv8FEMR4LNkt+UwJkI/wv
IKxTvUbNw4YsTiHtiTpdoRhBnwd+tXSNjjIPrqEOqC/5VtHom7ddwZRkWULpbb1EUxhgbh3WsUw1
Ifh1PSVFutfxn6w75vw3oRZSvM94EYxmY1bFrVXWqk92rbLtRLgclrA3DqzpbD+DXqopdbtHueJ6
kM/NbZoVpj/oerATGhPtmPzWQ53jLgjK4XZpiCytMjhNRLMuK8WCj55iVNRD9yoxrBQxJa+O0ivR
XTxW0IZiTbtuW93xZnusQOG1BzzGLywFJlwyODXR1yQ+WdqHKKyXDvk4b5gyEribyejdQGi7hLJ6
lqG8E+m8+UdMrwzsHWR070SGL95kbIkqUtjcAuLGOb1Gq3MvDOIk7NBYpdO01ckE1pnOuidTBgU3
JAYPtXZTkiCshi3JcQZBGPQJk04db5M2HMjYYSFw+zBaComFtUCXFTmGGu2bZRFX3IrxfohIvG05
+mSMnLnKc/XaJuWYjnVLlXhKSD+uILxFGsKZRQYji4AiNCChhMTkfKHgRvG4cc08ZMVCqjJe2SpV
HtkG0QyRu8wwm78hiTnXGzwQRDO7QMLJLOQKmh9rGd48BZW5KmWgc/eRPFqn5JmsdUP0b6YDupcS
ook2AVtP92P/aedxetI+tqK9XJBWclVqy6VpKNen/x7G3ycvDCr+/DB++Ba95q9/LCQl5+unw5hT
U7c4cJmVfHgNfxSSukGOOEe0xE/9b435v4UkAFuqO3jyTF3A1H/Ma34cxmwKwSpwGrsfZzHzmn9w
GKNF+PUwlpQEuV6UskYkl1L18ZP2r8iAeGT8GtcDcaOtlxjGY2hhMygKhdFoiNjNZGanDAiDhn4/
jbO2KnNd+NrgHjoLDFzFtnMTJvODo5SEwiR5RpgQAwnCRv2kr95CfdKIceoQOtFUl73iGUr/uQU4
fjdDDIA0KYJTZM4EYU22J2rdWFf20JwtHXK9FerRZrK1L13Qvqs05juSuIEOQGlaixKbRjz1d7M2
3dp4fW9rViBEbY2Op2YFmnBCROiciKkJaTxXs1th1eG3cqZ0k4S9stMgc/pJjkjD6eOvGrQBbOQD
K9AO4PROtAGi82oJVp0BIRVzpHYd6LBnp77gz2Ae7Wzc96uKH7/E9NqNrWr8FHr3xXAhPBgOz7Ex
soMLrpMyYn2i77oGJDlP8GuXGUBPw6BivDNYePJAGFpIy0VJjaiS2C7w0sR5PW8XiahuejT1PZGu
TSRIiXOUx2pp792mAfetOnsL20ozpjOeAveJmK23simvyPu0mT5HBxqTG6sLHsKBHPYR6chAidZU
5l7t3bPF7JzZsiJgAZg2+VXlczJmB7AHlynpcMi7yvsUOhJWyDgnG14sYCtVYdd7fJXxOik6uImC
l2XIiAgwojA6xTFdQFq38YtelDfOnHxOVTtfjTlry6ywJp8LGLB4WaD6adsnhjgXR0zr0tRxXIVx
j30uJj4uqz+XrNY2uYowlCY89Fp1eih56zMAxMY6HkhoKRYNgR+ix3Vo9jdVS+1Ot5/4MBjfzKp7
5uj+mrO53QSG9rUKUqxKUyTZGDrqTwdNKekDGzEZAbmyLbxEPq7bniZ+pQZmzoxPq7E6mMYeuKi7
hfecrA24dKQsOe8zyiYzbb8YUmfnArzwtaRNvV607xzBgHvVOV/z7FfrqkizTQz8F6YzysXGJQ8+
5hmBfZqthjJavECr18Q0YCObB3iHwvUiZ7o2hmCnW8VNNBXXInX2ihJven3PIiUYzy7fszW7+wpZ
61rgz01z8WS7+XVa4EMaDcxkQTIR5gCXuo7xWnfPdkbLU06UHWVSuX5rYxotXdS+XVJsyrQ663q/
bZX8sQ37fVqHpy6v8p2mtwDj5xs9G3Zmj0nUZkkOgACGa6ZD3lezS9TGV5ZgeSPU0d4ntX3S3fyK
PdA2Uwy4zC1q+zJNcXoKYA44RYF1hVq875P4pPfxScurS6ZN0PpB1K+EFjyatvXUQ9jU89TcIt13
vSnR8Kvh2/dgz8G6DW38Kz19DfkFwFGWaa1QSY4ieAIHUqzqCtbBwvxt6fg6CNxQI0HAVkm6D5bm
W10Ypq8vmUwo1HcUFQuQZIFNipcVtuaHY/i2G+F0G3E/+wSZm146NAK4r/rOjP1oxvEpjnD1TpmE
Ehe1p+bxZRHGQ4BXat3gE1zXXaagJ9buCF66aEHCVt0obnVlQg+6OOxS+y2xCNJh6QS+3g63Ddlz
QaE/DFHLxhkqjI3GOCaWHJlbfpvVjMrsWDlEIONiq6Op7dDFzY4/yJB3Ol8stzXOEVGMqZ+ZU+kt
anReClyehKtPntJk7+ESPNQV5dKsyWidOKq2U5R8bSrrOiw1xHPOuHjUlvq6EKZ6HENl2XUOXsAR
B+JSL7ezQSqAMsACSZmdTehbe13ZuUF1dN18oAptDtjvoe1oUYi2I5+RyjJxywRyX3TEzzmr4y5U
X+t2wv6rR3IYN2Dpzh+Rgp0WG9FuoSM2G8yNZIkjkDsyL0agEHS7hQ/Rmil9vELdsp1t7W3RqrMV
cmZPktXChrzWmm9dEp+7CQHJFPp2zNPZzv2aPcaldAovSBF2TGQuBKm6sztO07AD28uHAHw5J3eF
chwiupVSX06z/YCo/LyY1re046CMDQE4PGMmrhKJjDn9TEYCIPbWvW7cJdzq5viZeW2LKwtduz1i
phl09gW0Iih8B6QAS7mFif3K3dn4ZRwhWmNN6bO6EdeOQ2SiQqbNtmmb5zjV7q2CSCnq/kfN7i5J
yna/4Vygb+GjAbhC4wTRNovufEGtggrSbTb8fl+apMYu5pRf24AYGDfByFMwWbwqUnxbARY07rzz
aPJ3o+QMuJS0HWN6g+QTMCb910CWw6pdfzVAJSWJ2wI7D4i8I8NJqwQyyXCONm5JmElIXU54M2ga
nrJ6HTjWVWRDXK2quFgh+UO5Fu5m1o+Mh74YDGdXo1Lcz+USbWMleWFC82aN9hpNUr4NgnRLHcF7
EAz3msSQ1xJIDi54D4iAq7ggYRQ9i01o6TKvhaK11+5ieiHg5lRCzkG0XE9Y3+HGhyfViHNSx6t3
RylCnxX5BZ+h5is11HLcCgSFweiuQuVZlWj1BsY6p3kLcd0com2EP01ZZyT17NUudeurMsvKCPdm
rKKZIaycwBoAVHV0+reO/j7U+Ms6+nsa8Oq1+fLf84B/KqfZVlIrm3II4UIYkw6g38pp9RPlKwpp
vDlS7PDTbMP6hKKajAaUyw67TokJ+VFOM7IVuiCPgJkIs49/Ntv4g7YOGTaiOlKHmaK4jFh+X0wb
EWGHCIrNqwhifHs1Td833H8KXv0vecPEVZnMTQx4uABFbP6TP5frfcCNH1hTf9Uvlg9e6n2uzKuM
4tFquvcOdHmTNLGXm0btaUqx121319QJudhYBIUiaCix/RV2s1Na9SHpo43ZVl+VjApTd09geKZ1
26Xjaomyaw3yBDEwQ1cb1yFb1pG9LNoqXkRuYY71jVHOCyJs1dpPURuAflLPhpFHwpu72PZMM86+
1rqU9OIt8k1GA6QB8MAleBcIlDPf+mjKN51mhwj3ovqouWRbhJpzbVeI3jKneXab0PA1XcM8a5rj
TTIx5TT0sttoDUiNuSmOQxO/wGQ7MSonfirH0BKC7MiKclcU2GiaoH4IrGxrcE4jnKYWWIoXRR2t
lWZO73mqXHeTS6BGviwbgvu8sOrubW5pRSWgtHaR0Sk7djmHrlJhjfbz7ZQ6h2SZ4Iwsjad1zEts
+zXQhnHV2ckudBWvT+PXriW5o7VRqljOjnHutQIl2yoA9gf6hRSEAwbQXV5bJ7Ogumz04ZyxLxW5
4TdVvRMgy5n5up+TeOHGS7MbaglCgxeO6hiHeK13pCEkB1MxH7pMS1f6QqyFsZj3sQFNNmqnyO+d
eD9nAOKshGMuSMSWEhAMPQCU3nT9UW3WvBeE9xTdsEFRfgA1vybD48kk/2KMrCvRigtGpOs0Nu+i
HMh7H+TEDQ7naGz25TzuwynBv8siOXfHXTaMp0jP7gWJrtSS2RN68M9aYD8x2NiUjTg4i7VRpuYF
jggpWp27VYz2woLQ0+d82irz8jXNAPfb9DeB5RnpdKrGxEGVGVa4iYjS7pwW1SZBCqGwX3gKNkmc
XMIAR/jUdslGwS5nV/X7XCY7R9JijOqlb9SLoqj3rS3tuQgEh8ldq1b2ZUmD2zTXFjLrw1OaSBA6
eBeGfDZBpVTmYAXWmM+SlZrnX1wtB7NXRdDJFts6O1NbHOJYLJ5Sca1a4j5xzee+asONohN3nVXy
6UnGe1VLjkqPgVuvRwJdazJ6Fc26mxyiQ/q5z45DqFKGCKP13YzFsW4ijR9bcRXiMvBjS3xmjht6
bh04X9it4vWmm6PJ4v7l+W6GAGTQrLBCTuIhvpqaWJxqrFge5DMcQGkVrhsFZU7CveWZEZmzWa+o
freYLSz4IL0rHTmDzHv1SEgkWodZZ/XSHDuMB5VZtfuih3anGTSMml63OxBMiU9rdhJaiFEprYqt
tljbYFrID590bEVmVvllV5f6ig3NtZ2pGbe10t6SnEFYSsBFv8yfm8B4tVOURoZGHKTGDa0RnjJn
yikAUydhdqSuCIuQxqzM70uL2eNK40p/6omgGIeGtbourk1Q/Zwsa4ADHqPs3iur4mjX6E1BOvHv
x9uiN+A3g5rgjDqEdbCj2/aTAQ3Y0p2yRCENODqrmfrEnhmmmXoY3SDbFlP6YiaBtWpjnCROII4a
2SOrAHf4l2rEGrLQI4IXqsf8ARnxuBliY2vYZbw2FhArkbOkcM7i5rw46ZWhV7vUbW+1WiCsZO88
EWoAud/yOPIQAwe9Hxqi2Wfz8CiU6oFtGn7AVZ95LREZPuaT3OXM6Q+jKsqXwpRooVh5J55a9eae
sHl+HGF+cEyuyVvBPzmn9rAbkmjYkmkwbzn6o6eg5iewt3kociNGmqu6h35uErLkwqsCBjb1lOHs
yQKKVmZpP1h1CYHBTEDy5DoYqdkMAqC39YMImO8U1vK8BAXtd1+2G6sPNQrcadPNcNGgARTbcq7L
NUmn4FsGq39uKKM30nwA3oMinFuJabsJXBCIUrUxnBzhb15eZKpgMcaMeWa/b8trdbYPaT0/qlHi
DzGTFzJ3HvtMf2D+4R6neRr2pZI0XhlkuHz6BLmJql4YfIC8mcz6uRfQn6qSXTv1MkJgJADI64xn
fXK7+0C3pg2R1e466VFq/DT9u/mjk/b3S1lHyiwdOPzYjG25gJH6/p8vZz3PGQKGSXHVQd/AIbO3
xHg7Nu3mr3+M1Gz+pJb68XPQ8CPcwkrwhyKgs6WCJCJjMMvOrdAfOZVuHFJqOC4bJggub8Cc7Qby
nzIn3bV6BAiIJYNeHDmpTlaACMJNbyOiTQTrAoMWrHe7VREG38pe4N/lETAX50qoIdPP3+aj/7+v
kKXzUJqmBbntl2mjlfclur+0uBoZhYczOTz5Oiq/V9F/WiW50iH9HzUZrw9pXCZ8dcmRpVuyf3kf
WjLgZ+gPw1UVolhShLk3Sg4GNai5NwiVkNkmzwqTrluw5d7sqvvRGZmuz6i3AoP1bZJvImXpb/vI
cO+JT1z3JXQDVcPsWY5c5TocMqsMr2IlPmCC5jXXeW5ETrzQTMLinaVlryncIY3Q9e0y0r23mvCj
LE79tDPelEZHA9rQExs12nWikNdlbWyTCGICVxGlTST29aJ/i037FfcpICQGUpOdnWcizVe2PSs7
VRuTsxpV+WqZ+oi6iblK5GJG1+Lwc9Br+UM9WtwfGsnteYXRVlQde56Rfporjp3XCud66leqfo2r
kLkCvTLnfXYK1Ncev5xl7zkXL47CQM0etd2cmJeMQBm/qBjbVaJZGehdF5PSAylt6tkhINtJyXdN
R4eVa9OhV4fXFKfgG77urQqPx2P8dCbeEEhuW29iA4tCT5h5jtTqyu3x/TLDOdZ2e/7rzxzOm//y
eeCBlBYayQWWOsafn0vg3WXB33VXUAJeDbcFnFkN2ZVgHbbiPH3Bl5LC4kBCJEA1xRnjMSM786os
KyJU7Z0etueO8Ppx0c9W6TwbZhFt2tyqN32vAi2z9B7wHLoF2CVyxWji7eNS90ZW6x5uP+oRDiKV
gSdOu/o+zONprUUtITYId1cdnOGCoEKRL29NKV5d6NfrQWN81OT6o9BRAbYzJoNO8xh5Ew1NThMQ
TfGc4FgfA/2rsCeMBiPHgJvBgZoeAjc5MUJf16VxD8yJTwgsrVm/ZwBxTpPovo6tu9x2EXZ1zw4w
E8CBpeqLuqcWrAcfxsGwdiwQqUaieCrmek8TyqvCZ2JducZFM5RnLUJoWXeL4dPvb4ZFQcI8laD2
mq1KjiZGUYIs0UBFAyNSVNpYS452k/CSDC3XPNb3rHswxurKdaZ9W86v+DreaqN5LWzhWzO/J5KN
dEivy2g62YXYjKUJ1QoVd1zYa92Nb9NKSfezs/hlS1xXFnh5JZeqIqQv4WEcFPcWffh7bCuYJGbo
pX2y6ToQcehQPB2rKAv0kyDmnhwO3iWECr4ZLutRVqhpH50UDcoeVoqyJM1KiW+YPIK4Kzd6qhxz
bvFoJIdSI7Guajc1uD93bwI90Lg1s2DcdFzvRZNXXq/UKPhSZZuMznEhA8Z2cW+MWkjqj8qhu+ja
JoEFbY3ODaSaHblFx3CsTwQdUfUyP7zOqrECYGcfzHA8VpADgXbZvDdVDAdaTXZRBSKgpUvIwEoa
uQ9/oEDfeiMs34YiODpX+bQRoOwg+9rDE0Z2YKrqGfJ140+BeUqisWX/EOAR1Qd73VoMjO0kKLbj
sHgVdcOunLvWm4W9awaqELvsJoxRgw9HUPubq+1vntRfzWl65M6JW6U9pAm4C+0ZANp6GlDpjtdp
c9boWP76bPj99uv7TfHTyfCrZ0GPiJAvck6Gsvym2V+HiZhYJKrPo7n76x8kcaN/uJMIsEZAAZQU
/52803/as41tN9QJJqKrRZtDv4onZuqB/mC1YbmPSoXP3DQcGZupq1JTtbNTO9aKrQqh8RKFM/J9
162mvBM+fTsVhoN1oP/MgO26VO37jPKNrmfdtbqk5Uxe0YWbvItfisR8UqKsugt7+D9WFHXb3OqP
VqLiadL8WVNRDwfBtugM+8nV3ftqIS3JsA690e3xT5N5P++tyr0eU3KWuLZtJT2mesHDpDC3dNZT
pT3lCJLjLNiPjCOTbHJWnZW/LupsrbMxvNST2zzpYdAx3zbCv3lVfz9v+f72/fyi/qIkSYVZ4LBz
pitneomWL7PzN/lNf/f9f7k4VIWwahGm81Xs3FeJu6qNx7/5WPz1p0L8Ms5hG8nkUg/nK0u/iU3G
uZ2vEsj71z9Evgq/lkNYhhxBSapZEHJ+/9Gb7HaEt8j/wtXXevfWjTk1yWM82X/zbui//4zjAGJT
bdssP/4fe+exHDmSbdtfuXbnKIMWgzcBEJqMCGoyJzBKaK3x9W95lmKxqjOt7A1fD9qqLZnMQEQA
7sfP2Xttml+UpsqXF5qTuBjDpVKPlDGvbGr+bbYOfGk1uLH34Bbuw870houX69iL7qfVc7aaX3ii
2622+/EbVkWf7es7/vRYf7/QTw+bg7iwckKWkW49+LInr6abfpNf0bReOZjc1sqGz3lNYLRLTvjK
8athpR+L1x9fhfFPV/H57hSLz6eryAg5s9WGz/0RM9/KcgGLnS0XrI8b+ZsHw7sgP3HjHBlwb4sb
Y3sL53AzbVn33GVDrmrr0zrzHV+66LfFpj2Rk8cIy79HTHQETrAxds6uPCDgvMvXNz++dO1nN/6X
ClpS2ziryM48Gm7pEiz4Xq2rW8VHIOgjUvbjFT6rfbk5v16s+h24wMlL9kgT98kx9Nh8VgzS3gLv
/sdXpdL3/dvX+ukDNcXPP32gMWztxjK5qmjnuJG3bBka3BbgZwCLu4TUu40H139jH+ut+o1G2urH
ry9u36931efn6Mtqw1IjzW01T0d5KVfWOB4W8mmHXi5/simJVeVHr/Nl1SEPXRuGJQODAcxlGF/l
aTuaL7O2quWOVtT6x+/qn7/qP1aHr4dJCQiwZtRJz+Am5eR3XYVX/28v8OXMBwgjM82cA1RqHNSE
PqDzM2LWT74YSzyIn+4LKa/swpp50Mrq2ObpulIfl97+ybfys8/py+LWKlmbDFbSHSfxrSyZhxHd
+/En9bP38eUG68ul7cHKz8dxmLzYPOakbMLJ+vGL/OTusr6sSmYQSjPNOXaDyfR0p1ilWYc5qfes
ucW5rh4H4OI/fsl/fF9Yu1CVoiZyxPjl8/eDHFULqrjrjzqU0mSdaji7zM2PX+Mfv55Pr/HloclC
sIB1pE9HI9Hp31/l+U+6Cj97gS9L4pLmk5aU9XCUWbRpRqda9pOP6fv++KMH/8t9HMUMfYKM+5iz
gVt7oBG36SVHBG/feNEqPPVufvjxpybcfT9ca8S7/vToEPypKZ0asUc90hguWFXRs7tQAp6Vi2U3
uOfFq/iBa6wAG7v2leRedyuxq5+f6rOGUc2N3GQ1d+628KLNzy7vHzfyz0vu1zsnbkYZ3UR3VE5i
I8fkt8n0XaF4brrR/YfC3cvufPiQXzicNXfzgQSJn6xeuKB//Al9+d4HqSUzy5mpJfzBx9VGKLbp
OofMv3aO5oW26f0ndR24BR3bdbOpNj+PofvZJVhf9j1p6iW9GKvuKB1Qn/l0NpM3Y6341qF/n7bV
Kr+wNtJG+gifNA/Bzyn0k/ef3Cf/vPX+uUt8uU/SQct1IgjmY7Oe1lg63FhUdbvUux12024H5tpd
jlA9H4DV+Pm62lhnBHh+v4p2oxt9y36yUn4/mP3tUfnzcReKy8/3rS0B3uao3B/rlb4xN2TzTutl
vVyA5nFfCZVe433cVVuaeheTZ92tIPnyFXWbdH0T+6JI+K04+P+dXIAfgI/2jxav/9w9/8870Z7d
fARZ8H/+9/K5iauypQ3865/u3v7P//7qwhK/97sIlqm9JoOdQQKrYz0Q3oJPU3uNYwN5HKBtaML9
aUj4Ti5QiOIg7021DYXd8PehPURPG/Y1nTwG9pZqmv9GAwsf4S+POOcWTpI077FUaQ5h1cqXmylh
UqZaGO9OubzowWWENvzbpMioP4ymKMIzwn5jv/S1+c2M9LHZOlKBkH+cpPGJXPb23on08sZxYmOh
AdOP0GkLq3totZ4hj0hDWJkR+kg9lu7BhTCxDAnhylSImOpknm272DBKOfWDeYuK65kT1DN4Nd2N
p2uztXPY4vJGzfL4pM4MtJTUXE1DQF+p2UdmgkMKtYuHCbT1Qnl+TmsGWvWIB7enawnDF23PvNhU
K6Yt6Lu06QqLblNPuyokH3YYg22Vm9f6QEswNhU/1ay3OaBNYTd0jwfluS7qm0pTv0V2QjZH0Izr
okjod5IetYHDmHvlwACMsv06Ma2LwW4fkeytU7PILvKmPPRR2sOqwRegtxZOpSZsSMSqYHUu6fVQ
V3c1XtBLrRnohhacgFHiTG6TEww26ozVcXbGXqdNEXHjYXZRlDk4oepRM8GytYpMf01u3pe2mUkh
E2DItt9SpxHCgGwx7fzKspL1zLRH12la2aq6Bj2ORwnuIReljF442MY2Lvh/+jCR2u2U9wWKUYvx
iA2ThiilVyWNbs1SMBe6RL8gfGMXV9JVXCGyHAxmA0GOdTvEvRVS53iYWK4j07zVG7xaoWG9mWVx
WGbtupptTioymRFFYUHvH8oEvOp0IIvL6+QROlhZbLKYRirCZ0IfoAX1dXGfmG3mQwGN18oESRKB
AlEEJMSNKIdR/q712hqOvUDrU7/ZHYD5XZea+b2dG5PfpD3z18F0DS06FkCKwIWSDJHM/V0zJy/B
MBpbM2rQWevy2mrsB/Aej1YQemqjPGcQWN1JXIY8XMM/gpC+nLI0XrWxunaCMzdriTWvv8ic9LzM
5rfYdPJ1gdpj3Uxx7epO2u1kKDydyW2nGMlFqZY+Uz8uXLIfJAvyTGeMsackU+BJTbxOx/RoVPmJ
LJOD7pjnobURSw8YnENLX0ta/Q0TPlki6l3eZSTmlda+GszTHI9wYM3+IDmEIQw1G1DQ3tqJ9UJ4
xGVj9u9qkN+2nbUDXXKRDKmykwlIYMaMss0o+R5QZr5lxK2d1CVEDD5lvV8V5ok3b7rdGD3WDWA9
Rc5PaqCca0OHw5m+SFLg2aUju1aECT7X8jPAUfui0KKDlXfFA2RDpu4zBDpJLrKDlOHgNQQqHOSA
6Vl5/jwieVt1c3altMEjEuYZWigZKXAHto69XGRFd9krTNF7/Wk08+dOU4DT86KjepUALMpIvSN3
4YS/eaNr+larcEZC/bnsDZO4Kt0u1jPmal1NGeehwZ+NCOVJpx1ipSmu2ikN2v00KBCJlgKmqfDs
O7C7kMXbD31eZG5Y5mhv6jihw53J9A5brj4sytKvJl09T7O+l+RYOUY8WB7fuXEqLIoTY2j4cjpr
eljqIrxuFCU7JHpibDo+gtWYSdlWsVC9Yly1NKBgQUhUl9lF207SJPIMIl56xiS6lpLgt7D0/27T
OoeF/7xN30TP/8gfFb/1+yaNbRBqHU413CqyY7Gp/rlJC6eKzVCVn9BIFAO0350qClsx3WwqQ/BD
NobkP3ZpTCxs28zdv0vuxCz23+zSxvfe/58lH7s0Wz3/Cs+oQYQodpW/lnyqeHE8AdlZziwoNDqj
MwW17WCZ4aarpRNGiAaVVHyZZmDZmtnewrmA0LOQejhMNqPt+BIAyS1I38wrlBqnmhD7tiGEDVvb
2lm/NlED55OyHVEH5zljthGpGp3yp9ZAYi+ExOxEqxZlcWTBF+n6dwvF8YjyGEEuY1u0yPWkv6Kb
3oQYQZhzEl8kxXm/TVAwI/s/tCiaCbhBs5usJMaprIvDhamWdxYa6FGIoedGjzfRoj5n6KRVWX6M
5MFYWwGlRCXE1A1DZWhuNjoNs90TKTqsbbTXndBga8kqjZKbQIizJyHTHqrpqlCIem5RcLOGyFsi
UeSDJuTdcOJQMRVIvqXcOjla9qYKMfisMgyNQwAS0hzcNln5kVX95MtCRE5ewWUqZOVxqKarYqgy
L6osw7MmonUsdOggQID0IUwPUah3RiPtczTrPd7lSIjYC4yXyndZu9FdOujca/TuajddwfOWVr2Q
ws/5SMie/aEIkbykFldThPxLRz+foKOn/yaxcTMb7TMt92bU9guqexwPpKeI+Agblp+GMl9HoZ+g
1IdSaG5R7Om+KmT8UQtrUwm0qx6Ff5Rw/aEQ/S9C/m9W+rY3scxXwhqQt0TA4hVgsuaP1Cxkz+Pj
FlYCGU9BLE8tzTJsBmURPaL3v54aHQeLjQVi0fpNKMwJtbApdAgC/FFYFzIoeL4i7AyAbk5laQui
Dd87hodUWB9kPBAKXgjE6xdN7MQ7HBK2ZwjDhK4yinaEiSIXdooEX0Wglccici6Y5Vo7dFZIEvFg
yEn5VCd1zHrNOLqPG3/SC88Ufg2mebTlsXDUinxWsXRUxphvUyU4NJg92qK666VhU7bFZVSWa8Ix
HMaEMVVlOzgr3RyFFx/pkS0Pj4uwkwwk4WIvGeNq9hPhOClMod3hXWFFKYUnJXWGGxuTSifvaw6H
w2WAfWWWHbSDxUnB1qJib8mM5ST1+F0GjC+qcMD0BI5A7l58dUHlZCbEaUl5HCD4Rv5egzwnay1b
M7WrPDRsORNboNu5PHzAxkv9KdfQgQlHjoY1Z0LUPWLVsZKpRzVUJ14gfDxKYewiBfnh8t3ko4JF
d+0CjrAk4RgwhBuIEeu4doRDqKnAagnPEBk8CeGe+ltvdCgkKBNLbXisMRqRTJIwh0YqEWrjee4T
WO+xSXRmZ3b014RZyegLtTmoYdYdWHtqX+ReUeLXNdjXvNsZBbDwtdYjxrsbZKizm0hvlE2vYxVl
HFxg77emBuZuH07Kyi4kfXLrARXylljlGU2lZizxUSrIErtx5FzpbkankbRDP/XMCAygXI/NoqvD
Ke2qLSFsilclUNpLPdXXMc5ft5aXZ6UJr9tAG0gcm/a6XvTrRmqIs5XMg2FNsc85SkegZr7WZdkC
fTcJwEv0x1QyEb8NoMEUeTH3WsnNTHZJ6vLXac8Y5TcQbc9R0qh+Z6OuRSz3QaoswruoBBZfjKor
Q2dCF4r8eE6ny7lqfXJX6BRW0qVeNFdS0B9yu/w2xOPHAod9nIj8bJUJ/HBlZF6rTfuIQaU85q5j
Vc9xWl6bcYAoVzWilQbLg9odSaaaHIPWuZCS+SmL1I9FkflXQmhmQ06maOxDhgP+SHCS0ayCsLlO
J5YeGcgxKVxTdsgi61JOMzSWUymOabtI0xpvkuij1jGR6tyMR9NKUfIaDpYDEpZUdkzSsozFx6d4
yUyUZAJqXT6FamsVkKrbkrJKo4gGfFn5SAOs1YJ0yy0C6ZbcnMUIH9SmZWCPLJGYaGRlduqMvDg1
u5M6W8L+SA6asKtoREIz6ydOIJ+qcWWV40Vld4i+7AGllWKd4rG45CyaM7OF1FCA5cnbbdh3z6Yz
ziu8zTdzJtWrJQ+zVYBxwjOS/i7o+9bvIaeWWIgTKeUa++URHR7C8Z4iM+2gP9NDkLym7N5bx7lj
gV7LVXaR5hHZgaG2pWl6Vw/xRoqtyUP0KlLjzoNdXTtG+RKz0SHYlI+63B1QjAXeUOgBidxKQ35N
swuF8XTuxhBek5O4UZruHAMU6xAWXmKr9aYFxe3FeotQuT9TiawLtbsHQLKtUsySUAa4AXt9Imsx
H7BsCEdmGtAtC/kpntESFil6SUlSNqbKeb/jA/VaxO9y1SaubXX7vsA/WpvO3mqnO4Tl8gqNMair
3lyTUxZusLAfssIxoYXjj2p40g6hop5NhQOj1CLt6Qo53y1qBvIkCCjCtTqA/ayhFonPUMruJdKo
1vC4C3SzAQucMW6XHJIfXYuz2iDBsBVCds1yei3K8IFRzaktrFeEV6+TCXqwNR/LNHwsQwyHHeb2
IK8eZZjimt7cjIQrIOHxNBWAmJxFB7UZn3HCbXpLfXfgeIR9fLUoFsk+nXxTkBPkFpKxZq2Pfu3X
/bfsNpjY/+ey+7aJoWnNf2+OiV/7o+6GyUFPDEWkLKDQIo32j+aY9oupagZwHUAZf7bGdCp1wOkW
KkoVpJ9j0439vTXm/MKfy7INgwixm2z9K3s4BuWvrTGCuByAfKrDf7iUL31fNpTJrOs2PxcKHozL
Vu2x2s19DKqYnIlRdVgbwWsIM9prPeB6EdYuUgRvdGH20qyXeRijVYULrAnydS1sYZ0N9aDXraMs
LGOSMI8B5cBGJgxlhrCWqYjc3agKjxyxU48E785LgvLUzt2bJKxphjO+6cKsBkMU5SotLnLtDpMw
tGlOcilC1hq5NPxSmN4i2g9+J4xwYHEI2+5KYaZ+Gcj5QkU7b2TccxIuumjs0DNP4dayOnolKXuY
8NsZ9fg0YrfOOKd7CZY8zegeQ9DfG0e49RTh2wshYa6oODuEmrj6EPg8Q9ktWZxw/NlY/wB9nUrx
eLHc4QzggYt48iZV3uey8U5O30bjyWz1+KCLR7UhRHXi2UX3z992trncPPY82+VEpVOIp52n3iH0
dyzBGmmvrLuvjdqemiV+MFgoUhArvqrJrB2GeZa4WBamcZtHMSFfnUSJKvUhvYH4po21Y19Jx+X7
qiTHqjuLlcqo7XyXoGVzDbGOgYw+S8aYHWphiTekyCLdXjkkESevRKyEdZhdRnUv03+b7mhI7lVC
C9mKu71dUhbQjTtVyFzZ3Gt711SFumFN39hi/W1i3BbVnNmb1IoaPxHrtDkE08oQazehRKzTs7pt
wvE+YHnPWOZNuSccoaAJJjn1pqHAnWggQ82DjALDxJ3EfqGPy4wbudnlkoHZRZWCDQ9a4I3lcJDZ
cCKx8+CEfkmk5poghvPI1hQm7FGmmmx0Nq28ow2j4PVJF/OuAxko5+F9yzaHrFmCQK6y84k9cBC7
oc22SMomxZpa7QOresCG0fpZO95JYi/lVzPIIOyvmthoJUSdmmrSzVXKjxzDtReX1aU+O6dUx1LT
Efzr2uzg/TSMq0ls6haCaZ6VxvaTMla9gL2fNGhODlozPXcBlH+5rQLiASkWtDTBL4HaNr5DNJpx
B1JW8KxhyaLQsMlY2xQtRBZjbKrtpKiBp5XyYUZGqBcS2UNJrPkL1cuMmWA1F/XiW1Q2sch5hPdO
xuL3sof6B/v6czqJnExNvtG1vTRjxISpKVE7lVa70kQxhUV6ZesldhbrQxYVV2XpH80iPzmUYvKY
Hat5vlFFjUb0TbQyZ1Quc15fR337nOkLnMx5Z5fLXu8JP22+13wTwSF2q3uNPX+obfMtlPrDWHZX
SFYuuwFmI7Ymf6GQ1BwG6WRopi7uK9VN+lQGOU/l2XTdRyWRWZlNo+pnk/Uc1803aKgyJRnnflXU
sNNom/uuF6WmIdleRqnLqlsTdom/d6AM7miNoFpGH8uCfCBzYdqELVjJaBn2naijVQpqM5qeE1Fh
V6LW7uo2W1Wi/m51FCqwcQlBptsbTTedUfeC77PKJthsNdLpVVEYDQ9dySNhm5fEiXLKmALcqJqQ
4AVMtqTwJghwgFTOjRPQApxmG/e3Q+rEnJHGTOJzqNTrsLOzR8DCMbrQ4UJiVCP0tzzYRvJgQWZ0
zWFM1yyruheq0ctUlCaGnng9jMWeBf161kvOjXI++WwAVxVmaWhBZJfQFtpEMoXn0Gq6a5jlbWAX
+ygwdS+ts4s2Gq6IFoH9Q9UfIPhGO9ooKxr5/O4w3BhmYm+Xon9pSyYKTtUErlqokWcmNTzGRfpw
dLoTXdTEG5BkV8Vcvpgaz3adWYS55DYW3SlEehssxVGuHUbAZf0IBlJU2BTR+TzBbldxFUbIwv2S
NRvws4x1TO7WENpeeid+AKmje2NAqxQYlavwlSMJzxtv1FC2dxPZVQ5jKM8cYjJdtHHrgBtAn48V
WSsN4Ej6cBfN6dXInuh1CYCk2KByxJYQ4n6aud1sKOt9IqpJcnMuKmkZ/VSneSQRUQYzghGEPNLp
SM07o6O7U8xvRmmck7B6nxT+OULgHgU0wR0bomzMvrgg66c+cqa4ZP9HiGsVeAGUXZdVjafPqogs
kctHMp2yXbvUd5rKg58V2oM06yfmem9jndG9T+7Y7OVDbNI4YP/ftXF4suL61lnSrSa1ZJJGNO0x
+gDj0EkzMeCJFgxlykFnxo6V3Vct65XcVAkzGtS3uqwWkK72tQLgdGUIsXSBT3JVVdjnhqwPdnIz
P5vMsfk+B3WdpvbtVNAksQNpH4fhc4N1IUyh/E9JtSnrkt+3qnOZklhFjz1cYZ57rZKJc3cXP+ky
zJakNs9yb96XurkJqmzaLqH2kchgOLRB6SHXYVawJ5T6pkU2Sme2qUsCNLdfonSuEs/IORflyWyH
o6Mz1VgqvthGYtWOCHr3E2seaTkkz3KhXqa0/rwuDhIs6TBch4yPums286Iz39OMxOvldJuE5Ayj
3WK/E+T/WiUbtkyabEWH9C0KGezUdtisB4X8nDIfBr8k9LpMOTjOkvmQ29ipwjAwvLyWbqNmvKNd
iIs/drxyzIhkwBkX9nZHP6asfVWPbsjWqVdB1u36sMcMKDt3nNiZygDw09oOvgrhukRc8jzh4V1P
oZT5alrsJConHshE9ka1fanC/DyhLQ75tNhCyCaD4OGJBs9IaIRUmR+mLN1Kms0mkBMfmjrph9Xm
KOgz9XWYm4PDTk5wrPHaDtYG0GJDjoGyDwqt8J1l0ME+pg9hnrceDkjVs4lwSqQcWO2LbGPSd3Kd
sy05Rkqf7CujoS1BUtNRjctdUDf8zE6fQsmoGBkmtwqzQbfqpWsrpwuk5uVOJ513ouaCq7KAjqzK
YlV3OP9mzGkwIWvejo4J1h4bfVWW+sGuwdHYUOFTq848nrsP+HQc8UdrWtHxXMtDTyAoj27UKFdZ
WCC7mbVLzYzhzBjMWjEW3dBYQPBoKRrl5cQ63RSXk94U68bU94rdvSbMLj0l7h7qCdoiBsu7hbD4
ac5uVZ1u8oh/tLTkFxR+3PxjAb22s0af+J6Lqm3WhYyAWp7bjuUQYWFnJu8OtXE0mJigp+J9yYk+
dnBlhs2yU9XiMU4SH+/xXTUQJNJS5VkpS19Uc2dGzmhtSqx3ft1bG3lqPsyIks4qpyctp+YbEsWL
s+QRv8AO+b8fpcUzoScvSdefdL3e5zGWE0i+a6Jn2Sm1eosz+XqKlNVkYN8K6vJmap1tpTscyiXI
bMkZQ4g3xwpndo2siiBbxc1wQcbhro8rQqNkwpzahEzYOrTU9CorFvNxLmMTxaZkDPyB0VWDP9um
1xuV9N/Mol+VFjKTmv98BvXfs/85lk2H4uerREP84h+nUO0XA2StzPznNz7tn6dQ/ReiO1Xojxqg
WUXnjPj79IeoVkobg9oNsK3AJ/xxEBVnVFu2LFx4pmYg7vhX6RKcdT/J1MTQCQ6v4pB/IZP8qn8/
pn6SqeGmSdpsKUhtL6etnMYXVsgGPPzMwMnM6C8vxDshXwkQhIOHEwPh36yVEqZsRivpeDYMM92B
qbH1lbH0PAvsY6XK6UIaLQnrf3lCE3ZRp9WdpeLkq1oW/zGHqZ5Cz4VLYJDvzcblacAQoCdWPC9j
8zi2FWBbO2LIC6oXr352U/GCnlpl51LmcKxYdObsWsWRJA3k0FkskPliH+p88pxEbhhctYxpDXNL
fVKATRzWqm50wC3Jp2tT4ogsLB+2delQLxPYrD1GOolEw2TcaKp2LeUTh2rjCEhgYNmLBb7c2TUO
s6cgD8k9U+6C0CZXO2R/UqOY2IihuzLg39Nlf3Ds5l0NrW9hPiN8AWSWsnT42Yw5qgkOJsjBNfaA
rQmidtNiZvS0prnDkbWNbZ1yKIoOiENfijFK1wOEX98cZszE5VT5nEdBg6GAWCvd8k3Jc5E4l5x0
mzA5EQsrQZisBbzAUu6aNrwsMVNjlJmvrbrfkIC4Dc0QNQEZcVwozfywK3QPrO6NNDPjyTvc2Zbz
zelyQDuTD0cN9mevswAbTDRMDV8bopHU6j/smTGPbBqX0tAbO7nIC78uQaNZ81EdKc9n1PsjQLZ1
qmTnOouSNUXhZsn1S/ZuTm6KvnEGPttohNkomdRJFRwJYhO3zozpvlhAtC3tPUqbhZ0cgYDWZTft
2O9gbRC3rcmvSHNp2I7zfUZffjNpy0mdCtNto2Rwm6V5UzL1TR0z1UsZVJaZs7MMXfHScdwAQb7K
U9uHG2leWNrC4CcrXpekeowszI055bk50EJGMpJux574b6pPVQvWdqE7zYpbjOpLp12jTFH9XCSg
5deLLXUzQyjwBYpMlj3mYA417VZnJiHI/GvFHgloqZtpn2VG66oztLGA/FRdexsZ9cSGgjuwbDjT
gce/Tw0tBtw8MihwiZAy/H5SYj9N1J3G9E0Z0mNHrTfb9XNgxtdKKr3bFGdMfdqrkrvxdlYHMiTb
zpsc9swRJYeUG/mq4FRjM6r0JXz2Rgy3fmiHWCS3jE9mwkl0CqvLMJYDrwX/apOCFentBSgwf+ha
pr2d8LUjzHISb0jkc9KUl6nJI6sV6TlTjUMmSbslo6aFbhfBO5hzfMTxmznOJJCN6KKmXrmm0bSZ
aA+kC94+JJsMxKrHsVnlt9aOYc4h7aQtJjrSxuVvUEBTz8ooqOfsW6bfDGO7nfH6V7CUM6IlEkoP
dS3LWHp1snCxWY4IPJj3rOH5ccbAvwp4IOnWMnBtNxx0AAEKx5VyJAWhYVo5VpuewDZCFp6akjSE
eNbvu04mnU1K9PpWRDqGtk46GSnP0Fk+bTDnX2fyf0mUFoK5P0f1YhUVpAV0fqJtyenji2a2bTkO
BrM5n8fZs1x9E+ynm/Jyl2BfeC4eqlW607zADQ6MyXo/2fzM/8M29veXR8Gg4TRXDaK0+fmn3aIJ
emOQzH45D9ZzFewcbBPO9E2CTfLj9/lPr6PSsxDh4ozN5S/qZKdjz4qnYTkr8UXEQDjL3okxEJ7e
H7/OX3e/Xz9OPk/2QKx/wI++aNvrWq+MXolkLJ2HxjxVnBwj/eHHr6H/03f2+c18eZE+kuVWTcWH
tm7vIy9dDVv5zUYB55aXOfeYe92skO6t1e3d0fYz9zhcxuv7dhWsrpL96G4JJL3ofP6iX6753+r+
x9enig/z6z0lcqUs2nT0to0v15f1EJ+LWVbOnIOOwZW8ki+Vh5BOoyd5PZLe/ZOymbxjvR63+Kfz
A93nK84N69H9TXz832GGzo33nwvJm7hNRaTT3+tI8Xt/1JGKmGYI3BZaXwqov04zLJIR6Dk7IuLy
U9KQLupIyi3xFMHo+l5i/jbQQEVEg0XMICj7sJA41r9RESEg+8ttJFREqg0ITBPFqsmlfFERocgF
D9GY5XlqZKaFop2h09ByF7ocYHKw9syA/Xp5JCBTdEjkLKcHZcZWustEYyVGW3hJmQqET9Pqm4QO
8BYeV3sc06B6qzqBSRKNniizZovBKxVORbq55uYoWs4tqQGnOoGlIMkmHCtwJDbMCQUMdBEUx5SU
nTcbpPY8ZeAYFYVOehhRX9hmfkdPyyAn0GKuR3jNZddG1g6XfMmJrpfStWLM5T3IBrYLrVXfYedk
jwYc3G1otOQNVkH7PGiOTJSYHZMQ5owbKxkb9LlDdTWKrmPPRATsUeUPo6IPp0gq9OG1JFdNPyi0
2GZIL2Xag/3peuldD50kOlJb9jV6nLZoTpbIbrNCaoebKHEYWbMOkr3MRFXk9zgSLUU51CM6OGU2
2lbhZgNMHZ/QpgyQu1Sg/Yn7bH5JBrXOV+rorGEfTU/mKCDrQBGJcpvMYh1GprGfe3O+6cZyedYM
g+M/vEgZ1zwlVxwqDt2gIXzhToo9uViW56CNlncznh7poK2LMN5LVtn6uYJAYzRogUvVSO/FVvp5
k8KyYX7bzRepKEuNzqGknvJSykhDDWOgDx2QWwZdqITS+oFQ5GxHMvSdxrR5W0k1WFIZKa9hN8A2
kta8saMq33VS59xVcm0eJ4duOZGXqEYRmdMubeUcKU3mvEjk++y1rEMZPOWnxFYkv+mGaTNIUjsh
mqzrzp+CuPqwpLLdQcUvrjnKtYgeyKwKGeL6i0MbYEKjcmGhtrzEDpXAHLVKeJnWfNGmS/m09JN0
4OYVB4tiPBHGETzaSz7eFaJP1ZdTfCPFU3WORIerAHeDWJmhATryVldgoDpRh/rNaP2QeC6aRkiR
t+rALBlojJ5pe2satavZbGzypUpTea9EV7AW4fUOg2qktJjavy9B/12LDYqN/7wWP/Uvz39fh8Xv
fFqHWVLFgVkwiTQh2fxjqqz8YsLegVKkwUT5jvz+7TyvOfzEASxkycTKgCuncPt9sGz/4gjTBdRF
UYro/447rsl/LTdYhy1LswiOI1+OKhHWxl9rtKwjn2YqJ/nUJeUjQjpjY6aadFBhptGQViqSDMZy
23MyOQqh8roshU6eAMemJBJlLJjPxLpjXDSAnpEHpkDJRnMzjP1NZk/VZbNIXjXA0e7sV44VjKjy
cQssP/AXc9w5gb2OrUr2K4LG+hZkaOEIVvOo341Fs9XjqLitw7AnXLJ6NQF3lH111yh6xdSB06UZ
1q/Z7KR+2dLPrsdxOxFQz8SijIorWWMqnOhMTDXzECC9W3UjB498lLDCKwL6k9VkA3TPVh++Brk9
rtW5kFfhXNU7NGgieka67jI7OzvwHAGWRyT5akSfBbNl+UHMbAUkL2teMMOF1inKHO2tjc2ryKiP
dseRvYrSx1jVbrvS4WSdqO+0GKZVsIR35LasYjIgerR0tBWUbVA7b6TjFYBaImhliEVlVg5TfcqL
8JAszq2SIFMzFjE0V+XbykrIU+dL6NCde1lAh5tl7HnuW7iRVvvImg+oEDAJMhaEd7p8BoOrgD2M
r2K8JOj4AC3t55k+xkyWrEymrEy2rL3Eh0GEzWpJe40WEJ4urUJ3aWgbW6T7JPC9XWI9fYuhHhYG
iU2HtEuLEXOXtenWLpt8FRetfXLUat5kha26g5nsyLR0sDPStKgH2XUWK7ySxAhwiY1XB8XTsZ7V
j4yIBciuJtkSUaI6xywigQLRT+oGKQAlYBbpuiDRax+m5SnCvYCSxj6NCAk802QdD/8ve+fVGze2
puu/0jj3FJgDcM4GprJiKTrdEGWpzJwzf/15lkJbodpuozQYXUz1xd62LBa5uMIX3jDQwo10DTwa
xn2lesaml9IVGMtJHeikzU1GWcdAAKanHE5n4puZ+5+iKGqmZYMUE3D3Gdwjxs1jcGPSbnqb4ycL
a2XFzb4nnksmp+lH9GYvFDv/ofvIpPmIlBe9PU0js5zKdakdYjaElWdy1NcGOjbaelCiNfZ2VI1i
iuVyFn6WO/fGSKRqhaItMpGSdYNNKFp3inri5io6WTb9ZPSaQ6If+TIZ6iMKRMsiCi+DwJubTfwV
2cjvmKpkWCuBqR7onNhl1MxKAQ7N5JSGFINr6NIRUvCw8mQQHw1lDzoC1olcKLc2SpWzqh4+wyci
0FIQFahGSEX1iNQcsm6RO8oAwOSzLu6++4z13BRVstSETZKpsH7S/NTJKpqh2SIkyoHQ497CnYG6
IrrOcVdMqX1kuII06MRFBdr1iBCmg3FXd8ZpVwALT+zwpHDpRAR5gpuHqqK6VX2zw+I4wTRcicZP
CpqF3B+KxroxcTrntOzTeMYNz7yx7RDUihBn6QkRR/mycrRvQ+3kawKbeBoABTySokE6zBJE9lOi
wDYqrnTCJT+PLm0zNaZ5Qt9yomtudehaXGUsfWOVWPocqVJSYU2KUXeH3iHTbIf8BrKQet9Eyqxo
CoUeMBtdxCk1OAwFsGZBMTWeuX4M5sHrL0LQ4hPXkG+BvD9S0//3nNVIAP75nL3a3JbwHNM6e3va
it98ftoKuTk65xY2SqKw/uy0tU1qsE8/4beeTlv7wNJExgOI6ylX+nnaAkbUSV8MW+C7/uy0Rf74
ddaD4xKHukWKBcGRpOLlaauFbVqNWY8+NkkM0IEA/cUWfcWcOlBi9fWikqKKMpaht1+7MDnG/gh5
MNmmeINRwdQdPNRIUlu59DxzDqAoobmODpcpB9KxXI8bw1VHNNzqbWcW1dwKUW/KY/dKayTzNG1j
fzK0WrHI+7Y4I1iZh57/CR/JeSenwSJw7CMcM4/AO/+I+uFT5ydHlh6ti7icUXlZOYGPtEiYENwn
Wo6iKU50EOpg/Mo68HQH9TvdMLehxeFtSt+iVtp2rY/1mpDhx7Ckx+QyuYM6gYeHLFFgbJsZBKhh
0glLvNZBWoN2vqipK8hhtvWkpcU8w/z8k59kF6rJ3pdxGlgDLbWiQYnVKyFsUk48NHPtsqjMUy12
tyPg7yEF95l3oHAi1DXNxYhGblJoE5dtyk+N69YAEyeHPwYPsG8Qqxd2if010CEZAf/qJpPA6w4N
cKEm9uNFX2NZUDgoOZdkO4lXoxxKhLKqbBkTCo6pOfbN1mTMMGjBfWmcVm7ozCUa3dhiequIEucE
usCyaaRQKBKqs16Ns0k4IEyvBFSmjUzSTkuAJrQEUXyLiLpQWwe6U/UIHUqZvGx6kWBQoS21OgDx
GxqrxmVH/5R6kuWdqtWYfA4BxxChJAWC7XE7wjsxu0nbBx0tU/tH5fir3iebrEU7IIGEd1q7deV8
K8Gr3yVxRjPFUWK8ZXUFqdEKgz5LRh6vGh2iLyKjRa53FKBGNbixO/tTWQc9cRzSzEGfTI02D9ad
Hqqo8TYlgZR97aTdoZYYS8AkzTJGeRqDQ+VGalwFqmiHrydgEcJEeGnsxKTOlZoCqHXoXjKWWtWe
9sjxXzMD6AnoJE/4KfTnIE8qoPddfu0V7feKauCxFan4joT+Nld8VDr0AdstRzmT7MytJ3LDSSMZ
6Kg5dbMqG7dcqaUZXxVmgR9VZqXXkYpXbq5gc9Lq+XVm17O6NhH7wqQMKUFjRaobobkshYJRTB84
G9adMBSDM9RPE2EyZgRqd1yTAy6GwAWnNMgbPKKmhd99sgciVU3YlQELDmee7mD62+sS/iFO9y0K
wZukY+HOArtOl32eRbeRZlSruOlI2Av7KOr8ftUKuzSkmoXI7IgJmyns1DphrIaQtn1qt8NZBUh1
4gBzmaKBy8pMWtQBZLuf1WpanUo22PAKZ8oJ4ec4/9+8714pX/tl3odS/l8LRBBvg+p215H0PAFU
od8pFqw8wwI9J1K5v48kDQdTDgQU6kn/aPj+PJIg3av3DdCfv/V0JFkH1O1AnWMD6CimTMb2B8ZT
bw8krFB1LJVFMVDWxYH5vERvxLSVQ7cc1yNACdslmqofKgP/qAIrrvCiXsxVZbJfTlYH/OH9kfis
CcCUNfM+15R11UsIzy+MGMqDcde2q2cBwfnbZsfLJ6E4/+p7qIU+fxJMJfKipM21NgDMKOVJZ939
+gsE0PuXT/KqzQCAL1UbnydRe8xV9RvL+ZGx5hxp7TQtOFJ5WrVf82bVBOc1VHQl2Ib+wvPO1Qw3
wSuvE6aqx6bhzW103D39ogmvOhA8PRz5X9+pQizzyzt9HWYEklsDDmMsNPJNUtn8c9MGU8R31x24
cejONKKoYKnUDGm+msEDzeAf3/l9J+T1S1ewszKBJYBcFxoUz19GCoiqbmVrWINdpV6g4Ax9Eumq
hmJ+rhe5aKGnzWFo20cl/Rqj6S6VuDMpJwBha2VpnJZ4lUzUvJFb4VGDLHjdlMs4QdNAO+pcmRhJ
lULlptcS2laRE6IrAuk+DTGcQmk7b9ho24Im9kBncYDGuW7NYJ54INQxU23McVn2znminrtjuHCb
L6L04FXXlWef0gielJE5a1NuoMsOqWxOLVDrQ5jPIuM6yyGNmdgRjSCrA7qsjdKcWHIyF+KgxZcK
hCWQQooRKaLl+kUYnoZ9smxTqKUJOMVco4eYOde1jmdVaEzCFrlfI/D0mR7AhJXtBIRUFH+tUaJM
EnJXB5XoWeTpv1FResviZd95tvBF6+D5G+oCpwrrvhrX8lJbuYfjSf1ZWwIKX8PmPalXyNvO7RlI
8YWG6tFRgppM/1U6jBb1Ul6adJzC36gDv2krvVq+ol/wbJvQ47jBcZ4pm0WHuCxg0gC4t1gU8m+2
IzH1X8/M59vRqw3PDhIayD7fA/w+vu7vCm+Ko7quzkz3N4tAeVlae9iRni8Cwel49kgO91VqDpQD
X5uG5xF4h34KI7+r5qEz9dbd7x5t1w5IhVGjsuU4NiKQL78PEcvesmJNXXc0mtPxeyud/3pf2bUB
Pv+CV2NHkmClraeq66qdCbRfJ01RL/jNC/rdl7zaZZ0eC7HB5kuc9ngsjmrzWjW//fo5dh1Jz5/j
1fY4cFaXJWrRa6Hw3McdQJNLJzxzQLzff9F7Z+unAYLSVfaj/r/iyrdZPpSB59f/efnH6uHP3jYT
6j8v/jC/VwK6aLblcLmtgIw/RQTiX/7bHz7C0q6HHD2hzV2C3XdQ1WVwW3O8kHpDoPqpKiRENv85
Xb9uwEkm6Xb37z0l66gRCZ0DhIhU5FDvJQv+jozkA9QFFOBsqoAvPGtRarbwdgfSpqj3hpzilH4W
GWmKkCQgLrpvVv5JZGTeSwG/2SoovysqPU/W1Kv1q7RGmQBWSNYjgh2agmhOm2GAiJTHSHVw0RqQ
TkJkPnSh92GAC5EbZRkgBOI30mEahzMHgZBUoS2OYAiIs02EgIhb4ZaLoEg/KiceAiOjb5aTSGiO
+Jb3tUKEBHpiNDeRJaG8gTLgvVKJ0CwZFZg/idAxiSOfmpvQNskQOWmae7WT5By8HKUo0dMaLYig
ToTuirHQkErxYa7kQjsld8IvSH8L7jY2ZwalLrWBqY++drCGc49IDiosBiTr6SiUWQKh0WIM9kmN
aIuGeAtMku2gj6eV7nxHV/Ual8SMSoC3zJB9MQ1RRGzNNbrYR7FQhnF840ZDKmbM6m+dby4qoSFT
Yn886Rz7HLDTcZxk6xC5GdA7ixypbwCnKNGEFoVmpZQ+O0KlJhvzmYxsjV+OFOoQssGMsj5MjRja
s1C5QeAlQaPE+dZbybmBEI6O0MFZXlzImbZIgJTjT7fGKWLRaP3lgJBOH4ZoQiCtoyk+yFvpS6u7
nykQLcyG0qsj1Hi0OPkeDM1NLnR6EqHYo/Th2SA0fIqouZB7Fw6G0Pcp9EPzXvCnFto/mlABAqy4
cIUuUCIUgoamvfKHcM7/p8YiVIRq5IQabsPFX3oaCaUhUuulEVBqL20sCKAnF0KVKAwl0PVCqSgT
mkUD4kWBDYu8c++IocJJIOSNMvNSQvBrSr3hxBEKSI3QQvJzSG74FV5KyCQZYa2fGEI5qS/Ca4LP
WxuSdeomFwnceSBOnzxHxu1RNSBB8FCrXCgyOZJLUJX13hSRioUmdJsCywUmGCDsGTS0OZOVMUZL
WUcdUdXiOU418JeRa7ANI5/pQhlKtvIvGVJRjgITmUPXnxZCRwqVBzLfXqlI9EGkAZPEmLYHDm4q
Tn46DuVNgSiVmzewS2Tg3lkgIXTX2/YM65ZmEiNnJWd9jFtltGgQugoQvDIQvkqFApYltLAkBVWs
ROhjpUIpyxnAd2eIZ+WIaNmIaWlG580GYzyTG/fObSVlpiG85eT2ZYMQV6fBNVZc99CKJDS6mPTE
yPaiF/pdpVDyAn9aofSPulcodL6kcdh4wAmnMKfAVzKikxpZsLpFtR+ZMGUQemFCOcxBQiwY1WQO
BhGFHUXIi7XojFGs3tRCd6xvr6OYCklvn1MTx2JRSJR1KlwGDdUymuLQNtAx88d64Q+tiQNS0WF8
i4c2UCsYONKw4b0OR3plzLM8hxhO0XOmSvpW7avTWJZOe7mm92QP6RyD9U02Bqshr40pLsEDryvI
JzSULTy9IJzgmHSVWPhsFFWtLF0cx0Ep0vbq2jiddQ0zkL//ocY9MHND+IvhzwO7RrqEgbitEqaE
biYBKHvrJi+Lsyr2sVdS9G2eY9stdYsqhBckqbEObtBSF6aCJ6w8lieugi84skmzhBE/LlIeGmGR
dtrU6VedUtUCZhjKJoHtwEmFnABQc+UilLECiLopzCBbOmyNcEkWBYXPKRbrp2PtryuUSiaGhWP5
EGhXVFc7krDsvKjkZVjq1znWWNiTXClegUfqaKNJnVkbD6P03PSPVB5u1gUyEl5ycyOZozJ18R+c
x5gZQepkUkeV+7U1x69lDWeu0r2VF0urPFSaOe7KuFrVzVVuKwlaYLxfnDBmNlzTaWeJXDCB/ljG
bBX5NPOdNRvd0iv8BAWy6npwu0+RWn8uC1vDwKD5rDujjBdsp8B2U/3jETlcKki+MR18ap+ZB/gh
VrTDsgqvUlNbjjmGIG6kfO0idBqcOCQDB19pO5E60XIkNEv1U2tedNXR6H7pYL762gUMSiC55ico
IjeBlvBq0nppptmZigYhhsBKtZJDc6uw0QNSdc4hZbG0oRqvJAPWg2WOwTzG8IfWsD7LnO6kyuPL
Fniw1cdsv8EwHwdFCKgd+3jXARZpPls1/D65qI+K+qw10WsxGuDDlneuIwoyizMnWKpFGU6NMvis
DOMyjsvwBJoktptSeeoMlrRohyZaaHUfTkbowPQ/4ZAZrsjMvCMDlvC0Mm1/nCiZB3lwaDR1hYTO
lozAP+3SGvgRXBXD+hzSNVpS37QC8vVxOAPwh1B6xXu2BkRsPLueB8igZOxfR249OmtFK1FcGfFn
dataP2wt/ywufdvGv2XANrrvVfZju5hzeISAabAEMJRTNTcO2Y2OTJepg/IiqhtwPiXwup/oiLND
tJhZ6JW0gkJypuuVt0p9easN8pYmwHeOHOFO068GGeKXbcEoknl07rHSlGwW9fFtD/x2Ynj+UpXp
Z0KDZHvwzC94/bXLQcGbrcMNlK5WBkNrXJitFEzxQD/2GOz8O1Ixiu5eItGwkiS0iIPSWms5khlB
kwByjuUbhp9TXIm3eR8etXTCFnnRX5SVuQztqpohUJ8u0l6O0FECYY6KuUAnd1/SukeqI74y9GFm
xsZN4tCELwCkmmN02OnmArMqVCkUfPuynvw9v7Yy/ZbN9bx2uhTsOlMgMItLRSoXbHDKstPBijlK
hQiPSgGdXnpqUr6nT7HG7HXAcM5vqAhHw7zsa+ZD58Uz3xx9Os3VPOlpieQmBfogUzcjNehJDIAb
exM2Z9s8I8j9Upb5CZY/FlwxaQ7MdIpDCG35EFKmelkW7TErd4U2pkzO7ws3cKE5E592CkdtpJwE
bn3sxtlnI1e+dG7EGZFanyu1BzoPjYs0HCo4pSvyfO9TMsjpVKH1OAZHpV6eQqpc4CcDbzGwgRXk
nNGSedPk7ekIRJx07HusG0cFEHhe+3CCuFazGsoBklRvniaKDfA8YSOU/KVsBDBcDX0VZepJJ4/H
TalpU8/AbdAczc9hlyTnmgtRHYYqjhIdEjGtj/tYi2E7wj4qVPQkxeWrokNqj+WqwiJ8Vsrhd6sj
hrH75tzKsXBxkI9cogBdnSQFTmiF1h3HIRKPGc3zKHalpQN/jJjTrVlcRoxx2rVZS0eg+pKl6WeH
DtGW8O7TQnMy0hF6FMB+73xsuc2Eqmr1Mv/6yOmYkLD+53TsZBPtSMXE7zylYqp6oMHmMXUhIoeb
K6nO36kYmnMIzim0UzUSDp0fPfVNnQPDprb3d0f1WSpmH5imhWEVBW9TkylG/EkqRnr3omojUEr3
BWqR9lFRBDf6srThwJ7V5CI11lEbe8eSlxTuVU8mBnVbDSI2AXAfgwW5BbsWIoM4PtRLolkD38JV
hDDoYTKoyWkHEyLCG8WWF72gk+sWKZGWKCe2AeugCwMyMTw4JSc0Tq0RdkIfkxMkgDO8Olo4o701
QkB47UDwCNt7TKam7x2nfXccpvFCsltao2rYXMJ/OVTb3vwW9wh+VaGP06cSLmM5W41avuxU77JQ
0mYmm8MIk5veb5qUq3pUzuDiby23uQg0e00H6FC1rasAWz+whl8kz86PUzc7LnyoQr4eHOLU+iVG
RhWk6lWiGjeERP2ERJZGbKTlV0rlfaVFdqjZ+TyU3a+aE29E/ZomcEG0Vrcd7CBwSribTUi5YeOX
gIyszDkuNEK1qFSPoyo+K2KVoy/0TotE35R+va7H9AdMHlAZdTYdM7pYg5sfJVZkgY2oVxy1M2JL
NmXVAuyD63OkhjcWLQBMIgeiDOmLXfoXQ6dDvKpDaLMpUE6rGufO4KMggu5srrjwU8GdoV/xNRq8
ZZRJ2L1p5bjwhhjGTu7fVnS5qCYrxixVhqWJA1zsOdoysdWzNKee19UxBhll+Sl3fX2ulT/Aqsor
MzIdNKWQDfZARpF4/JB6gjes7OhzA2fCNhLSilVc26UtnUgYeUVGCQW1Wjkid6UCMEX1zZoaHn1B
WOnDtyEdj2xPv7OMioY62Mypko1fdSBVhqd/6+XxorCl67YkAMvdkmPe/wGZDBuoLnLm0J3OEmtY
RfT5kYxVUP5vum1vwziGaA3/NfcWodrcDhCRJ5qhLaw2uh2AadM/LnM6rSSU31sYgSc9XG9Bc+0R
YYTAgFieMehLnt9cJYNQz3CNAJhTm5TAoWvbgtySsBvMZNVKnXkBeGVCQ5IJmkIM4tCaUaQIEF6T
wT+5EWlNmgNNG1p5PbIYLgZkXZdkRx0qBBVFkU490rRQm4JHJgnmd0bEeQG2evDVezmbE5sgImwU
kPkjhR4t5LD+MLEkA42TLDiy7X5cWq3RYcUe1EQ2qAvIbbvAfJNk1VsXLck1m9SphhYv1l3OxVBZ
3qyKw7PCJLRQlc9gWocragvR11QJaQ8USXWuKf1McUvEJ2smZGlqiCWCiW31up70aa5NNIU1a+OW
sExUTIOtFD6U0jXtWaLrkJVwf0Eg9ZQWM7LGqTppCpQiEV4DNRxU38tGQncmB+OmlYfo3mrgH+wj
pOqMI8VDCiwj+p+odlp+U60CWYbU7uaNRwWBUj+9Ch9Ub0B9Y4EDYjId6xHjNUX9EiaJu3Aq/i35
pb2Evc+uFGHdlyWg/yoplJegmWBqq+L9uibGg7p7jPbJktDlLGBFATRujkK6xH7HU8vUgBQvO1YG
LNYSjI0yJ8Z3ciwxiXZwjvJJTjW74Q3hpZFXVPhDf1gkKTY9RkDPObRgvtvGse3B5e5yElgj+iq3
YC+k6mqM2ha6TZlM8COep2CyqqZE0qZJKKxYJQjwfGU21Q9Pc/2ZQR1vlkN/59/FExUP3+Q6qcL4
BCWQc6DjqBrogTNPMqOceIW8om7xeQBq3un5cePa2z5TlQl+tEd11METV/olTcer/5aK7X9DhPAY
xOys2FL6fei9iZ+eZ8imXGdvyrr/6h/9+kJ/VAIWpqEvYo77G7svQv/yOvGGUnJzR5EZmDO9QQIP
g/1VfDjW4wzk/8OPJQUpXMMQLBaVqIPvejZG/zQKv37At9Xxt9f55c2/roOLzuaeg2AdAOMGrkYF
/P7Do74YBMrkjgnZTLXkh1H6oEMhutB7DoV5YMuqQUT5OB/ASrwcCpuOgWOizcZM+ZDzQTDi9xwE
m1DcQrvKpr/34ulV+YB+iEoY7jxNlA85Bsrr3tCfbwzGgWbd7wsCQMBnx5oAlwltXtAT/+cH4Xmf
yzAcpu0fzwHe9c990TpQ2fYg4D286F2PT99MRXeQ5SA+H2EQdnQJhQr5H48E13k2FGLF0x9UQc3e
f8RPXxwRdAoRo+AUocv7Pz8Tdg3C69z8z5eDfSBmO2xNIlvxeXNOqgdQD/BuUT7svrj/OUlJwdEA
//5TsMA5afExDIuN80POBOXhxl6Fcn8UMZkHbHk0xXV2mfvPq+XAIJj8jIDpQ2yMO5bDG2Dlny8H
68C6l1RFIWfnIFDNgqEOpkD7qBvj47G1z0xwDlREsSBQg3wUH7balxujwqYBhxCDlg+6HATYdL/T
AXEjVFVYD2J3FB8m/ctBQDIJ5VXLRPboY+4J6v57gk20AMEfhaCHz+tBYE9AdxW2vfD7+pgb496n
A/IEgl8LqYZJ9XoKKHBZYPc8js8HHQOhWrLfagAaZSFcjdjK40Tgdb8cCgYJbBSBwkNY/VGTavkh
itlndzShdClAutC8efi8GgoRLNgG/z12Tj5gZWH/sNE8MC0gdFj+/eMRQVtFB+L2UXfHxx1rn5lA
jUmV0ax7uzEQNMNgh9r3UZ/+MZrf5+lNakcoyFJeepgCrxNpagqySepAIvkh90VRCNp7X7QoK+ns
/2gq3H9eH5DEiyoxNVHChxwDmH3vMQbQiZA7Rm7i/rMjhQRwCw1JJJcfM0jYf0N0DggGsTGhhHb/
4X2/PCBVxDVwOAXo8lEHYf8oQT+QDVXVaPTvngkK8SQQa53e/f0gfdQoQYAU9gyYtAPHlg1Y3w/T
4W2dzaIOKYRWrI+5OyLwt3cORdQI01DVKRk8jMKbRFIQGB2aNEKk9UPuDNr+ZUY6D4YqmlH/UFeh
E6VjwUyG8VF3BuHZvt9yIJtGPBjrRcGeEJ83qZR8gGwbFYXHCv8HDJofpug+ERNLXjax/3lKp98c
lDL9OuSX4K186O1RKE3tNx80jXSRbBEBwYf58HooFAIr/EFBrX/UM0LZ/4xQGQT8U4kbdm+PinEA
e5pMk56d+HzUoZD3LzRRRxKdFkrwD0OxI3yC6o3qg2CTfsiTQt0/kLYPqKSJZfHYm3tzXFJ3tcRs
UR8WzUeNHIRG/J77g458AVJ0tvYYTr8eCvYHqHPANT/sGOx/XNgHYFPRwqcHef95k1uKQ1X8Rzv7
I28PjwibfU5O6JzioMAO72F7YCd8mV1p7B+oQSN4+EG3B23/FJPjQiHN5sh49fQsBqDQNqvlMcT8
qGOwdy0eWJeDaCV16Mfi65s1gZYw+yfSwx/1nBAymPttjjQkdFrV2KM/LIa3/TmAC/xYp+Ty72fC
v4i4/4YBTv0gvrtHCeIC/Ywb/tt/8AShe3uBZzTwe5jLi38piOMP134AyYk//+clj/wewPfsp0+A
vvtvevz9x0d8++UvvuzpuZ7+chVsy015i+biPVH98UYFi+P//Z//ivmfu81zkA47lPZQWvx5N29J
73/PgF9fHbPM7euLiwjp6e92M+r/3cWTzV1WPl3oJ/1eRJl73/mkqXe60XAo7n3t6SbetLyS6ula
z+6dMGH/6yMwUL15pYw6Uc07XDyty81f06yqd30Fm9beX/E7N6D7WbzHxJnHf82yksnzdK/Pxp/9
Zu/7X5TbKt11cY69vS++jLdp+nSdZzdOGLn3tVdN8j2L7+qnS/28vNBv2fvyh0m+LYNN/HSpZ5d/
jyV7iMLdjku/x4o93pY7xlxUevYelOMg9XZsBAIOtfe1f8Ft23cNnWyqartrTAgO9r/vrPrrv1Jv
G293jcx7LNHTzR0b8NOtPpuI77FETzdYau+49nssUXFteOQ7bl2g7fce+dNtepfdBrt2L5EEvcP1
y9vt3dOFfo67gCDtf/GMe3+6zrNrv8cyPc12jsl7rFIuXW/L7bDjzt/jND3b5Ltmy3us07Ntu3kb
O9J4eY8lukZC0tsRO4rkce+pch5vbrc7YkdRA3uHizfJruBO6MztffHLgNCxCu52jIxo+u19/d+q
Se97cgh50Mk2DXbKVb/HUn34gjLdlHc7NzJR3HuHYUr/mgVbb0fEIRL3d7n+70RU3+NNHGWbotl1
WmnvsYbFqzhpguqv9fegyneN1XssZvEtp5t6u+v677GeuX69+WuyKb9vdsUM+nss64fvmMa7v+F9
FrZ4Cvwaxqfp+fOI1N/j+L3yNztzQv1dFjU1jJ2D/y6L+deuYXuvsyze7IoeRLt8/42CwCTZccDr
77J+600aVCgfVE93+mzOvMvSFWWWHeew/h7r9nrrb3YNjfBa3Hvcr4nxUX18utLPcTHeY7FeN+wE
O454Acfc/9Z/rUC573T/xA02u9aq8R5r9WsW79jnhT7l3uPyC8OqX4/JrrLs34Tst8XaJ6L1rl97
WYsW/+I23m7K//x/AAAA//8=</cx:binary>
              </cx:geoCache>
            </cx:geography>
          </cx:layoutPr>
          <cx:valueColors>
            <cx:minColor>
              <a:srgbClr val="D9E9F7"/>
            </cx:minColor>
            <cx:midColor>
              <a:srgbClr val="4787E5"/>
            </cx:midColor>
            <cx:maxColor>
              <a:schemeClr val="tx2">
                <a:lumMod val="75000"/>
                <a:lumOff val="25000"/>
              </a:schemeClr>
            </cx:maxColor>
          </cx:valueColors>
          <cx:valueColorPositions count="3"/>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data id="1">
      <cx:strDim type="cat">
        <cx:f>_xlchart.v5.5</cx:f>
        <cx:nf>_xlchart.v5.4</cx:nf>
      </cx:strDim>
      <cx:numDim type="colorVal">
        <cx:f>_xlchart.v5.9</cx:f>
        <cx:nf>_xlchart.v5.8</cx:nf>
      </cx:numDim>
    </cx:data>
  </cx:chartData>
  <cx:chart>
    <cx:plotArea>
      <cx:plotAreaRegion>
        <cx:series layoutId="regionMap" hidden="1" uniqueId="{9BDB11C1-0AB8-45EE-BFD3-BBCAC4912B24}" formatIdx="0">
          <cx:dataId val="0"/>
          <cx:layoutPr>
            <cx:geography cultureLanguage="en-US" cultureRegion="NG" attribution="Powered by Bing">
              <cx:geoCache provider="{E9337A44-BEBE-4D9F-B70C-5C5E7DAFC167}">
                <cx:binary>7H1pb9vIsvZfCfL5pad3kgdnDjBNarMl71kmXwjFccjm1ty3X39LtpMZ0fJcGojx4gpHGWCQSNUq
8enaq6v/fdf96y6+3xbvuiROy3/ddb+/D6oq+9dvv5V3wX2yLU8SdVfoUn+vTu508pv+/l3d3f/2
rdi2KvV/Iwiz3+6CbVHdd+//829Yzb/Xa323rZROr+r7or++L+u4Kv/hvYNvvdt+S1TqqrIq1F2F
f3/vbGP1XRep2r7ff488vLdt7ott+c7RdVr179/dp5Wq+ts+u//9/d5K5P2738Zf+Iy5dzHwX9Xf
gJhaJ9gWBBPTRA8vWCDWqf/0toEJOhEWsgll4sfXnm8ToASGpzP1wNL227fivizh5z38/9ASe78F
PvDHlIdxt3soOyR8AOX39x9SVd1/e3dTbav78v07VeqHp1b0jt794g83D4/ot30s//Pv0T/AQxv9
y9/gHj/h/+2tfUT/F7Rvtuk7eQ8/Qr8B3OLE4oRjQrn9+BrDjU8YIkjgMdyv4+ow3gfWmAD4Aaoj
RNxV9/5bAE5OTMxNbhNrhDQ2T7CgFrZ+bIV98d499ck8vQz3/hIT0d4nOjKwbwsFst3/etlm6MSk
xASwxaNomyPECTmxGeKYCryP9StYOoz0eIEJOI9Jjgzlnfic6m1eq/TXI03NExtgZoSRR6NNx0jj
E2ITxmybP3xghPcrmTuM+aFFJuB+iOzIsL+9D7bJ9tfDDgKOTSEQJ/gF401OwE8D0w1e2+41gn06
X4cRH9FPAHtEcWQ4b3T6FhbbOiGcm5awnkAeq3FsnxBiWbaJ7H01PpWfw+juUU/Adu/zR4bsjbov
ijeQYGqfcIGoRSz2IKDomeJGJ/AmAvAPK+7JfB3GePS7JqA8ojgynK8VhNWl+nb/65U1pSe2hTil
4hHpnTLeC6zB/6YQdBNsjsT4VUwdxvn5EhOgfk50ZGhDRiBVZbyt3yKPYp4IhkzKBX3E+1keBZ8g
RBilJgRij+mbxzzK67g6jPeBNSYAfoDq2BDfphWo8Xj7JsocBJgy06boyVKPI2yCTyzLwowzPoL8
dWy9gPmBRaaAfoDs2FDX8fbNPDPMLNN8kvGxSocAGzEbTPez5Nlkjl7Aep9+Csz7FEeG8Crt38Lz
huQoIpwgEwLnh9fYZO+S5bYQINX7Aj2Vn8Po7lFPwHbv80eG7A3EVG8RO0Odg1Fb2CZ5qnM887wf
EqWCMYvtYzudo8Pojugn4DuiODKEN/fpN32n3kRB2yd4J7qmiR+dsGcKmp6AdAtKbQiq/+6EvYqp
wzg/X2IC1M+JjgztVZLdF2obv0GABQILVQ3O6BPYY4nGHIJtzjnkzB52wygb9hrODiP+bIUJgD+j
OTK819voLYJpGxwriiHj9VJ0BaUNzLGwzFGVeio/hxHeo56A7t7njwzZZZ181fG36tdL8q5wZUHF
mREAby9HQhjUKDEEWOQpxNrX2q9h6TDAz1aYAPIzmiMDeg5NGm9inQXUJzFoZPxC+QIS26bF4Q8e
xcvTOTqM8oh+AsYjiiNDGFL31X1x/wY1aCpOhCl2AfJLbjY+EVwwQQUkyPY8sFfwdBjlZ79qAs7P
aI4M6TNoYnuLbKc4gU4DEyrML7QRgSgLeA9Ddnsf5skMHcZ4n3wCwPsER4burpYu74t0W3x7m3gK
zC+yKLQIPbldz1xsE/oMGLLHJYzXM3YY7hfWmYD7C5T/BzbAP7O499N3jYR//JCvA82gr+0FBTQ5
E8LG9uHweSfVGDIomD1Z8B/f/bMj9GcL66NqP8TTYaRfbH99/In//FD+z7V4rrdlef8GjUHgSTPM
mWU/9QUdqi8LeJtZYqSXp3N0GL8R/d42PdzHO6I4MoRv6gpcrF8fK0EHAaaEQMP2kwgeKDoJaPCF
3q9RJDydo8MIj+gnIDyiODKE3fv43bmGgwG/HmSGT6C7D/wr/BT2jluAIC4mkBAxBRl50a9i6jDO
z5eYAPVzoiND+8/669v0A4EthYgYmrkeXge6BjjktCwImPZt7VR+DmO8Rz0B3r3PHxuyOn6LWqIF
gTDUEaHfepzTAuE2mYkhsTWCdCIjL0D6d+opkP7980cG6RnERL9eK1MODVsUAGVPLV3j6hK4xwg0
NtjnkXM1lZ/DyO5RT0B27/NHhuxtDb08b2BxIW8FMe6ubfrl0IfYu24ePlLE0zk6jO6IfgK+I4oj
Q3gXuM+LbXqnyjv9Q0EeiCPBUr7uoKMJyWWETMDwcHMHNO/AcQrMLTrqx9zjaIpaOQz04WUm4H2Y
8Mhg32zhWNSUh/tq1G2TwVkZRB9RfxYukRMOCS5h2qOWnskMHUZ7n3wCyvsER4bujSoj1ev61wO8
C5UoCC0RTwCD8O6XEMmJgK5cjsYe9Gt4OozxsxUmwPyM5siQ3twXd3D42vnl59Sh2RYJW/w8FvNM
kCH1ZUEchc3HoxUj53o6X4exHtFPQHpEcWQ43wTbctda/atxhgwmNyHatehLETE5gUPLyAKJ/+Ed
PPXRT+boMMKjXzQB4RHFsSG8vStg0EP6JmMILEBZ2JTBZImH17MEF4whsHd/IN7avUbSfPMq3l7A
+/kaUzB/TnVkuC/i+/QtPDE4+kbg8Ln9vMmHQFe1heHszCiZOZmTwwDvk0/Adp/gyGDdaOi6fQN9
vRNUZEOp/2nowLMWLlDoDMqKkBbZ19eTGTqM7j75BHT3CY4M3Y+gp+s3OeQElQY4j0oRNQ8HUJD0
Ija04Ao0CqBewdJhhMcLTMB4THJkKP8Rg0H+9gZeFwyUsBCDLssfUdQzewyTBaDdBwpO+0L8Co4O
gzxeYALIY5IjA/kyrmEs2a/X1FA5tqkwOaFPleNnGCMYD2OBKqej9svpHB3GeEQ/AeIRxZEhPIvf
ubrYfnubspNJbAEgP2pr+1k6BHqtbRsOMcIcggOO9atYO4z28yUmAP6c6MgwX+vy3R+pfx/fv4Vo
sxMYCkOo9aMdc5wcwTBTBI6eQ9XxMaoehVOvZO4w7ocWmYD8IbIjw36XwF/Xqnx38VWV2VtIPQcn
jQgM6vtBqJ/NmtgNcQR5x5gcqG28krXD6L/0GyfsgJdIj2wXnG+zt/DcQLLhUCuDfrBH6MctulDW
gsMzULW2Rq7bVH4O471HPQHkvc8fGbJy1+v3Jg7bblDnruHgcOgF8yU4NCOAVI/0+WSGDmO7Tz4B
3H2CI0P3Mt7evUknp3UCM7x2rthTy8EzyYWJMebudCt58uX2Q6/pfB1GeUQ/AeYRxZHh7Oi4Lt9C
Q0OCZDc/WeDHkV4I9PC4QokgwyLs8ZiY6RwdRnhEPwHhEcWRIQyOBpSs5Lb4+jbzgNiugWTXSvDy
+UZhWzCgEbB+eO0L9KvZO4z64WUmgH+Y8Pj2wLsNDAZ/Cy/chAo0dG1D/uQR3mcJFnDFCMyDstnI
XsOTn87Ui6iPlpiG+IjoyNDebL/B2Pw3cM3ECQzNh4IVNBY9vADQfZ2OTqDhBLYDHgVc0zk6jPOI
fgLII4ojQ/j8vtm+SUYcrLYgJhQ+nhA+5J1BwA2++agPYTpHhxEe0U9AeERxZAj/kUCm9C1OUlkn
kBATCGaxPhdeOHsDVa2nZuCRtp7O0GGAR/QTAB5RHBnADpz8f1DSb9JQBIO/dk35NgzefLTK49wo
JEgwaGpu4lEB87V8HUb74CoTMD9Id2TIP3qcTlEPb2OiTZiFjn40JhzAHWQfEqZjBf46rg6jfmCN
CZgfoDoyxHddzpl+kzD7wfsGh8x6Ovs8dsmgUcEWzLRgAOCh6Os1nB3G/NkKExB/RnNkeF/ASQ7/
LXKjFMqYkDqzxAu5UZiubXEw4GLcOjido8Moj+gnYDyiODKE/4gzlb4FwnCAEiJpyJq9hDBMi4IX
XJUwGtg5naPDCI/oJyA8ojgyhG9ryIwmb4Ix3GNjwQAZGFbwYhgNlyVgbJFR8+BreDqM8rMVJuD8
jOb/B9Iv30r3854/d1ttZw83BP7tYrp/fvfhIcHdhiPSpxFdh8/fPc54WX37/T3UHikcsQKT+/NM
3m6hvQFfP68X+JH13Ce8h/MEv783MIYsKt1dbQQNaTDOEVqR2vund2DEPjSgQYoNdgu1EcTdKcxf
COASQ+h/MG2TwhBByKJTyL+9f1fq+uEtCklZDof+4Eo76Iph1Pp5jeOljntfpz+fy9Pf36V1cqlV
WpW/v7fh67PHj+245TDgnwkC8585TIEmcLcDbMvsbnu9m7IFT+H/BSRteFNTsil0nmfm2oiNPogl
1F/LBLk2C6MLuyY0cgPh4Vqqth7muO+xKftK8QsrRvFFrXNDtklnrDhP6aaOjN5tSZmeJZ6d3PQ0
bS/qjmXr3Q2Bd5VftackaaMbhtvijOnQTp2qM+89othSM8ub47DggTTzSn8JQMxsaTR25BZtJpkd
LyKCW3eIU/61aQT+blA1XJNSqNqxg1TLtMexhAH3cshE7nYkJJKjMHFUYEaXSVJ7tyS0g+s6M+Lg
BoU88stFbOJ8WA1Z4OWyoJZFOxebqU/gC2vU1EQ2MPSgCNy+tXS/5SZqrooCWy2SuiDM9QbRoHMh
snCWcJWHH4xw4InMm8g0nY6IvJBtQftE8qbPv0R1TVesSarZAGNRXHOoZJH1p1aV5S5OeeCiprD5
WZPRYuuFShCZBH0mIbQvfWnkjeidXqWULnpchqs+gPS9qwd2PeCyMZek4djVZnhXhXFwmgmPDhse
5tXKyi3VXA+hhed9wdOBOgFszHaT2HGfGou/XzG5t8/udNYXyg+ebgz9+df/3OoE/nu4c/Kvf9xd
OPrX3xb3enfUpRx/aKcRfn7qr3srdxL48xLLkVw/3lr6gtD/45uv0ggYal0va4TdHPPnymBH81MZ
cBgjBwdFTBjLDTMFGWTUf2oDCzxAuFGDWtCajJENTsAPbQCRALiFBOYQUpj0bDF464c24LtJoxAj
MEjEc8yhnfXHM9hDCRThAW2ABRqpAwGhBN3xAD3SoHYo8Pd3dUCDOMN+Y1bnSSSCudaxcjudMGu4
6kkzNJlUdgDbfcaCBgXpLGqidsZxRfBMU9KnrcN6ReMz2Gt5fxG2kKTg0qpbXnCJO5HXMuFxQBcg
XUmMJWOxKq8Cwwsb4hqerdMvQyFqdmnWtV2kromyhp11nLdl52AjD8stiEsxDLISnlkip+uKxi4l
boJiEZaZvQlyFKz8rhAyb1v2IdeZE1kqlnmtIy5ZFCYuztvmDM529nNiqfTcjKP6Gouo/YpSzrNV
Ewb+14YV3TwuUbJWItKzmGnvPDQ4mzdGGCwFw0kkrZb2VzBczFuVtW43UWq25zhsKrfwsu+6tcpA
doQUW0up0okrRmon8DhZBTysbkmbJw48QX5nDbG9aIK4XfuVLz09qEVsMHptDSieddTPZVyjjrkW
LjvJq8pYwQU9/XmBinAe1WE5ZxnOMlmWCW4lxfQrwFQtcw8NocSZjV3bDsgXOmTDZTAMYSojUpOv
ESv5WZ2X/qqPwvIz5SV1MaijyzSzfXewkvqirqM7eKTpKrcFvsGlQrETQt13w1plS27q4LxPIt/1
e67OuSrLhW3HxSwcbOt8yBVfJnkaOnafFE5A/f6OiS5e89YrP9aJruelHaZOaSiyoRTHgxRBGc17
28tgo+TiCkfamKucl5dU0cytaqTP4JbX5qwso1OvT4ZZbxnWPOd9971lQby0ssQ/7bRiwFtoGhvl
CXSawO05cJluH8eyqmqxznsrXWR+jReshV3U8aLq5EBs7zQuDPGxto1PGgVkTQwruwD2vbkRJWxT
asLmVVGgi34IutPYasOVr9Jmpo0q3LAy66+DwmrdpmzzWa/qbuY3gzcv87L03f9q1gdfazf46WXN
+nj29LlufRgX9eRoQU8gNI0izunOPRImLPhDt0JjEfhfoEM5nKcFgwhq7S/dKihcFg0J1V1eDYaQ
/aVbYbwv2x0TAaULRZGdRn6FbiW7Y2F7rhYoafD2GLbgaD6BYaI73fs3V4sapMVVHkUXGLGqOLUr
lSFHNQkzPlk6MttZIoqkd+o8zEGvRG5NktVQJMtutUJeuEjBuQlaIsPK+hj0XSYz1dxCIrg4Q12s
g8+eH3ZSVGkke/BGnaT0LvooCl0eJtUyIzx2VJtc66i/6Iy4kdCDt/VMwh1eRGcZGi5T0YHT5RUf
OwNkhOthXlvdxwG130RmXmdUwwKgRpZ+x+dNbeklK+2ryg+/N+AEzZIwEbKCUzWzrK2iD56fXIIW
G5wK9ZUTdfjC0t5Vm4D+EX2Olr4YPNkV1rIRGTg4Ubv0BPmTZV0nW93XsyYcYkfrvJnZnIXLjCbx
zC5My+HaE7MkDz7XUV65Kc+ihR95EXh7CM9pkMayNqgRylZUwTIoPR/JPIOjepKYRi+72IiXQYCy
WcRCvigxjs9QnvrXZmV2n0RT+FKbySDLDnxbZRHi+Fjh875np3nHyCU4mNpNyz6XIjerRaFA/wY6
wYFsEvhqElqfPDuvlimhg9sHRSP7Bney6iKvPA1xkV55dUXPrKxgg0zsvvSBhzRXp8w0BF7ZUWlE
c9JGsunNCH/FOWVuXRvgC4fhJmhqWXtW6FZRIoMUh5L5wxzx5IqFdtE6Xa87SYvoPtb1p7yM1hoh
303MdhFXUeRA4mFT2MamNAhspES5PIuvuyA9zUjxJzGiddgqLXOS3FI/aGdVYN2xLL8kvnmeJl1d
OUEFHjQPe0VmlDY0PE94EA4b6BJKJQI/IMpC4VDWeKuoD1Z14oWy83QqOwiBZsng3w1dq6SHtJaZ
7SVznRSZ5HYaOKzgdxypQnKGIvCYq9KlQTerceWaSf/B76rO7auUu6ppQqfvMyo9j51Xok1cuLJO
Lw0/UeD0+7NOwSdDWDfA9szss8CJEE9lzO3IsQbWLPpANS7q0LnJWzSLCq5kn0XlKULVmVBd41Q8
JjMVl4ZECfkiOhxJr9c3rdkpafet7Xhpaco8CqStLC5tuD9JlqZ5n3j+t1hbsQPS5VRhX8nQCC9r
nrawB8gMo9p06rJPZhoXoUx1a88t2PoIM99NUVH5rscrX0nD10MrVWjq6DQtK337X/vxYD92k0Ff
th8wjXULNyNuy+cmZEf4wz3fmZBdr5MQDIYzgB/3NxMCh4lsGGxHwU7AUJ3dubEfJgTOfu8y8DDN
gWAI2XeG54d7DklbGJ4F9+jt2uGgdiNeY0IoxPZjEwJpAjBFArYVNFGawN/fTUjqW00TN5a+QCj2
l5nvLQLfsCBmbc9qs+mdtibluquJXlA00IXd1ZdpyAaHpsnXghHtlka5jPuAz2xa9I7fCipDFuRO
HYBCCo2WuEFl7fSNGFyj7ZLL3Lc/BXwonKag1OnQcGZ5dF1wtrS0zV1uBIu8zz55lq+dIbc2Q9FX
M9i7zbKOq1M/CXMZMX46WCqRPjM3YCA/+DyrZaWsK7sFM5cW6qpCxZZwljoW9z82Cc9kqwLfSTuz
caJm2IjU/NR5UelgSj/bsf4kuubMjvC6NeNbgyebymozp2iDD2nhIWngZJl67ZkJYXGahnPsG38S
1Tl+7s8rlJtOWWTrzNSf4fzgOQ2SUAa8WzQdaArYFNsqtkqZdnEgDbOaKTEE4JPGsUuLTsjey/uZ
ZaVgo5qml16YXBRtR2Tq06UOiJJdW5+3Mehqf2jxgkfVPBT5dReB5uIRTh2DDJfUE3ekym6jup+3
Fk4k9dPLjol5HyQrRZJKQnhzKWrzQ5B7/ixj/WehSgXpF565MM04cuJU6TlVfemmxFxATHRVdKk5
x0F82uH4PhiSXFoV+SCCAjtFTDxHaPsibExyHnvmsrP8m/ycBStRhxK11pnow9CBoHCuzEZLlquZ
qoZwVtGqWRS19TkQwpd1nhIZa7XASQqBRKLvIlNoN6z6UJIcz2PLdHvkz/qqX6q+CWWShF+Lgt7D
Ib77ViN/6efs3Bf+qmtyX/aoSWZhH7OPlEfIRb1FwAFRUEjOTxMuVjHHG14H88LyozmOVTHru444
xBf9wqozbcqU19WsbYwrlbXf7CFqCwfsSOigIl8MOSulWeWnzMiJk7NsaQsdSE3ALqWWabkQoi+J
4acLXXTbyGa3Cmlw4ZMZqpDjw9aFfWR/0mDqnCCvmpuc4XymbL+bRWbdw0YITAcPNZ5VcRZKyuNr
u/FdQTwqqQpWqS3WXlNi8G6K0I39EOTCjOuZFWbgqeSaSJgOg+ZGTGMHqaE+6wm4B0ZwR/2WXVVe
cm0VDIH1pMUqK+G3BFXbOsZQz0qmY+mj4UJrkJQwAaeJBtmlZ/J1kCDkZihkUoTwAFPxparwaamv
FGOZLArr0rISb9UJfd55cSsbSMbZRH9jZZzJvA+3CUuymRmVkWt0RuRmA+yPlucEtgT33WAwFrR3
wuEL8em3pliH4arU7UzpvHdyD7ZBk3jbfhgaSfp84w0Rlik1brqMLVMcGLLPg4+GH91HNYgMSTXs
7YxDLJivEiPJpE0JdZs4vs1T77vd6NbxO9h3NDYXTKf+jHVDLo0MUmaNn6drg3R8g9Pk1lBJft41
vQF73gxnpj14bjc0hlN7nnb8Au1c52bTFJEFxjoNZWyrm6CA3cyZj1dFHAYz5gHinZcQGfXDlfYy
IfFAsSyTZnCy3rimeVG7CL5JBkPuQVJStE4aRd686avQ1XnFlgHg1bDgNOphrZrmVwmjZ7Eub5CH
bj2uNATZzalncXChhgE8ilIXRXiRdbj4HNm8bGeiTEXolHV4VtfgBDtVQxMyV62Xunmoyj8t2w/Y
+r8+wWNMCdnul32CH1dlPHcJyO688F9RJVh1yMXvLDzk2yH39reo0gbDboKnAOO4wDH4yyWAdkps
w7xUSK/TXcr/hz+wS9c9XHTOTALXhsAXvSKkNHejGvdDShhUsHMs4D4D6AuB7q99fyDJIDPVwzC4
84QOzTxDHnM1Mv80wRPWZv2JVOJDNFx5fbMA9TwjuXVVV/4HLx4ip4fRoE7GIjdP+41Yh75xR9vo
Q2J4kAmiRbjoi/SrqKpK9q2/ypJwiXzI72W1nnNceE7QgLcP4we/GGmTfcVVqiQFjTILmfLmQxAu
W1WIpecXp2kbKBnS4FPC9Trt7T8Ho5JxZhVOq/JtH0ZXdkC3hcCfQYKJI6puUzWhdvog0m6W7ySh
9yVPdPOpR9YXVWXqLM2wN8MtFy7Kwg9RHX9BvTmsWOKvvNLQc2ENyyEnX0Cdn9tp4fTCvLGLRTSg
WW5rCDTC9kMdqD8tZSxbpD+VheGfmiRz7ZI5SdpAJg/NoY5y3vXqnNWDk/cFBAIq+Kaz6sKv0lzm
oj23VUulVmTF9ByS7DLotUPIjZ9vCnOeVdGfOQlyCSwuynLYxceNG7O4lBUvIDIJifXBY57UvCwh
EIY6iNfSRegZa5Hodqkr8H48Vc9aHV5npVgLBEE5E4HhgIpc5nC3VWEErVuREuKdAi0K8FQcqOZc
9pa9RCESEnlNughSel8pxU7jFL4vjp2S+wPE/8VXNPTKLZFYB9bg6jLcdsKzIV9rrttKXcSZfZ5k
zBUhZ1L34br1g0Ey0zX5kMiKdcKNEW9kGkA87A+6c0TbYBlHDHKWZlk6SlVQdzEz2GzK5rJKhku7
Mrc8M1a+oap5XRLHQxCWE9JftaYoHRMrR+T0ridh7rA8vE5xEroBIGdk9APXrcwTyDHCjYjWOjfw
Krb0Jgu7L03SfQzK8muWQxYOt73nDkJoqcMawsUCJ24UVitQ02Df8+hTrSBAHCBNA0Wh5MorGQUn
s1smuNLzwqepHHrRykivKAFfIjSt74DHmc6yC1YE80igBccxcpIgkVkDPksf05twSL/EWJ1VuN3o
gTRyqNJTr6zWKNErktSDjFG2shrrawhJVzvwF4KRWAqrvG1LdZPVxgelxQql+rQu2L0WYhUh/8JA
6Ze0jD+IKIeHOrRrRoszWutN3USVzKLuKk6aReepNauFmw7tMrP1Chdsznu2zP3g1GcIDH9Pz7K4
PWtLdIkCFs/roXA9v/rcmkEjSzbMVVFdZHWcyH4wTwubXHOVnUWqWbKor+EXJvUKkvQXDBUbPzMv
0qy5K1VvSssnN6UuP/lpfuZ14QYCCTfw++sUxUhGIPRRHMxFqz75kbngvl4mQlmrnqcL0bQB7I5q
Q1NbOVAtgTSGv4Jq5VViNB74N7kT1MWqsdFn1LWxYyFwwW1SX7cBX9dF48vBNAOZDslnyKkszboB
K125pBvA7Fvphsbiy2DZi9aAZIbdzmPV/JkW9bLk6PtQ+lDLhETGUHqfFYR74HgORppcE1X1DuR3
YzK3NAfd11F6ajBINxciPrP9es3saNVVdbVzDs+CILhgTXzm+X0rQ+1vWo8l4COmXxtVWdIo4nMD
2Ytc2+dFGoWO1XbzJEd4pjj+qHC97jD7RCPjHHvhzbCDkFr8a4Y7kEZ/Rkl7BqHLpw41FxTjcxR1
UIY19azo2y0xxOCozFcgJ5mbV4BFgfk8rX21yK3kS0bpprchkqhUsYx0uIjSrHVLgT9CC/FpXjYy
CCA5WBpXjRLYIezW9OuZUsPXMDZvBshFrFOeZyvke9dZkm6MFHnSy+MZG/gXnIkFVD4koy1fhpVg
s7boyDLqGMiyfx+BQyTNVKOz3uzXGIokc4zBz0OKLsycFxI2ReaQziqk8NGyTOrPZatu8nRY97V/
6xXlMjUGH0Ip62PaqgX85lu/jz9VedCsOnYZRZEbosYhoehBrXQLzvRFW/ngwQ+la4lmacTDohqs
VVGKqyHGy8K34dHgCyMvUhk0/RVUdW8iyNfMEOTfXKvY5dxwe5VRsSljsPczyACReFa3ufrIE1WB
8hfmGUk9JRMrbuZBLmSSD6ZUVgPSOaxzZfZSFPCTID+1LLp+YfqpfWkl3JJJ1aSzwVC5JE2upN80
nWzgdsLGh8cpIEAFC8NlABcXuRnZZZB8yHNWSy8woPwWV2BiGrs5DeMOispG/z0tyhUHKQZHNY0c
GhZYQurKmvE4/tRon0AkJQrXDKwU4sHSNGQSisQpEn8NCejsIs1x9TnEZhVICOwNSPO2/Kps0wEK
GwOk1tqYWQoceYYhlzvE7oCNdUuL0yZTl8SK5qwDD5sMH5Pcu/bzAspIxJcmTR0SW/Usxflnr+Wh
Y/rtrMBlKZuoW9TMi2a0qr42Ye3gyPqTeXTTtD0YGeUmdTOvPC4VLW8zhHrXMoMtaNaPiBZLrw0u
EO/uvZCeJQM8JjtQM9hIGopH9HM28DNTJRtPxdQRZuKGcTQ3suS0qcFEF31tuaLwLkLE3TjS1xVM
dZWQ4F1lvljzTi1xMUg/ylaJ3UquUeQqM/IdEVLITSQ3VQcGQ/e9C+HubRq3qZMY0RlS7QohYwOn
ohxwhRaky1eVZy+MCEqPZn7mZ9UnyC+dxSk+LShYWmrNIyu788JhFkb+VeeBp9DzbDZ4wawolcPz
6j4J7LWRQkUMNl3X1We1Hd8JinxZQgVOI3VdkHAmiHKgJaOXNBHLoEM3ZWT8D3vntiQnrnXrV9kv
oD84g26BPFZVZp0PviFc5TIgQEgIIcTT74Hd3avsdndH//tux7rscFeSHFKac4xvTGQ6ckIyO7up
jcvNMphtgTaUFsxJNVXbkbn7TnvPUxJkLXPnbUj6zIcYjtJCpjVvJVb35rn1NbTusASp4G0o2rNU
l+2BCPZIabHzk+XambwqbUb33hr0r0w89RDKcnQn0Cyn+ksx9FM2M6OhHPsnEzqnovQ/zc4YbWom
0F3FO0brA60dui3L4mJqlndhw9MoXJyxacfLyMPDUvYmzEwSG9RSwt0UNkrOvdsfeaA3fZtE0Kec
mzYgl+04Lxkp/a1SZEiLsHLTAYbtvrLRS2iYvaNYafKmnS/nOdEQs/qnOVxuBIlePA/GnqjlswP2
JXUivW3U1GZc4ayTwt3TdemRSZlOPa32JbrDDD7DlYBm3ZRkORNvuIBNLnMvUnMuh+4rRH6FElHy
PMB/2cbm7iTvynoWu3bpDib2GHgZfbkM664dBs+zix8ag2KdDzOFPW2Dk9vUp8Y0WQBB7hBXi7oU
BXzsevafvLItj2YobqhqX5wazfT6c4/8CSI0x27eDJP/klTjHRfBjWvm+pL6HI6xOJTCufdKVDR9
6Kzwzq6ExuF0zaUsnZ2OgyEtw+4r3JwWa7m3Kf3kvhn7Yz2yi2aKUGeaeaO88dm68pbOkqdcxCfm
lqcuZts2DuwFn9mjbOlLMMOzxjp8EfqMb3QZ9VtvDF6Wjh6ocgms45rv+IQPJlCKercec8GDac/a
1ksVF9gdy6Bz/LvZZR7aiGEgwSZpbeCxrPEjsvHculhY9qHj+wXx8CP+lKwkJlQWvAAMezyGSTk/
NVBe7Tgw6Xl9ZvDQOb9Sywz26e7vD/Kj8ff7QfA+WLz5FbOq4rWL+2D8NcU8+ESp+uzYA+FXDoGw
GNyP5ru0Dxbm1/QGOtEPzeBvh4lhLK4DFmLkdn88TAFSCl2Ag8Ld+2r6B+If//40fvH561wOxwsc
NJtAx378fEVt1PdR1565wYO2T4rP//7zwbHgCuFCYWr9T/5oGfNi8UPZnRP0HeF1SL/LHH95fX4U
z/98fX76/kHUQIHCUnoOuh3pssbdDnEeQLB9b1n+96fyi0MhfRNhAl2At92ArfvxUrUJ1Dmz9M3Z
YXs9wARNxSp/Z9iGiUj//ljr1/4PwffttH64Lesj/uHpcty6m+Kobc/Cz6hCRZfhp4U11U7bvz/Q
r07q4/3/6aR4zGivk+8H8uucg2+ptthH1q1Y/MOz9ovfJXB41/ET7I54PRhc+Y8n5Yfc67Hx8rPy
twWsnXkTFm9/fzq/epw/HOLnx21RIWoleJdnnnxmxUtA/hePMyyfAO/MwTwTUAk/ngKTbTgGxONn
hhXQj9PW/i8WrwRv+IhWPgHjGFYW4uNF4oSjvo/c/rzEn0180hyU4PgPa9evbjoeYpjDK8TqrhrX
x2PQqhPcJgtMDhR+Nktk6oY305D2Il/8f3iSf3EsUK2gjNw4iV3oTz8eqyrApFEW8nO19tQQlbPK
bmIJyHLn3X67+b+hxL8t/N9B2I8g4Ueu8P9PQDHAQ/DXkud/8lh/Fj3Xv/xD9MQgnsTFq2GSdXfE
G4A+iJ4YV+5CXwEf/Ttl87sPirdtYpo99lQ8LQCKV/fyd90zQngFcA5ua+xgC3H/lQ/qhT8uD/gk
PCfohCO8CAEBKHyVH58UWpA+KhMwWnyGDeau7c7gtV7ezvypHvxk461NkfIGGGVN3KZoZw8ydIGq
OF3ad505ouD0AdaCjxkdvS9hROAt3yEsvh7dFtdsi/J3w2L2aophBmCItm3ikP7btZWL16aOCEuv
K9k9hGvTJ0EDpiH6QBR/D2U59vB0ntCz3Hddzc+xW5Csn0Ho6RpFujO79bFrq6ciKJtNQ+lN0gBE
g3H77pJBb0uPmHsu6T5Cz8nEbLfOzDdEzbfSNee5F+2hJfI0cZRvgdyFjmLZFM6XXTzcVQr99WD7
KxXG6G1Gf9egLsiKUr3Z2l3SviynTbzYIfPrYlfW8i6gdlvNATorlINqGOrD1MafXBf2lpnNCU5L
7iULhFXUxJmeUWL3tZvPja7ydmhyGi63RenafUhcXBpdTxdtvTQgPcsTFfWRJo1EW9ZulpF8Yayl
aS1ljEK/3pnF1LCN4gEdRBOk2J7rVC/+VrfJNRzRNvVHN2tjJkDv+bcMGFKvvnhJ/zXGx2mLS1ZL
qIuVqz5XmgeZKuIaAuWYM9CoqS+Ym2LZTPt2gq7VBtAWrVp961t4k/217NwrObN540hXQJHpVQ66
zNsBy74Plm/OM80TEj5gBaRHObF9E491Hsni5CgxZUnRbNF3Xqh+vDZFn4+ts0OPuO1nqnM3rJ9o
oIIdnz0wI6qrctrK7VLHV1baZ6/vtgGfPgXGovn0p9tJkQV+k3nHkWdwn+37FEv3zPvOT6Vrr9mc
AHppqiuqSXE5+cMrRPg4HQfXO9QlfL6KdPFGxpqGG8uV3DjLNmzCIh3YJE7lROKjKHt1M4Nl7NLY
liPFBQK3H0bJl0Qk5jiFPrqfeDuIeT/6xdaGvsn9YnihAYS6wHJIgQKHANcqdLMfjFWZDnGJE2AI
pKuWB1/0YHo9azJfxHeJjKCG2ve2kk3uNuFtW1TlRbRMm6WbTh6EaxcI6KaJQB5wVX1hi6CHsY+/
zHEMyy+BkhMC7s17V92MssclHq6KxknyGEmAYx8PWVdD25BNsAEyE+AJTzR8ejji/QwLm5vSbplb
fG1Fcd1CCciDbnTOU6X7DIixB2ofnLLHnc3iRHJfagAPkOfjgh8N81ReF94Lg/0JImAcL6uAOFe+
GcJ3xyma+96BnQwQA4aj21am/74R/nd38lGE/e3u9OHt33/eoda//n2HQqrG9ZGXDChSkSv4/p8d
ak1KOtiJQN2gDYpXvuf3HSrEv6DWomEcRxgd/BH29P8nQc+UIH+HMScxvLl/48x9G1j3oSrHy3lc
TBgPQea7XgjbcA1t/lA3zSEBfO1XJ9IkHh5kxD2SxfqHaI2AgKVBGmSUQIqBQxKkRMpmTYwURir2
AEeMbei3TAlf4yVcinJ20miNnUARRQJFf4+jlLNcEE6Z24l5cO+/B1d8kJVgbr4lWtARDoi3jN+y
Lsk4mnQIxxV/IPA006Vc2H2HxfEhAMbpYad07F3lJkDpPMaqrRBYs/uxVXtAcwIMnY4fuTsR2AFs
nB5FRxOAB6FYbBbwxW0zoiRHry6weDeTePE7yV5IKMI9KmSw7e7UFufYccskbRNWXy1KJjrriqUr
s6SOioz23oGXTpd1PtNok+PuFEd8uu28CEKZbrwAfgEHWUSKMNOtTD55IBOXjI60X9Jp0NGcxkkd
xhlz2/iWuEm/ZMvY1ft2iJe3ziM+vInAKp5ZBzK0t8VqycQqY2u4Pcnkj7twwA3Br38m0wuUc9dF
xqGYNgFzNfIOSA6t6Qf4O2sWwhqY+HRPS5RSGyuGchc743Kjhol98ilXNzRW8Za1mHOatiqo7jsj
TtRXwlz3BFfzmpNycjalcvouK4tey0Plubo4J7XHXppWeffYSlpdppFugGFwp273js/HOAWfXrCD
BEo4H7u4Dsx7ZJLyncLI3sENKeB2VD3kPQrNDsyXTTuCZhdRCPVc+a4YzpIQmkUAKf5bV39DCVyo
EX+9cu0h1sNuHf+8Zq1/9/ua5SG6h9cKIGSHBBBe0oaC+w+UACFBF8vYGjoM3I+AOt4HFkQop9dX
FgAjxHLyR1WNVwthBC6G2K+fipoYKcF/QRP8XFNjWj66bby3BAX8OtXrp5Z71NbIuA/NtXaOJWxP
i2Jr9+Gi/NZ0fUwbQibCsvdBrMBS6CAeB5oexFf0/d2TH5dFVLc+Y40S176hzFFpEKqmSSvf4/51
BWprymUfzc3N0tdRcoK9Fj8PZew1N8B8bVY53ewdvUhkau4Pspov66KFDlpvltq1a+kIOLi9LkKS
tz05WEX3RPZ3oyMAm1XuZpHx7VyrfWElCOpu3iKR6OZhII9EmDNJmtfWNp9JUeRaiANr2TMKRTdb
6gqWv9okXgthVqEFnoevg453oq1N3sog3tUy0BnpED0cQ7OXE6pSHbOHONlLX2U4vecycg4OBXqE
nx9gcv7eKlqlBRwzYbv3QgBRSjoxpr0zJ6lUw1a0+rIYY5MnfPDTwXhNKmLndVb86AcEOaaA309u
eSw872GYkdmEd/nUdKjKKmveVBQcbTDwrWTiilezyamM/TyssXQW/XCHlxcOaRz046a0/lVXgpEY
lX/TGlpmy6SfCfO3C6DnDUaGdWnijV9ZLGHC1oDHY1RjvA8uYjMEYBPRGrWNZPvImctUjH4JG0Dz
TS2wKblT0qSBWJ5c2OA+bmfaa3IbGsLTzmvvTUcBfSXNC3w5WIdGHLBTsFM7GjerSHNEPgiahivR
GyQlAlJvPuu3VEdZ3RkvC2apMtryp2KZUP/JhOd9Cc8l0UM+TvFuicM3Uc8mNRYuVRy8JWsZjq3n
a9KhvC8Ra4NxSu9LGX0NapM5sn5H5MhkCFbuKw+BT3dOsh5RhslTry5jTjYEI0n9hh/auunyYBq3
dRJVmfbZlAVqNBvUiTQLub5GluhhKrXKSDseKr8aNm5Q3QFll4hnljrjhY9c2TBspjLGNrtmbhN2
5/kr8ApPfqbTU+OAGalt9JUx+ilEImrNf/hbH2mClBRVc4UQ3ZCVrBYZ1pWH0so7HoTiWDX+uWzj
OK/6yuBhBR8BWywVRoI+REuXxvHy0kTFPWKrIPYYf0cUN9pOg/PQlO2DqsHFzSSp86kcr7qYfB1J
8kISC6iwqTK8vVAhWFv0dEEfGfUeIFHbHISHp39jgkEWe4GrQRfqyvuwNAucUzR3grbNQwOB5xAu
M7uOfHMvpbcni3jvFD/UjWiBloov7ihhj8V1udFjUm8bM15o5CyegmDM26gAvRI9crqZQfIDSel6
RBIJuR00o11qWCvrvOgG2HZgWkkM/26gAvpkG4bpgue39MVu7n1ktsIuiweyI7HKYAY6K0F5Un38
XCXhe+3MEl0jsJZgcbddK7KpsheYVv+ZwJoDGwM8Vb+UOgDkt/i3A3c3gDpve9c/GJfcWhvnESkf
vSZ6UUmIDsa5oKa8hpRxbbsKhc+4XXSTFdR+0RNp0ypmeaPGZtNBJmgAW8ZqQH4gCdGMTad4dfxl
g254WfKqDk3aU8R/GDjtgpCzHYfHrqbNpvAUgufV1pPzE1HvocaTOEXx1g9Y3CG2YEB30MLUPGPa
ErJxEDJ5jMtp3kk5eBkrwdaGiRjFqQFl3fUBuM1FbuIJNRmsQ6xbYGICgVoiBFs+2n7IkhYNd+J3
j41U22E0z8a0j0qSF6cb/BtHh8s1Njy5HVr5WXruoRr8L3ORnOViT7RF0pB3sJohm7h5LackI6yt
tx08o/ugS+xV2VV3dVm+Mm8gmQHldTEsNt6IbvRxPg7qzrF64R7uoqnu67pnOfXJUU/qWbv9cpcQ
v9sWcF4Aykj40DX2now2WAM0aaNcaQEvD7j7Pfxem1tLzaYc+pDjV66Q41FoGce42+PXnOSyHfMg
mqb95I5mV3gDTNSutzsUZRVsMkEhtTQ1fuwIPpqWunvVTNeAv29R92UycndsCqa0J8Vb3fssXSL3
Hhmr58Gd70rUnAca6OeeopNEpqc4/f22+5NDsG66GJgOqDRKoMAhq/BjLxK1WmDavtTXfQLA1D2z
5D7Ctw4dDfj/6e+P9WMVgTLFc5G9Q2u20ogU76788VhK9fPoGWWuk2JTNI8S0hJ5/H87xE/in2ll
2xrdmmuBHya6J/AcnwLxD7r3L88DmUD0j4h7eGvV9bFQUVXTzIwbc+0P97K/nMmJTIe/P48/3xZc
qg+H+MlPGXWflG4wm+sguesgDaFFRBXC48/M/sORfhLWv9+UD0dav8kHi6itprCLQI9fSwuRiUdZ
5R11d2WmzdQdF+Td/v7E1i/+Y5GH+XQO8hpogX0KmfjHw6GZnJcBINx1K59diHRxdF9WF7Z7/naY
/6okq5jx173Gi379/Oc+Y/2bP/oMzFlHWhUaPWYDuL6H6/9Hn+Hi5cFoQWBCQw74FlX6XRuh+BeM
/4xjB68e/lEbSUAzAz6i+KdVcvl3I0fQtvzwfEC9BxaNGC6sMSgxmPb/04PfjsPozP3snEfWPxeU
h7uo8cmFR/RaDLriBqBnv4egS09rcBJjCGoX1WlwXBdntMHYnBHzDi+HAfJckDQgGE20m4y+a5NZ
XA0AAMXkBOmYvLkTgiWYNrL3I71CoeZAiwQZF4GURF3utCralCOjnsWYFmD4sA/qit/LEgVaKcQb
muqLXouHwQ1EFnR+DV5NvrUW40h6FXCo/mY/I7SaAX+t+A3szJ3LguCa+NFFERm6GY1TZJ0hBcTF
QWdtK69tMX6OdflWdInZYmYCBAAr5CGBmZfKntwifdSCk4V/0UUVhAMfsxMKi2quqKMgA3/SpLyw
11Dsh81A/S+qjm6qUJ6SsYYyWzXPteffjz0VOWHeu2jCeVMs5cMA36KW6qAj4Afd4u4LSb84TsNT
VlX7hs433GFXCincjpcXSPHfuxDcQYiNfTp4zr2IMUllwU0YKzFmbVGA9xrDz1ZjNIOK1XNidJMq
UbupBJVtAuc6aQM3r4r6pqbAgklnIDJb6wDG5uKrM4ijE/FTstQXk+3Lg8/UrY7ogFC+A3p26EAD
R23KohZxNNFiTkozg34jWuKGebAMKJSpBmr+AOCSq+RMPWF3QJwxrSViB1B99KpUw7snJyelS1ze
EN046VKHb9SbmpO03te2D22UDlHv5BXz6KmtBoTO+Ep6N0i7jGHXbHnLxbFs+nOFuGrmtMnZkH7M
IkT00tL2X7sm8FMFQkkP3kn0gqMZWAZQlzBTXI34qxuSHUMqJJtc/SkS1SPoRY0RkjQDHM7zxatw
3aC/pS1n6AHV8hjXNnWL/rWDsK6xzx4DTm7cRHwN4IfqCjSdRF/Cm2jInHGAptjKg4i64zyGm6D0
z9ZtzpC0ZvRGFAx4z54cUzyEHbJ/Y0PhqpL4AYHTEF/buyyEpyAnaZ1KuYZWHOe2s+PRAXYpG3Zb
oxCPdPtinOE1pKh63MZVuVXTKRkanQ+RgRfs8KswwcUNA3KcWj/YRQ5YKU0t0n1lfAl/5S3xFj9X
o30SvqeBWoqtUDCQ+3GRuZ2nQ1MsTjZxB9E581rhWqOtF0XGI0BqvSeefS6uaK82UQLSvvIVWtLi
bXTMNh7Qy5PWyGyO+x5Qvb6YbSMzi34j4zb8MprwykhvBrfJLmWBSrcWXZM1nrdjlfqUMHnRdfzB
bZZHl6gbfD/4hasbZugVMnWI/Xk6L5cJHbTbXCUSaSu9OLeK+p/sSMW5xPSJDHrhfCSNJYe+M0PO
p/pyamCtafJeieY2iXiYCWSrEmiNhToUMT5lGSoMyYiDzVBInTOftIeu826Y43HU1EGUSVctKenj
JkP2wUktuFOE3+Iz6xW6RdO3eVGhr5vL+YZhhiQgOAfjRNzfMIP/7rPrdJu/3mfhlf+fY/9Z6pr/
ebtd//SP7dbB9giCDAO0MB79m3b3YbsNkwiKF+JDeAn4Wnn/vt1iWDOERQ9DgEBUhd/CQ7+b5Rj3
k7i/fdi3iWH/QtX7Tk38pxr75pWvRBUSSmumGVrhj9UY7HMEBAM7nC3BvCyRetqVwOZ5whD+rPi5
DqIrDMeqTlE47KBuhzfSNhifVTq3fhHcNoN+7x0h03muEAGYLqrY3U6+vsQPKCMToGHuXibcxUIW
j9kUzK9W+JdOa9Gv6u6EsRzbAmuAqsi2t+QmYtVDbPlTOI8wUOV7EiC+7MIRsPzQ6D6vCIHcXfmH
MKkewblnJHBubNOeNKIqyAKcEAkeUxrNl4j4QK13ESIqH0JoUARntGkH80rr8aqgzRZL4ye/bHfT
OB55EW1Hn15MgTwVVXWi/bylMA1LdP0acKbfI7Ize09xEO4roPbU2pRg0WcuO/XE3Uya5lKh/Xam
F1qr66rSV6Wx2dQnGCWjNwgbnAYPYyXoV4X0BMZhGIz70fqIaTifCwNMPAqeGJsORNF8CtVtVS47
wljeCYy+EcOdVVZBDazPZRjDZ4Y5yqKHUHX7xarbLhlfuTefSMJPmFF2OUXoShd97Aa7xxCfNC7F
V7jkJ5hRgIrpwS+D27iKRZoQsR9jZHWDFhOKNOxS18oLWTSf/T64pQKdQF1YTBiKz5qMl6XX5Us5
HYYFIHJMbhmdD65TPAbrEAbqbyK+bu/gr4uV9K8KR2ZxJ6/qpDXIeEiEUSyqLEi3n+MJmR0h510i
QpRSs3jyPIG6w8yvPIxoiSgqAh4bhZ572RQqGdgec+Aq+L9rHjL4lo1kQOP93TTwektdg7s/A3sH
wLfrpW5XB+S26Udx5NEwZUoC7HZb178C5Dvlk8V0jBZsCPhY8PAYgsZuPdfD7Dhozog27BnHLgYN
PNnglJaMe8uSuVzHKWoeuRkTh0G/NcEe+akwV5G9qwMr85FWc1r4UQP5ZhRZLyDVmFI9JChoYWQj
FMxa76ZOLOAo9tWEBfhc4t0TbFV94udQ0M6LF26DAeWHakzeGKiGbfFeL8FVwsYngsF27GrQ47TB
/6szCaMdBEO5qbv+BsjAo9EAEMSkkA9HYZ0tFfJ7TASvAE4wg2PgNhUKe4lC5VyvCZl4Zl8oAdY8
BbrLpqmSeeMl76Wgn7j1HsIwesf3r9KxdxSkcx+bnUDWruowcinkDPVkg8DDJNy9aIfcT2r4590x
6cxjMNuvOnaOjCbHoK/q7UyQHimrx3oBP9618mThZm67CSl6T5Poqm8LUKNVmZaYcrLxqsnPdQAl
xLj82WBeXq5k94X0SZ8i7bOmF0q+Zc18KEi7Yw4SQnSZXlBlrwjOfK6d+LWa5tc5AIs2zB2e2zhC
kT+F+Mt2XyYDST2JEI9okd3zvV3Re88jMhqY9hRnUoWAJrRKdVQ/29LHh5PgrS5kl0eUpVSPrwQa
svIwa28uHEQkiye/lBOKCoUP0E4WICXgawINehw0dnJxXxm/yx1m7QYhOqCRRfHst1BYClHEeL78
rVxZfUoNfqJ1YzHcBj/LwSTgxn3/a+d4GEBQlDTVwHfqpoZo3ckD4jgRvtt0FIk6zx0mpFi0PEkH
nbFyThVcWO44x9EkiJcRCrKGIIKNcWGXTeXcmXK8CHl179rYgcqLeBhYkDQJjJ9HM7msdYJwtm0e
hgrVTt2JOG9RaOu7qmr4djCqrDLSF0E6SeThCZuqQzDW26qdgpQ7CdkhPYj5NlzUwDe6fgt66aga
eyMg56YxBibc1P1UZ//t+b/5i+vLxv+6FtkO74r/YrTgt1eU/xZUxitR0dlDbUGx8dNoQYw1QQMP
SvgPn/CPMiQG6BeiOnH9MA5W7e4Pd9EP/2cdaeLGYex97/v/jbsYr1NQPqhCqEMoEs94ky8YwBCD
VPyfVMgGA//oPBbxqZjVsRzlxK9G49koY90kBMYq1XrZJQa5UQQry/kR2QtEgXqKReNiZNXL7Ku7
rpI2rxRST2bUO2nKvFkwM8d1uAeVvY2gjLNXeCHIIvOw3sDJlwhFhidktdGyteSlxwgs3jVPRvdu
czPGorprmnpPzZzyuECDThBBcWpyagqeIG06yc3QkfLFirG6Loqqjq6r1sbXIcd8vywwINZhzrcI
loZF5/D7KCYAlgeKAUpqdosRPruq6kcddGratI15ajyEnXPV9Pu6YszuPQQqDQuORoe3IdiEvIj5
o7O09zqo0R5V4g1TCjtURPq1G5c6G0a2CVz/teJsSRGROEXawzSU+RFp5jDzDbkkE8lJB3GiXCeG
BEK42HgMaEiOVgMe1BMGVCRZFzWfvDK8axJzZkyEuSX1F4/G950O3p2A1RuFzToNk/Em9huRlpjY
sTf4/NQrRfPJYjlMG1PvnYWaXEosy12b3MvW9bY9h6jAfRhlM/P2FcgPPk1D3pkaDiBW/LCDDchB
ZKQK8gNQTYQKgZ4cfeHdFB72qcUHAMwDb49hZUgmJo3BGMHZO2CWVpgS7XxxeoB5WgGmL8IC0zjU
ruP0c1n1F5i8eaF8OmR1QmDULfQuLtA10Upt54J8CemybZ35IAowcUMk0qkYcjEs0b7jiMMpTG4c
e8SJohp5QE26N1PRGdUEf8YjPaYexYTVKBibLR6vG4wDQboy6U9jyAicImBmdLxBxhUJv8q9LQRi
WbpFRNWZhzBj4QRFQ1R5Bdlfw9EAiTkeR9zBUeltiKpqN4dA4SJH9puFB4duwqQ2GT65ajxhVtw9
G/smqx312JXVbRVUKAQcvXPLiBxYBJgVMzBvbVzcO8a5WSTsJePWIreuKTGpqkYiaSiudbHsbVtg
huRM3gZJMGw2wAQ1G2JozuLSNjMaW2kZqh1gqQAWs12OPeK+bB2X2SewRoXmfoZdfUxlYC4x0OZL
29ZH7CVtjijbVcQEti8nvrA9hiw6FIMXbSkzFz+APHDZ58ERBlMexzMdgueJVEhR48lKme1Qimrs
gxZJ6Ub0t3oR2ajj/YIrA79yRvCcg+YZm+nBMwvfkwBPZ1EKk6q2fm+ttyDOFD+HJrzzXNzhqYcb
0w7eIcHyi8oluawmgpErARhWpwuCrZHsXJcRjLrmtmunE2aeYYgxmhu4iA0KLorJZ1xuo3ZUOyOw
Z0pkOlPJo3vjohJwBudr4QWfHL99Awh2AP+LgFU5Qqsj3nugyKNiCJh3XffYmdHbeFTfWTu6uzrq
XnobXKCStUifJbaCphYjTH/jswR7cK3ga9lKvvoGdrYXIsVIUMnrUF5FZMbQ4KbfhdPyOvjei0R6
Yk8dPsNdja8XPSH0hbltCKFFEU4VSXZa2bfCQnFw4vGu4iMcfOG0e+v0wCViZK66yv8kouBu7MYk
MxXinQCQTA7aiqGyhJrFa+c0YdjOpgn992mxFEP3oivGPFTZRY9epeGwGQnSqFRLmnYOJiKYwLwR
BFxhpAf+3ilMeKpnTFqblJzzhHgVNBV5a3ikjjbBiCUXUGhT83mtMLdjCTOuxpw5DHKrBPxnc7Bd
8anj85x3iGJvvJUPnX08rWJgb1HM4xQw1LIJebEtA9/uIz7IQy+CbYN5THkFGXGbIMKQYj1cdpzJ
TwOcVQ7ztzTFrte8ugF4HCFyi7mmVhnIhWNHUdBi4GIU2uIm4p7YgsY9yNK/ZLCmt2PHkp2SyFka
9NdZMVl7RLf3pZEO20If9Y+e8NfUIKb1NHPJ9/+XvfPYjhvpmu273Dl6wSMxuJMyKM8qOpHUBIui
KHiX8Hj6f4PtKLZaWj3/Jj1oiQKr4DJPROwI83y6n/qMc9OPimeBy2LDynlly8UTsel2RuYzMNTE
tEyt7hCk7t53p4MSTSDuMGx5fjJdy8xfBaGDsOnYR+xzkGha4FRtN17KNrxjFzPyQtRSrzQkTupQ
kcvYaF7sKusYJptiM4hmWI5awN5bJ+mGd/XSRPqF4JW6Soqo25TldDAa/+inxiqppksna3K7ccUQ
3e8xIzjyCsvci4AnltY+kzDH9XHIKsRrFWtfGGJc+3aAtwKxfaGq/SetTZ6LRMGBG90SnsQWT6CF
dJ/G3NUsX9PJ+RZkKnRVw6xXMjL5JyM9X/Wp+lRGSkZMOrryXaAj1Mp2q76CPFL4ySEXmbqNhzj4
VIXpCjzOk62TOde5dZ00+yaz5skyMDeHzVXZcSmbTfbiW7q71twoWbA/+YT6FoHuiCAVKcr1pKII
IN6eiKkD5CiSQypZiZi8Uy2l4wGmaa+DqKEM+EcBfnajRuM+9XOmAomyILPykI3yasgZ3dljluG6
BiPiS3L22sFK2diU4lvPFmlh98Uur5StX8evQuk82MHNpnbKdV3yp32hfALccZyCQ8buC48R6Kfk
2W3jL2HNw7dT1EUsnV0b4eK0GhHghpD7qYZu4CScngwDfVzWh2HiesbBLD1dN18NlVCDbjm3URzw
l3mAd5l2jORMYFaLAKiaiDas3D6zAttFQ+FVrHTw3tv7ycKZ2JbR2a7Ewnf7B83gHy+HYtH7JER7
O9wYWfNiBu5DgHOaEWd1pToZKKr8k2bwwmP7vSGam61GYSDmRPey79lV1ipSeVldysg9jrrvrgwQ
aa0isabEFvtaEnptMUyrbg49az2ZDVylizrLAi/yuXXAl/OwkONt1lV8NAGKN2TduRBptFZyvP+5
KXeOEe77Mf4W4sX3gl4wF483xbSpUW90sZFjvtKGo1CSO/Y0yUIxTZDMwtowpsHbCbOgMKYvBiKN
3QdfhA1iQyfLp/hqyMmqnosCyseg97HFi7iTB24fIAUYMyA/fNKQToBsMc6Xa7FlCrXVi3TXNcnK
F0Z5zcwC0quaRzbsLNPSlIewKwp41npeyz241B7bf9R3ogNC0ynj9cjZyVUrUlamX7CHnhwGIsJN
9kWPWjIkmEhURW4mN2gXEnKywjholSdK70VmsTIzRvV+h9gmtGmdi64CMBpo61SP7w2Z3/awmb3a
ML9VsXwwI5jdGQsvxYfR4lruLnTM5zIfLsNMcWGsROJiJruw7qqXSQLtxepngQf8KK8TTDMgN2eo
CHyYTp/PHWtztAA2/uGxQklbpEBlhsa56oDMuMBmSFK67CHjZ80dV7VrHrWZS4OW8oV3y7hgEbFM
QNfUM8MGEPTrNFNtphgL89iJrQnwBlxhyCJv2gxsJVCJCBfYfv5V9hkzAXg51kzOqUDomFV6oyfd
Gg9ttwQphDCY+UcX7I4Dk2SZzyQeLDkL3m8c8I3SM/N6apIBcib4TKB8ypnpgxbwOamAb4TnpEx4
AoyLfmBqKWsDDbO7Umr4AzmsoMyKv0LQTxZEZJY9NKEiUK8sIjcplCFTP9sN8gUiiJwJRB0oogTc
UgOaqHGae2AuchEDLRJyM4AwGgIyFyCNRtBGEVMZd2YdGUCPsMVMuxgMEr/gfRgp9sphLbgOZ1YS
T4XP5kxPyiZGQgVApWEmK9VvjKVswgYAdQmLyiOi6fMAjqnv8+dk5jPNg6YMYFMKuCmaAU4zyel/
G/q3Db350w39bfOcwx5/but/agvzT77TFmaiKKHuv0T5d9oCSGs29X8EINhv/60tqOQYAISqDhhq
MGN/b+qduRsQ+7FpEHx3dPs/xRxwc3zc1AuVrAW1VdiGBbFwfvX3zhIFi1UiwU+f2xEIyokcghVf
aaYa4wpssvTiYOtqlllqXVk87tuZKTzDhaWe3XVaWiwyLTtW8IfTsdindX4TwSVuZkCxEfsnYVkn
3jXIeDCMA4PVFquRY6j2D3DsXxnDD4ui03kvJnbBvotikgxHXjjBgMYdudLNFnIggPYGgvJAcHEl
jS7XvugKnL+uD1KvDzqhsTRmtbTHrNcEm0RT2IOpnWvDeWEJZ7OcV41yYXflzomcbFM57t6Gk2Le
GZhzwRlnfdyu3Dcqn5wBffGM6mvfqH3d7wQ/WH7OG9UvdS0If47Enuy+jbzpDOimdfU2Cgd4yVgc
3sKX1s5CICz5gzPPzpuw34i3aTpj9dIv/JUzT9rjeeY+g6CieQqv1w0OSwbz1cROLmRUX/hslBjd
K3LaNYzyOyyAedfvyHGtOkb9Q2+d3Q58jkAEgA96M9bRc6kUB7QABVm2PbWzbuAgIIhZSZCudtO1
ys5GYsh93AZIDrohyRX0W1gO+x5JIkCaCNz8KkOqaAvwYkgXLtNYHSkjcTt2vs7W14KzHXb1okrL
2xTxw8mjVVqqmx5RRDZiZQw9+1nzIXOQrhFPXFHv01lNYeqpE8D4lmvF2kRuMZBd+ll+KRndFzUI
mPriJs0Tz+mVg2OvRLbJkbWmAqIAcg45xau8Nrc1Ms/UFyfWFgszmx0I5rKMe89FFor94orxwQEO
gdciG8UWj3tb/axbsSeQlUqj+RIU6EzzqQ8cbIoIUFGmbQSClDY/LlskqpYNzljFVxKWVYWE1UzK
vYWklcbzGUbkKpNsVyN6iUjgyKxeCQqifacPDuIY/QM3DWKZX1pHWj49BiJXatyBChvB3SKvdfwS
rKu0VYLw5iPAsfBZyhD1BmFOiYZDj1BX1GRVxShfpaPfdO5wI2dNzw8669pB5mPdgd7nm6fR0ol2
p2q8y5KUnTb27tnnyX5mYQ3VWbUtmEFcUq1r7lIyirwn+nJV1u7XMRiu1IFdfWYc2RJdD1VjrwZo
PrDpnJVRVZ+BYHP5GfaqLP3NUHWjpxg+BR/pqXchB9AxcZf0/tpQCMcnJv56nfKLhQanCr6N6SyV
UA7zkpcRUaidfNO8MWXEAowc3yIeOONd7F7iUtnUDBdK3mZb3C8KKSTQJNWgnZq43SQ+KCUXTaGv
W7A2xEkjXUc/bOtL5YfjMjfrg45fA898fUgz2BB+cjQqZaMZM4+/uip1+DaUdbyUiPeePimr2d24
iv2RL6uxr61U7IomNlayiI1FPqPo/QltU4FzVKhEP3X6PhZYtI9ZlLbwc5RlphePjYNrZNSzjtDA
dIXJ48Ti+KttVEBnhb71y9xaDEwIF3nc3bD//NS49l6xgq1Q2tRDLMWKEvUnyyX20Jk8ATIFM6Rb
5u1Kr3w2ElFZedh8jwWJ4QUJiXOSVPed3TJmCYe7wLa43jUm9wqarUjOfspXQ5gZuUnG9y40+6Ub
4T4yLaU/TgWVLqFlJ/8b5v/eG6YTe/n3Yf7pNf9avEQ/mufPP/jXq1//Tcw8caGbJmaA7zL45m/q
W0TH0t5A4JgR/nj1v0WCyNjQ4mP/0Q72VwaffqGZqvJHiOg/eAqIAH/32heWqloz1hxKMiN9bL7G
9699J20CkemBctaA3aNJakvVnF5BdQWLxGIM3xoqlNDYk2OQpeyVS3njMke/1p1OMZAli9y5CQIX
OwwXMEJgrUkQ4pEzvliKaJh2+xkgudHcxJSALWri55ugxhyNsGlumLjgEkM62wxNNKy7UnE9qemP
MITUl6BKM4xVQ+kVoZOuEExnVnAHe7Pg7xpOZS4IEsrP5RwOh6skVhPu2H2fO/s4JmfTQ1u2wgwk
UatsWp2p+6CjnlUyhBk80691tFllPFHExrDLsdaha+KFylX6HGQcrF1yXGwteTpwjxLbSQYiPaCk
DDyDa2CJ00L3JegvstV6M9SXmO04KlyTPnXCGm817SEyGdvTA3EVgW9Ej3SvY1iSC0PXTqM6O8T6
6MztDX6RnalArTUbprGis1haiAHsHVvDfe4o1sIyomGXjLW6rq3KSBbSZ4MtBrXgO8Mmx2lRzqR3
eNSjOzJeNpa41vZgs61F0hXD9SRiZ8MrM7keOvVclPgE3QQ2HUsifiiZpshTlFUOYdnI8SHFMa5N
iSVp1ljniMZgilUtHObpWAwnBy2+9G8RZ8pNh+SgMhN18l0uu26T1UW0921FnIgysqxrXP+U4NAH
46hVrX9N+PIpDclwhLn9HMjMWvQ1NQ1E2Z4SoqVrv8FR6GbZslGCIzlzEksxbDk1mREi2bcQebky
guY8ZjBMsFw5S1OKhLdoQqVaZ+9kVzl73Sq1ZQc5LIyxSetZtjFD/uNKsdQGq8W6NfY6Gmtb9vwC
jd4ijcuu181TZ5XKfjTAgfOkNC7WW6hNqmOA22CwDJZn9CSVMYwzWbnqquVCOwO3tj1ZWdXBNikV
UYoCDnlPvYuY2g09XJ/TzoFNMWhY3BHMYPEbi7QLNM8yfYE8lXlK5n7Vlfpox9l10bb3vmKc6tLB
Xqcr5RV6zrjTbbomSMdvFatPwRBa6Z0a+/5aiNdGGQ5R6hwi0zmOYeGuWXxsqmFc22yV+cysmfKj
lWWfwWgfLC06ZiHjpqi1/FMuynqV2SWghjC4pYsmIIuX7lCXt0nFSWLBuC/7iFdZ7PgLPRHPQcvw
sLGjM8l8xhU5Nk+l6bKlcBmt2enOxbkopHzOpGAGlmjLQnyznYhHS+bJCZQuhj61qwvIGOpNyfs3
LOOdQzcYwh06RzMuwobKwH5I72kkPLPyvyfbJLhI3cI++0DAgG5P38pKu8E3s5uXh0aWrUENG7Rw
DQzjkyXepufQNjbYSdZ1EBCwscSlTvIbUehf3YR7OEuN18Ydb0yF0UZWlZAcJgqiWD5yjrO4ZRqg
NYuAl3rHPHGR+tnLNI53/Xw9akm8k214AZN7zsjEObBO/aHYOhnE4IDDp5Z6zYybrf24ZI67y32g
dYBFZuQ6YaGtY6OVlKTs6sFTLHXgSRS92ASoU5boCm7SJHQIIRegWVVcLWqx0RpWuHEbXPSGEWkX
bAfgCVmhHOkt8MY0wvoGZycZANdl33Qqg3yprSg2XfpN+irT18JvbxjTcEWqCAZMF3tksMpZ4dtE
GeIYjVyaPhMM8gt1Y3sm5gsrGG7Mwb1L40kHeMHohAHVJjPl0vXh3JFvojlM9YQLJa+KrnjCeSOx
rBrRwhYDIZo63BmwRAgQPKpawwBS3Np2+SjC+iYA29lmX/OxfK1U8ispyEPHiLzILr3aZ/IdmGsk
YzJe4bUhw1PRGTe6n33TwE3rUmUNiFCgqlvF7baiVjw1TG9jJhuNpd1LflOHyA8D/3LtK9SMqa3H
rXhVu8Jj6Lk3fLiwQ7VG/ByWQw5kovKxVZn6C1LyI/+UicBoYIzFKM6dVGFD6TE69891Xi9zoRzQ
iHeT4qyLEUUQED25GF4SYelXDK5G1Ebb2egNQ5o2/9yAlx9LZwdffF2GJiPvRm5zYe1YcBfAbFxc
5t1jL9WHQsY3+NM2vjkwGW357tx1kDdbp7G4Op1NZ3XXeZEeShxdJPdv08jZisE/44ja5SaYTF87
gXMRi7wleJWiI/gqI+eesKC4jqV7NLThqbTT1SjVdqm7AKSlfV3L+pzX1k07BOpCaPVta1mrrsTs
PDvycys9plYATbRS2ccGJzk/qKbicUyagy4tRAYSk02PNtEv636ed+QHVrz3khpMTS8Ois5UjTmr
/yUYo/S2ZpS4nPRmL/G4TnQgMEblxRN/DQP7Pm4yZ6cTyQNo3TwxSl3osycKnk8SaV/tTFnkTfWY
yHCHx+HM8xZ4qEw2Wl8frAlhHVBAspxU7Sm06tJzjeQukw1AxiHZJIZ2iRM2ewkhVQp7DI901dZP
7GWvK5jOp4IBmZw5p4zQRx3WZLy2Qno8AhuI97Af8vFrqZRwe+LnBhN/yfuPOwDvbtw567YN1jJU
6ANhhZA0gBBSXhKDm287RXztOloRInUTdI5HGnGdF0SYs5qGr2CYvCHLD2MTHGRj3RUWgobEjQb0
Bdd5wrapV/a5zjxATblPcQloBbig5jQp/RPFJy+tkOsgrqHSpMMJYxggFZXX37sl7Q+i3v/IT7FC
NDQdvylRD4pzPrhOm15KibNWOYPkjOJkUSQ3Ckb3nx9kzi39bW39fRlqaCRIVAPOnqF/CJKgD7FB
NTXlPIgvst/07dNQfAuMVQYY8+dH+tGC9/2R5t/kXYKq8MHsTz5H0kmlm9jsHNLk066wP8Xt56iw
f98Z/Suq8IffHncTRW0mmt/HD6YLQHt+WgSXTvnctIcqeMnTl//+iVgts1ieCSr4g7//RNCMB9Wl
IOtCMiHuNy3GtZTpbhZsIpoj9eYXGcQffCLocWxaiBbhM7I/7Bg6tF59VJvoQvMwoN8KvOymTH7x
meZw4Yfr4buDfAwf+kpj2T4HiQGrNLSTuOHq59/arz7G/OfvroOumRoMqRxBlicmIcukuIM59YuD
fD9Ufbusv/sYH05NmYxJ2WV1dBkUg2YiduIXM6p5wD1ZIKzqs97Wvzjijz4WuquqQ78hkmUwMH7/
sZII6Esea9HFqa4rNVgCGHP8b//9q8OgZpvEzED8iQ9fnY8ea4tOxhdgT4xWVvDBl316//OD/Oir
o5DDJXuoGY7ufjhIgYHDiSLy5bJ8yuk1YKeIcZEh2y25EBPdq/evf37E+Zr6eM29P+KHkxW6LGZL
bYwv6qBgcHigwOsXDwPt+7ODb59mXwc8yFwsT6hvbq98f3bqwgyTcNCyS3yUO2ACy/ZULK21dR3e
WEtSXR7Bae/nn+r7Q/5+Cb7/VB8OGXaEBhpmapfOrtkmQwTCF6sX258f5cffHVIEuCauvDfM37u7
yZ7o6mwyNb6QRVvq2kGI5hff3fztfzw7JnQm2ChgCZ2PF3ZZ64BBaor4gIYRoNFZbX6OTATUOP7F
Z/nRN/b+SB8ecOyICwk3Mb5o1msori3/tpp+8Xj78SGQc2aGsE3JxffXQaQlQLynILnk+dnC1D1E
Ot5q+xevuh/dQlxsfx3lw6lPZBc2Y8BRouQlxahgKOu5ToLMWtJclGSTWr84R//4WDo92NjJCMLM
9Bnzw1JBd32nzJwivVA1VsnPvY2KcfMfL7QPh2DM9v4OymFsoANX6QXr2EJTAqxF1i++tn9cy2+H
AFZL2IfcwEecbDwMjGDZaV3q9EWZdlRe/OIA/7iUOQB4ZDz5FoM33ZqXKO9uFh6dDl75Kbuwzsta
axnGO8DqhCFf376r/8W9LG7Jf5/K3rVF2mY5X9Yr7+9m3H39///v92nu/HN/DmU19ze8wjyNuT0s
oav80V96rPqbDdTJxvk8J71m+unfeqwJo1fAEfid+8Qd8HfWy2aZ/L5++D8MZn9/Yn7/vDNV0Kio
cLwrwDl9uNC1zmLMCuD0PFnhHkjDwuwKlISEnCnpUq+zbHMR++nJLOlJYFm4VbFpRtgUQrS9HA42
+YTrHFx7a2j7vi6fk9Z8YsuCAaM5DZOGvmdup9CmwgP/4jJ0gqd6TK87n3oHO8uecZTbeCIwgfhQ
J5aT1qeHbITwniYhmc2syR8KI6TRqRDH3MguIoRr4hZkaSdHWUo3+YKXzDN8jXxzcS4l2knpxo+9
xgS3yO2zsIi36G2CYkQk6NzaxVeg5HihhrAhDuPgeuoSbWeN4tg0zs7wsztjHF5HczoxO/6S+tTt
jB2VhWmwKez2YIMyQUS2z1bh7NMmxSsbWvcGY03Id5/70PbqTnZsochu9K64mK5EJiIX1idXcR97
iIz+srXAmMYOQWVNKg8uOeFFMZUr1YqPocRmN5XAYxCfduyMuXdx6Hmh7TLAi93PA24pKpuo78FI
XFbXWLW8LMG67mhnwOJeaww3o8bMLI4xtUvt2dBozUmVx870H2xT9eyW6K7b0cNipNmXaGzvSxTr
VcbMCPRPfDV2fHVV0l6rgz9gPLezT5W5s8eaOTsGMpT2ysH9qhLT6ylfR4ZmbtF2jPXYzfIUY7xS
p6umyj+1/Bp+RVAqiZRhYfb4UCPMR1IwrlPHQ9VxHuIYHge9BumqGAWR1dG4iURx6Hv/q1nRkhjZ
9p1Z2DcKwcil0thHNyt8zK1OuAxLLIORDG8Uy99ZcWMe6UAhSFPFd8LPX4QKctzPrmH2fo1z+Slw
CddQsEZFIB9qW/oaLnHFx6ZWDMESXwTcmxkQ6/hLGisT+h7a1eTOublko9I7kOhGus5bBp563b5i
NShXpj0be53ysSiytauV6TG0+LarlI6Ot1befNDqhVEDBFZmt9lE4/ICuF95Aqd7X00Jnu9WLHE/
YO6OFI3uBsHErc3bRSqLg1oM6VEjUt6K+jGynaNlWjd5V0RLJ3LxsmvThI89ZoDCnN5zR4QBMLaf
y7y6FR0n3iLuMCJiq63/1e8UbWV0Fhk+cdP2PtZ8eF6a7++chEJYi4t+AavZGyYaiaWWA9cKEjg4
PcuguCIwp0zjc2BM9ZIGoAC6Dz/dKHLfEB5QE3tNZgh41yyI0lHJjlDP1iM7+BhG75wICqZnws7P
TQfZY+juklRbtYO4EAnFdh4gqMOpIlQZKZ9GAeqrSZ11ODVeOHb2PooqxksaTunWwo+UK+Mz53Xc
Izus6dgyFwAzjZWumK/6UJ9SilYoEWGVyzx6rY7TMyLxdiwba0kXAR46B0LY2DvOYpQFk++qv8Ux
XBDxwmvt6wHrSgNsQt+lmEpbrkD+/zc9xco9WqmP7kwkTKTKTYWvrM64JEw7i6DLOvelrK5q0CkL
mBivZameHdx0TGDsBcVA5jrvcQjaaFyhOsmjr6mbIUfvgEcpDhVo9kWSczW1Tf5kZmnhFQrP4CAS
eKU7UGfpGGx9XHfbQhufKzsqNi6PRjOJvIpYGRqteZqa8FynRjYPTMVqjIzbPs56gM+Qi2t1E0vz
jvYbzyi0W7pI9GUxMS1WC+eZ2fW+tEMcLWa06iMmt5B+7qmL0pZ+HFXrNKaZVVpc1EntP3X29CSb
6gYbOvWsLPgQxto5vwq3rWlvS4F5UyacX0MpVsKgZ7zH6cmUW36JZcqjghxk6J550G2CikG3btZ3
RP8+JXrzICtSj2nSPpjupG41vddWqqqHh6mOu1Uk2NqOIVCqIqjIoALPknV8mzOCn0pMEn6iPfUJ
4FM3jT0rdWnPcpOZ6mwvXKl/6uzrvt5P/mMfHczQuMbXvYAY/ilWsvsI7pOt5c3GzosrvSxAfKVa
TSWe/arxoF9rg3uh9Ypb21R8tBGyyo49RWtoVtSCmZQouv2xLlOcE/rWGVIev9G4nkbtFu/7ISyQ
h4gPPjhz761aNfuquZqtNI3Vzq6Q4GKO9COkhRtt9EpiA5fRgzZOmzSV8ZFiK82bFHlyR0fxurEl
TNIMEKE0A45EKThbfrbuy2BvuULB3yso3dOKwKWnpzX0rTkUrySCwlOfN6R7mApazkMMdWAjmwhX
SlPB1tJCDLYhDj9Iz4RbAkGNccQYmefX3m8m96wBOj+rkzJhRG7MXYdPJpWhEM+tOY6baa7ZDUtR
rXl5xJ5LbXJmaSfMXTueRnubjt6EpSpjRwVqsjSNTxBVeELMpb5EH7YhLb+mWQfbPFRfjVF99cfg
C68cSnDCAS1BWWU0BeuJykfnd6wNrVglQ/oyRCSHrCDc6BjIFo2PVJwH9mM40HE3AgZc91W4rrS6
QByePLtT5t44+xDMDqIvjbrXTP8m8Z2tovQ6AVjnbJSDj2aVacskVe/5+nmL045cDvG+g6TgkVC+
ljXjWlFDmzac3MsHlbpCqZariGqqhVb1j3kzyOWQ3lqks+zUus/c6oK9B5l6SnZYZz0ZpReMZBlt
roOnNeWdU5gvPFwv1M7lS6Ai8TLC3wz80uMBp22A5PHK1uqrnHzCwoHFktuNvnCpknZciWjlh2Rp
3WRcy6HhesCqRu8bRn9p1+ts7qUmsVEvokJ/nmoc52nfb5wo5uFMEyiL3EdJvfXgpM6yyJS1RvG1
1QuwLrGHWnkDZPPAnbvFHKgCsAnvy6kul3GELUfjVUupduQ3B6aPD+ihj/3cum1Rv13rw6kgfE/e
3sUfq+AScinrzkY1X+IC2E3RXpryNASBV8KqXLX0e4dz0bet2Pdt2Z2mgSRUHn1JqQOvEkiZtTEe
O7qZtuPcGZ4P9inTRE5HCg9CasVxO9uriqLxpNCPPcXj7dxAHlBZBrfWfoj7LKNHW51WQQMJT6G3
atXNLeZE9ctlT2EGQbN8XJY1sTcxyW09959LNf7i9KxhxNBenLI2kHe7YhO4dX3MKirRK6rUUyof
eSj5m4So1MZ9c/jpb24/3D44/+xG2duzGdAOi5375g9M37yC05tv8H/bsTeD7Dzm+vft2PE5+cFW
bP6ZP7diOkUUzAxsU5v7SVSDrc5fWzHjN/hX7NAMF+QFf+PvrZg7F1vo+GIp02UzMnPd/tyKid9s
sLTs3mFTGRj9/xNNl+3dd6Mn8q4zRNx92/apKkO7D/t1F8OGoVa5dU66NDgoAXV5twM7sWpLjVvC
Q2B2gDlmsKxARAZRmu5MyWrWahVri7xf7DL8Yae+V12sFSnN7EPL68Z02BIZxDcE+XyiakTCkyDf
K/SmnJyZ/D2k7AmywJp5hCAuxKsVd7APKfFd+b45ZUsbCn8+9Ic4Tz1FMBwFNt3eNF2907vB/pwi
QS3qOHTXPA42qVpsJ5iZvR7QPYG7TLXHiWA8gM88k9tmApVRu69EZ68jQ5ynSuwY9d2SvtwoRf2o
BKI8YBA5VKG7I2ce7TS3f8Q9tBRKeJvp1j1LIiDiwg0XJuTwW60OnhhU7wxRrmPVfyLl9dxCrMbp
jyaaNF2/IU/L72w6C7bc3ZJHnYOfyD1UBku1ROqHpE6vKpINs8R+qjLzGW/kuZnybw1fNNGuYjkV
PcNAv9xnTuLA1mm2vGopTaSqj606sCiaxhOiEU5JIaPhjKwylEchw+uxR4sNm3jXBkh5lVNPaxcR
txBzAk/ziTLjgNH76ikZsRIXpJ0sQ04e1ZUTOLHwpc466FclPSO5Nm5sJdqnYDU2mdCvaG7TV32T
hqtIyk+lH5prQ35r7VHd2ontrv2gIkIAWYuNxzcMIXgNXPdcpW0F0gqkZ+dUd0IK4r9uuk0seZ0G
9dad965MAJZxUzpLK8iBBanB+Hmk61EE5lfHqo01q0EX48r0ZILkIoJMZ990XUHF7CQLMDroeM2H
3xycM17RJ+66rGPa38ZtUqPXS1OrwYn2hKNwWSoUCLJuCLxYb1/GkL2GYRme0yUU+mr8eSwJsuls
KL9ActGPg2VhFspQkTcNrGjcWhaWLz4/cdxRG3IgFxHGhg7MCU0Xb0YiSik5U2/2IvybNGDO3/iU
I4Hy0sIRC6CABzLuJH82KhEdD7cj3qWJm+F6nO1M7I5o+ZwtTkOv7w0jNpakl9gE8zPTbIiKg8CA
m4FJirXJDMyfnVOJNqprc7ZTgcPFWFVhVxICs5Uz265IkVHoGBK0VbvO64maCap7SQdC88S1ZbT0
5jn4uMbaCVZ1Gl9VNksLXXvoZ8sXs4XkKddwj+pVVl8Q3FfabBETDRektI2EwA5VhCZGtmG2lBka
9yy2fK4b3VWQUbCeaX3bXZFqXQ+zLY1yx1OCTy2ZDWvtbF1rU971elR/kbjaNILWCxpEdrndGjg8
xV4RhrXXZjNc8WaLgzj9WZ+tchYheLr8mCCYEWHnfLbURcw3PKXEZjc1k/pS4byLs8z3sLT31MBi
y8ungadSklqbIpvte0qsbqBhFQtttvRFvp0B2PIPlRtuWLpcRdxRyx6cTezK67DnU6vMgLSgOOAN
3ESZ36wLF39GPMmTYbhiOYRsTg26Ro1mIgRag/qJw9HL8owVR4TNf07eklY+iAB2fo+5PLKSJzJa
m1apb6ek6xYsxSGA93Kda8mpbmXgjW021xGDQCrLrd3W6Mh+SJta0eIkT7lhGVTpJzFkd8jw6dEN
u0vON7oozMhdZwXUjqBSt8wtHkY793qzPLS+eB0KXQNrnO2bhCbFQBs2DmHb/60Q3lYIBiPwf18h
zHwuTz7nL1H98gM0xvzD75YKuqBUzJxfyrzekTzeLRVgvArHpU8K6OXMv/hzauv85uJANFX375/6
c6ng/MabHdaGqkHOgA/7n1I03ysH80JBOAh7zPXnf9RUP8g6VqqqIvbldJ6ah0owDfuzleFf7QT/
kA74V8npcGnpLl0k5vwbvJMOptK3y4GX2blGo5RYc1McphYmk+27E3D5fc78Hd//uyXPrBp+fxwW
V++PgxGprCTV1meLeiRNHnvn688PMC/PPuh53x/hgzgVaFWuz+uBsz44PBPvHfdbQQWhqxAk7NaG
ri7r7qlst210aRgsatErRSYBFrjiuslvg54mKQyXVrBmpMgo5bqNb3t40AODwZ//ppr+i9/0w/KP
2ZePCWb+Lgz4m6A9y4cWHE6hmece4ygDc9Du3xxFX4DjYlb3BynnX8/52/ryoxSAd8SiGkLF96R/
kNV4aWhNpzrjmQ4DDNqaK9NjwraoYQXCLHZJ/0JOqbsQezkAxWr7Gy3FpdnnJII7VZmWvPpgN5Wt
SjtzoO57t2nlJs0e9czY975K0JEklXY/GFm8MRI3ZvTKTDmP47W05a5sx4XeVeyHx1XXjJtwOnd2
tM4Ckwiigt1t2kjGMJl+odXV82kAB8Ua/B9759UbRxJm2b+ymPcUIiM9sLPAljcsFr17SZASld77
/PVzQt1SS2q3DcwCu0C/dUOiiixmhbnfvec2d03gngwcWDX+356OSUlg2rCspUOsayLUmmB5Kqtq
ZSMOzBWwCZKqHU3qjlCqyW6qnpqYti+cE9WQH/XWvI7jUzxm255KyfvMShelMZOP8u5a016ZzAHj
fgwWVhSYlIFWnC7czFwXSfrcUtWZZbA8PctvlLvwb/pIv4wEf/sN/e6Db/70ceEi3cR4wOez2Bo7
fz9ftI/Gls7yc7PQL9pdtSQ7vPKW08ZYHupDtilW47O2Z7fbii3Mvk18+utnVn14fvt+fv/xZbj1
/cfXTMl+ZeqRLZJ9AWUWDAQ5rQ0uvr9+HfXo/9Xr/LTgoV7NaYi0fkYlTe/GT5XyFS85/9IB9Nev
pNpWfvdS338IfpqHwf5Pa8OL5Dk0lvFVMiJTL2vOBA1JsmVwhvXw1y/441r+y1sIcdmA9EuVClCY
H9/CzM5Gx0kNeR7ihpT6W69d/fUL/NEC+P0L/PTeIaDQgBRIeW76VWcliwGJcPw7X93fvchPq6w3
evaMWUKSEDzO1aG176T98tc/xx9tSd//HD8tjxN7dV1nljwz8EZcGxbCvvHiSwXY+/JC/93j7FP0
sS6a4nP7P9W//K0z9H/9+L80iv76wqvX9vWH/8HuzNT4unuvp5v3BuTT1zmu+pv/p3/46+z5Dgvz
f/7H6ydMV/Be2jr62LK9/DyXFjzMf348+t/Z66ei/uOv+nYuokCIaTVeAhNnnqVA3N/ORTDESfjY
X4bcutqHvx6LiBFxJAJbaukKE/49Mcz9IMGFmfSuCQ8tBaPS1zfh6pfP/y+NrH9cZ83m/MOH98v6
qBNhVoIMPkXL/OlZL0pmdfBXmrNIjbukaG5lYx0zs7lORgY5Q2+GB/zHQ6abO7h7sDSTxN/4PQPM
dux8lHmopc40dMwitRsCSjN3U8Z2g4mo2sz6dSvgN5oe/1buFCFzkVLfe0EtSdKmt7WDvjLnhYv4
Pp60in4eFFSURfIQeHYtcritA3C0lxyp2gHuRZ7dOQhMJzK9+UUsiRkWtqwWgd8Ea5k6W7Mh/umS
+0CCCdm86vwuzNWARMsouambfVVaG7bQYN0kOh0gZvY+V0BQBYPlVFq7wtBuoX/rDGGb0zzPULIt
ZHUP1GVlddOyLoZ1Xu9j/UIPjE99+FoT6PGCXVH4cGp6zP7UxamJQMJ1Jh0JSCP8rsspfqWqulyM
bf0JV/YBAXtYeIIfqO79fVPTWaIAREzftPmia/UDsZ4XK7b3hYjNhTdZYkUh7EUd1FcRpFn0Bpf5
96ifE7tmRxfdWncFvxLDaRZtEDR7pzYFqK3sRgaDee1p4UewF9dN7naozgYsZT3UN7IqyGA5vb4x
7LpbE3xu4afVMWOhQecM617IKNxPXcQllaKe2M1vxoQBg5g7fV0ZmbN0m2laMGYf11ipMO5XbX8b
tILmEB1aicawuiCJBLAHaqFzx4TqFWNQvs3w4reiRRYJPfhLeJaB6aC4U/g4iF4u7bbCWMHPMtfV
1uPss0x8PRdXpckBE6ItL8yuWcKOnc2asg+OL5JdgAf81SsiWOoxcl2Y6E/o8Kc6pCpUc80YhI3x
Pg7de+9M06ZpwYhUjeszfLLekIcESBoZMngHPRrBubdk0BwzVxwIUj2XM4HlCoqpVYTbAgJcNU0l
bDUkwzbwdazXPjpG01y28czHp78LA/+tCummyg1vRMrPbsHYMWmX3WNlOPukApDqWsUBS1u6KCY7
27g09NiBdV+HIjz0bW4jvMy3/JvDRUXEYDl6RbFuA4DkeUSGF4ssHClP/fJGgxmt7dtoGuZjU8RA
JWYMC02T54dGshuP1B8uwimC69mkeDgoKH0KhK9mR2F9FZM/JJNH31A+6Ru3yx4AFxFpouZm7Enw
NRLaWmmU+dpP427dQM7k097KfRMVCHOxHa5q2e3F7Ip95YZ7injTrc33sqhsCntZFonOobpwEKMa
t6LjtK12MfiMuOAWFscoE2XKJH+2TDK9QDoXkxk6Ky9oVq2pI+vwH5ppXcVoSEXT3+O4OFp1Bwlp
uvTM+rZ3evCgTbYNNU75OWWHZIT1y37s7iNVZpBO4VVmdtdJMDy4yXhqspmDMOJm0qOcZEX8YPfy
YI4kcJrmrqVyflF1OVmWAqSPlwL6pOrVEXWxySYXp2Y9nvzauE5y+rPHQV87sjzIrsvhWnWfTct/
iQL9bBYxbSblVUWl19Ltmzfft+AuJfNTGnKqB5FGuCfOXprMkVQPwAJqZXlXhOZx1ACB9SlPTUt5
UfJgdLG1AyANp5fTkFyHxXjwrKhY/V/Zw7fvxeVr9t78uGf/v7yFW5wf/3wLf2DH7+rX3+/h6su+
7uFgP/FrS1pNhc5Gqbbjr3s4ZjWLhg3QnrSkCtNG9vi6iZuwPdGyMYmBBv8lXPxV2zDYxE2CGzBE
Hf3LH/2DTfzHkyRbOIwRVZztSkX9FKYym36nPIyChsu6zrvLeUqWFWPPAOUVt/nfHLuRbH4+K7DH
gF8HfYmLXXLh/fGF9LTtKzs2S9wxlnefhJVmLzMnneYd7BKLsus278x90/jzbSxJfZIqAcjt4l8r
i5grcDB5R91hIy7hc4xXIcYlYypwitlT4DRHGGKN8dKPle1SRFwh88Z6Ya7odKISBPoS5/200ddR
WdKHVgxpRz20FgDpiho/f4L3660thpBi1eQfrdQcLh0ceGezE2W61MskRVv3ySKmrBZa2hRwsKKh
MM6i163kok/jc42ACJEkH5ehh0Ys3okrfcoZzPuNuHNgc+YwjCzNLpid81NoZbT2TETZbG2N2d6f
oFcbCXCVhowfxWafQze8mUvzUpfl587ob1M94P5s1vGzw0mLBS7pTmz7NaBqyz6kkXcqoaaReZHc
azTN+GySXN6ZPhhiAlblOuuZPeFLs9ZyUBd475LgGzhr6fYMt2a5bXPnftK1pxR60qqIQwTTtg0Y
t2BqCHksMD1IPF5rhn38E63c6Jwf7muzhfRlu3l40wS9tu4cvV57oxifzDSaeBdl0S6aBFizqdXT
KqaLvLJb9xBqQNy/++z9ej79XtySP97tvjzLHJUFkgp2ZYPH+sdHrJpqemFGt75kCP9K7YV+O9/S
xLqolu0uB2yyCFfBOts6a1TlhXUwN8YaksPyby9nP12fTT7qjjKM4v5E2WGm/+P3YRF978hJFpfY
mw5TGo7LJGA4VjLzXrgOE5qq941NLW0YgL4rToFT+wed35GdVNlyctiZfAH4Rc4v7Vh4m4aQ5KZt
S86e84tj+SgiPh0xYCweq5TpmqyJpDoNjItx8CUOMPQVKxzXk+FtcSQvYx/EtolwSTCRYSGzOqo1
TBXFq9paddBSfZLl0Prw1Ri0otAmsB6G4EJSZ45Lii75nnFIlsXsqX11OYyMxKqAzFhjBPcB8x3d
yE7Yy4Rivm9FwoPmeJW56UT8i5L+55rZD4sIXdKwDDgM2qyXeGiprvrxnfVmOXgl2L5L0aNpsRAg
+df4G7QoXEOHNNkaA5brbyv6Hz1VSlT5Tgz53Wv+9NvUxt6p+yRoyMIaz5aP06QLitXcODszI+dR
+dTM2DhKnapaWimEGcvMp4uZLDF0f+uC7OaTiLCEA2f57CfmBm3sJAv7WvjzRyuoXsDuVgDMq/L4
754shEHahj3q229QXd5/vXiro8V//sdt17bvf3CtVl/1dUuWOmW+ZEEYblLp+8Vj8HVL5o9o4sNC
TqwP+cNlDfm6JXsfMIKTHGAQ8etM4TtngkNCDx2X+7YaU8h/cq9m1fzhkVP3atZF3BHc/IWFdeKn
x7yXuWwrzZvODCSajdDSfN2YomHMaXCBOboiHi3Q1xb8Ysund2fgxiEya0vHD1w/FfGNQmFdjKqI
i+rxfNGBsFVzlGU6Gc1G6qz+tqrwghldXkvmygvbbDWM4IG1bej88lRJDSH2j3nFVVAP5+ssQnD0
VaWNVsI6Mmi5wbmKyaDoef5LMrrcpJhzugxnuyiA1EdTDqVhMBUzLviZbxHrpU6Hyk+g1apiR0+6
HLyIKt6JaOBhHX0faOQBSX9RqoqeWihwsqrtCRRgcFZVPqKzX6SUN54q+fGZDMI8G1Ym/T+NKgLy
aQTi5LGoVEXQGPTXgs6grCvvPTqEIrqEhGZsY1UuFM3U09JHcmFaGHG7wTrNpftpVpVEkyoncmV/
nFRdka+Ki7QOBmAIgtGjKCJR5UYWLUc+bUeOVp2Azz7FETgnRxUiRSHVSMzJ3+ZIXurMytcDRRhR
GKRLERsVxAIDPMlW61QXBO1AS18MPScvvJvsnHXJ+cAZN8IbOCfQrKp7G72e32fXjdaW02MM4azk
1PifmgZnQ95hDTOzOFvWLuK6FzDEH6T5WHbpqYPksqrMct2PkvaG6d137LWUlINJP3idppx+CFYy
J7Fy7kpzsdFFm57cFMG/nmwMl4xLy7i8xjn66lYNwxrgHcswJUxbq/l8bhf7XrYPcVxcdyITCzgA
4Eswg84VE6wMZpOR049lX49D8NjmVHC2WXMMiG9DOMvAtNg8rm4DzzVKghYgIh5UJ82jdZE1DCEC
5spR5eG1QBjOggrLMKVtg1vD7mrGVWtFr1hCgmXbF6/OaNTorBrnJw2Ett9y9hvaJFmXgcnWJTtu
ZDqW/9FkvBG0AdRxh2cK+/YOjsipxZO+7PIEAtc4a4uoAgFgmOYx1YZrW6fC1DH8RT5m7tqCUZnZ
cmerKFwfeGdQAw0KkWQAEoKqU0QRG/M0pkCuZXE6notR29fwATBBJx+7uHuMM+OtnIar2OxwEgTZ
O4sU3TQBUNrBvSQoINYMfeqF3+T9hTc1V0ZpfIpNbNRNGRIimN6GmOI9md9GBEKWlL0+p1WLYgN+
auNaMaGHgIN861NuW1TXMsCGQaf3ezxzCgXmCq1icJYy1RDZTFVUFUS3RRjgBcHktNbK5DEfike9
DlFnetw5In7BiEASv+UoVxZkEGhIPREQeYhr7agH/QFahFiL0VrbYXnwC4tulqJb9tw7FrGnPbfV
tHXi4qKos3QxOMALwsB5aiEGYI0yvF1fOt6qyRjxDToPXgVh9CyTwtVwF87Rp3+3xS/bohqa//m2
eHqlMPz3F1X1Rd92ReXXoz/J4b7F/vPTEF5Ig5g7KU32wJ9qsiRhKqJvhHp/cfl9vag6H0gLegBJ
DFJLJtGrf7QrfmFW/XYQU7simFk2Zmmq74J/8MfDH6wry7Y1MZ+NLHyoAEeym00UGahhoz6jgVU2
2IiCbJG27EfvgfZfDD8dFdOZZ9/FrnkyinafMf6sepeBoeNQSrCOwqG8xwqurwsprgMNgbalsQqK
ehprbxJrCLBi3ejDo+P3GU7dXADUTp1417SUMGR8oq8Fth8QuvbtkNg4V+kF8CzYzWNurMqQOshq
LO6mSXtAULo3CqtbCIkvRtTD3tamcxi5B90BTRI2H2vSTlaSkyKI4ejE8gqL+YPsm3wVthzc/TY5
9WVNd72ff55qhLZQ6hvkqGAl68xYW3I8t2SQqjQeV1ZvdKupCD9VQzavWuFDex7ddSAge5QFEm6C
Gs6nWTOn/TAWhBqG4KjTNGXQndPppAA6Zyn00OF2EBI2YUus+/IxFN6zZjpwrlJ0LPZAWhgfkmjG
CxXP9y3JmL7Ty0vdh89XFp+l4PpQRzceFmNMTdlFGWR7PZsekqY7akX/WdTWtBLaxJJkGGhxUd8v
NC1pQYMmu6rR6E4P7SXwYmqiJIwTqwzds5zKaTlPVbLsW8BJIZp96yE+FzHVIpmYtLWbJNRGjRCj
uFB8DKfgkMOt2bZ+zEoJtIkeyj2XjF3X1cD16nxp4Eo7hVVdEdm0We+2wJiwrbGR7Q1AOk1jndox
yRZGQa9amPcbE/5JQoomSTFtqLU8zsfXwOacxL+5LKCRrQq63IcQd1ZoaK+iDuJl3bcGrCED8r73
PiWJe8INy1Yo6JjAOGFfpIPBrpvXtyEy46VsM1xWMlBVUV684laxo1VpJnVAwkUBqNwMuGWuAYKG
5mJfYureOpq516rmgaMl6UH5MPSgA4OwEau2kfol5rL4ooRXAu/Z1tehRb2w38dwWMbYXBoELrDy
6+KyHA2qsmTh7KKk33rI61hUDxmRFCJf8hWOhIWfb4rOXMVJdlnmZnLplGwRFXSoMFja87cJIpTs
o6ciYFP16E8PQn6fMd1zZww3xK+y7XeL2h/c1tQa8Nsa8ct4F7OBrSZfDmHlny5rpTH2CUVL+jnN
7hPzE9SbIdv/45fgGmpjbWaNFFIw+PteMZvKYGxi2uLOSfPWJVdTeZd7vxgP/rtHov//yalqzf7z
Peo2ahJGFt3vtyn1dd+2KS5vJkgZg+JG5B5lq/l2eTM+4B3DGa5s3db3CV9TfsDijThkg0Bm4qYc
579uUxAZPU/d69BaBW1K/2woysL8wyPINmWiyTrkyyVXQr6Vn54P3e+aLqGy9mqshbPJe3MgBWQy
CzSHXehwMIPdypWDFpgzP4Q4ijRjTkFcIdljIi+e8FM2JygTI/KKUYHFsM2dNXbN5ZD45aey9VGw
Ui5JYQpBXEHLo2XpaZR6ZLo2XjU0K5yrODafNWG3G91ntrz0fT0lX+znlwnNcp+wdt9MY2qdA13X
DpwPh+3s2tl9607WM4tKfTtIqzu1TcisqcsLbjadxrzImooHoxMtq1kj39nH0idLpPkusOhMBB3Y
vPZY+kF8cVdxam4wTjzUxy7sy+shztdpxyoVREG56gfd7M+wlcz+Y0GNmXnUabiYxg0NOjTmzC2t
rJh+4xCUjzJQVxyF67MTlmqeo48hAEAiLhQaI6vMrQFr/9L1tAIeMV2vowmSf3AdZjd9OWgrRnFp
dLQ1coygATk9xz0+XiRMj9yUPz7bQ2q8MkG1sEePOEOD0LYOE8bu23YoZlKdFi4OnKTiGAzoYcxn
PCyoffDGkxRRETDPr34Tzu92ND7VWrXJg+igOUi0mW4TxrHqcqeVQ0D3gd5N22QCNYbxa7pIipEO
v9ajNRloGP0A0RBEmyZrDUaLvRK6k+rRdKJ0n3r6vZFU4a7UyOGF3Be5f9btzo4b+9YNy2zfaq13
Xwo2gNGjCgSALYFt2VrAbxrBQIaJ0JvmgJ3i1ARjbczOsatrq7rtKbXTtGZcD2lVtavRjyiqJBiw
n0o/v7F1t9lbYrZfgll3SOc68f3oJ/GFE5vxqdGq+Fn3HSgxszNdNMlcPM/dqB15eCnfc3KKq4La
f6LZZbjPSTStqYyIbiEgl1dhnzKKREhl0m2a5B9giFHiCQ+opZfLalYB1aLOMiDOt5O9fPdsfPKp
cXDGwaBrocZwLQpbf6eDgN4ASpcWXtlAMMSw/cvk4t+1WMFc/nwtfi7SP/Dsqq/5bh1G3vZo1KW6
jl561sFv67D8gH4lkOqAHiop6zcRjaZ6qfAYlk5fPWslY6Kv1wXq8Qjc2C7ymstfYmH/B3Mt+UVl
/+0o8OW6wGpvGOwFDpEW76d1mIMoARoZj2eWTG1RuggMfn3XSlzksZza1aznxV0E5P7MISu7bTq/
3mlCx5oKR2ypd5DcvMJXNVrGpYGhZt2mHP8nJ343Zj7YrRQkTav+zesGZq8TB+GkSscrj3QvrVK5
s/Q6v7gzG0wEoiMeQRVNH4XFGSWDkOOQBzd64KCPQAleB2D+Vo2u39P7nu7S1Oi2MSI7ePm9Mbl3
QdXVm9GMMeChxJ9Tzk1LpokvLPED1XjuQz7L6L4i8X8K5ZRvCJB2S/LMI5WpqTxHuutvyGh7u6oo
WPUHySfly3VbXbxTdQUvc6bpAbfyokHDMUGhIi1lFx0394Qb/KCu8i13ek9d7i1u+aIz6XULYMRy
/0/QAXr0AN7NE2YWzDJKKgDfkDFMD18sVITRZiaN5PhITOaxtvIUbiKSg4/20CoRwlByhJHrztIO
gl2ipArNRhpR4sWY2we7JolJSIhcplI4WqV1hD72wBz5g190vPTs8rbQ/EuTJZ7S+p3hpyU/ifHJ
R0Kh7aO/SJSqUpOJWFcILXTPAcL150ur4FfaluMKFDxCk/EmjRoAffJR80uGIWF44IR/tpWe4yhl
R1caDwHWvUWGbZl2Y7MaEIIspQjJzAQAal8USisqlGpkIR+VwXxtIifFSlfSlMLUK62J52Nc2m6V
uGcyuLHxJriAT3unpdKJetWj9iUOVut1sErpLaHZxXrXCFNQ5mYudG3a2CpP5qtkmehTrCZkzRyV
OpPEzwyVQ0t70rs+dzgq46gQmiwQxxVc+0ab5U1tYQzpXa4+ZpB8rGRpkpEhRh3R8bYuYm8jRBIz
PJ15k5mS7rWpqYh3An8d+IBzM0zpzSlv0pxesD4y9ySMlK8mE3d56NOVbJo7vSB4BSOEcalnZ6qi
iuogASt58t+nSe4iDWZmYll3deu/yDxvlw5XI072lwiMKdldy6aSGPHOSe09sFXz7LRTsWDG1y5L
PbI3Y23e9onSaVvrAuA6rul88pbkUw41542DPhFtM1OawQqi9kHrLVPjqdH9szYEG7atcWMO0bbF
FA9sOKu3DWS3RTCFK7dK38LU2rgFNXeSj0lZOqNiDr+UYXMYnaHcJ5rjrtJI189ICMbK7zhWEd/n
omnCj4UPeNlXGpkqD9V18iiAzZVwzqSNytnxetLRwaaqTA7VNLuLTkp/J6qWKCw4se0U0LkkuMXt
yyo/BqEAHRt0xqGxg/lQxbq2NYtKrAvke1vz6s2cTAdNBE+llhlXMiZRzOqX7LXI9JZhUh40SJ7B
GPhr+v+eK4J3n5s8W1Hg2ZnXThy/zyCs0Tk8brr/7p+/UIcMNrw/3z9V+GXxnkftH+yi6iu/7aLi
g+pcRXiTHjLeDxB5/QOyGSZP7JxMPT3G3V9HUfYHD+w8d08wviaf5N82UVvhj9jxuAIjuzHc+ieb
KHPrny8zbMS6QBCU8PokZpEfL7tNN7FIJK526VgY6VIE/wivWp7a6G7owUhI006jQ3AZh9m1YBde
9hHTpIFFfpgoXU3jdj/XECrKuIvxmdG4JYfJp5DUHXDWNm9DRpFsPL5weD2BT9jTEu0y/0nrtYnJ
wi8Nes3rLS00MTHy9GakjHRJ4u+jrUdEKu1m6Rvi2kM+Wgwug/GafiwxOp9HVZgVDyURVmKiegYM
NJlhWmrOvAYP8GR2ZbeK9BJLKtCQOCjLVUUrVw6Hh5W13g6qsMv0DcZpXXaAjU6bl6WKveaBLtGV
P5ov5Zfer/hLBxikY1UIVjRtcddVsSip7tPNYOUR5CsKbhqlDue7bybuHRwGADob695C5ksg33Xx
ROFFnhJ0hQXD0PxT6zjvPnPQhR9xnjXay7S/l03h4PUavOXgQbFAD7t1Rh2EUCZfsLZQoAN0Yz2N
Ol3rRX+0/aY5VCJ/q2QY14iZYSHW1tTrwcLOTGpPkoBbDTvKapiSOxESRnQIhGBVF6tRmE+5WTxk
kQPiaR6LC1zt01JzPPpavDOLPiQqelj0ZpvV4Sb1nAN22ycHR1PJiHKCuhpvutwUe8oFGZzxc5ME
hFjh2/gVRTobS76fRzdoo0MfOcG65O3jeuRrS38wsjOeiLuU4eKGymuwwbZzNLOoxfU5VBGyIXSX
dZ3aNhAcnCyznK5Fg8gqbLqE47RwGaKJ26Cfrv2qznGBGucq8DbaKFET6QOJnb2fztukR0oTc7Pq
2wDfXnYevX4rRwndQVD6TiFjM5SLMOYIxnzt0XIKqBHhduC0lWkzGKq62eEEuOPkdFEP0W2ddU9R
q+90NifmPmG5tCssNHNk0Hk2WBuhg6MZuSeBPBFHfuX0gHfxO6YL3Jh8bxqz17VhgImyJQrb7GyN
2XpB1V37SnFuGejNgX+TWVW5n6w2uDA08zbqhrdcw+7S3NWdri+9yrsOwpj+lx5dfD7Utv4gvJg6
lCLeNlG9i6aYg5lhnJBiXrIuiLY0VW7KFiXBqEqo7UEELAIRm7PQq+fT5CMyTEL2fIm39szN/lHK
4Vg0Gm3O4wrL+ptRCnsl/Ph2DsIz9/rHqh4UlukhrYS+FnLaVDk1plGiXfrC28YU+qADuHQg5W+9
T1uoMdDvFkyMn/r0mKb8Nd07Dm3XLoY625MQvcDPeuRvzhQWGFwBC4u5kTukOJAw/MOa0PLsJsQO
LxeaHTzHEQVIVkzNniU+z1qzS6L+ufGGzeD168nlWzDcl5biAoqUtSVe1JWh0+LUGrs6KJ8mhyOa
ZBCOC92+cGV34+oVmOZxANNUG09RV+8HoNKp1lND6ZqUwgZgwI1rmXvRcpr7k9UP4XK08q2f1+4e
9uguTJxt5CaP+NouODveOxDgFykCfxuaK1mmpzCvjonoHpPMvK0jfhdZ2X80Mz5qoj5FvTyPadbt
g0nvKKrpd6msyObKGx6SQ9HB5wnr9tz4YgMlpuep6p8yWVGbYaabvhGoqsMRSfSoGTDvq0GjYgqs
HMhIzD/7bB52A1x4b04uRq/dtul83fao705WEeatKZPkkXWZbmdNeu+L/IVSaUoprH1bm++NWR7C
wt7rRvjQN9Gt5TZ36GPpAsovLDvsvL37logSwZ/a4BlmApWXF1ObH7ix8AnTB+DmyTGa85cxNW49
7iILOTFq5HCzjG2xxb63ycvybCGDR477+cuW/O/dXrkv//xssk7/x6qoSZ/8XmhVX/j1aII7FTgP
+Q5arHCwKivMtwu+/gELKuZRkN6/elq/Hk28D5hgTNezJUcXA8Thb2cT94NFFR32PPIENkLsPzqb
IPX+fDZx+XcYOgqOJuRzdWXD+866WgX+aGl635wFe9Wg7Oc9PnTN8AjYx019pc3KpJ7ZxZNlYnpg
JAd/3dHAiWXzuGy0Pj/MwUTl05zXS4H7PSFnQDbdhUnDEHQzqx7xTNnlLYpZlq3ZFevK9zBrKFt9
jL8eeBiX1tEND3bp3Ht48IMwzLmWkatATzwwrwh2NY59anAefcpYceOUt3WhJuta5O10ATccv/9o
iKOWdZdUi6EMq0iAqGN9M1nsp0iYzIS4u6kAQUGSIJ7SZ7+VhL7K5hgq509PU15QQcuixAMXxmi9
2XWi7VoVUqhHa9p4xfhuF/Y7psV41ahIQ0O2wRuNJyKX+QGzCJRB8g+yp2mZS/qeb/Ojl2dnOBUL
1+hV1RcUx4cxnkjKCJ0WPh+4YGm/soptgiK9zvxQw16Yvdupvh6ZH+pFWm6hBH1y6uFmsJNgJzxa
DLKeaG8C32cV04G57rQRWRftOgrkQ+S7p97AwMjcpUDYdqmRLQm8cpHZpjTjGXb7ksGrxN5D5TeM
vvOMpo4banrAdDK4V2ODabFsxzlbpK5ZexcMmz7PXUjlNxHbdRN3JoQtjhTmnI7bLKJdoIpijyvW
FF4bibzXIwDr5YTvRbrhApCv8TwL9NJs4XndXWenwWWLj+Uwi6z21qGW7EqrWA+s5DrCCvKFS1Ip
mhqOENFDNFjlAlCUuzC0Nl7hmFJYKGQGqIktE87iKqDpZWE3wVbaWIQ1YkJDTMSnG3citQ9ml/MW
T9nKj8fH0oo+OQxPfQ3bZa4rBanGk+Ro3auZNdMyNo1nzkUvWmlYCBTOdvLMAn9RvJMiuK2UHD12
dKFIKser2d1MebIaY4dzYXJh+85J7ygmpoTvNoPDItQhqu8gnSFH9MsyAVbTa/FH3daeLGltYITd
pPTZTb12Z2nhS5um72GNoFF12rEacWca/v2Yx8dpwPBR+fIhyIx8Gdb+nT86R2rn0AlkgP+2dOiG
dL1L2hCefWe4tzHpLNIANWfkVovHWrxBBb0Z6vgyUGQSXwW0nF6dM26MiZ8l8yP4YPredqGakpQO
UK86eziWmkU3Rfvggu9BRL7sTYs5+7wzoEqUgixL0kxPVue62zigxDqJPLnEus/dv9KQmKYCe9lI
GpzbzFPdZAfD60+JIfecGB/oI3d5P3xDsaj2ZQ3znQdWLKBQ3DQR3h4j83ZOknL4s10qQ2JjnXLi
oQMJjVDSnLUpvHk3mwhaeNHiPS3jy7EhPCOZFqsVl1WKg1di9lcF2e6FxNyzoUL8OhDEhnRR7QRv
AWvStTFR9N55H7kM8mw59r20MTmYVbw0ukln0FSGq0ItcXVIVXMgbqWXU0RNa50sG2hoVXHwwLrs
sp55dNpi/s9ae2nzvHVzcKsL883JwDIG0j0lfehvg0DTNnGT3jAVqxdVgBQ0SedNMrtaozRSwGSX
uI41qrYi+i1YSTdJ1H1GcgPvXs2cAmv9Lo96DIm6E30sQw0bYt+vi4Y1IooeGZWfay/cZZb7mWvH
sG5zbpthKZYJbT5UAzaW5i30Zs4es0BzAg7/AVQ/u6dwUreODEXuPJWGqVUuZp6LF1CU8HDM3li0
hGd8ehYXDnEa+GDVcu5qqP3pZUjgxiB4MxLA0VUSB1DnIZ3lmkA5I4vWuiZ4c+o8DWOXyvHEBHpc
gj3UOVMfprI+WL3EIpq7O4MYEHWfh5RYUKzyQYntOnw38xNTnlNTTQ+ZBdxmiK94HngTCBllhI1A
AQuSd1G66AWCsEokcRS7zYko6XZzEESWTDHe53Rb+USZbCJNpWfmC5f/GFXaCXWM3JNKQFGLKheR
SkXlAnuV6hmmimyXE5yqVYLKIUoVxDY+LpWuslTOirAViSvqmmaVwdKSYZ9/SWWpfBa9Z3KPNhZR
FUR6q1A5rkRgWx9UtisYo42j0l7/nsq+OLTUsOPPT2W3RV5kmNN/ThGrr/p6JPuCVHP+zKJFoQvm
Y8UP4bHitPT1SOZ+UPoNMxpHNxlX/jhz4XjHrIWJ+n+xd167eWPptn2Vg3PPArkYFnl5fpJ/VrYk
SzeErMCcM5/+DMpwb9td1YW63g00Ct2uVrLItb4w55hsrcGt/ZNxETrpX0qyT/kFCn0DRTMLcFuK
dTf+U0lGMmhGxl9CwJeO6XO7OmpcNjT9a8PTMxisOtU8SPeQN3AlaM5D0IFKChoMJ8igv5FHfCfz
0dkw+PKQeavMf+JvvaIe2qE+MyoJQV4wRyGy2AusodsSAPQ8SuhUrSAuKK/rA0wnV1/iK71TDnnk
XLTpDPOZKJ0+YHA0zEu5kS2+yjjxF3bDUu+8brRKt1SW69TqQRHH4y0IjicnBneNEutmThVtU1bK
FyUi2xShDMSFmLj6wAJD+BWPy/OIhZYssuS2bdAWNXXrajk2aLXO/GQpdjPO0Au1Mtb7x0CFapwW
s7ociv5kt8Fb5YynGPO+IJ75xiCElesquBgNwMqhYPHSmH5LCuVLM5eMuFLSENvmIRbqW0iIFegk
vXatLLufpPLWm4DEkB3tV1XRnIWRr/EzBGp6ES/VC7LudjsEkKsZzOVuJGpzVwByDqaoBhGd37Px
vWr78Tm31oNLivNk17vOSMsNuX3FBn4mLtNwVwcA80SFTG1c9v2oqTS9zkNiQcJGRT0OcCE7mxmU
ndwUuYqzpJjOdrucx9ZWfQDWX+OIMDZW8JiinfShbml307T7ai7jabTghXRt/lHazQV0vvAcpSHI
ASPyis7yx7bvXELT9m1AcdDW4ReRNQeVWGUoo51zHK2+8oUVvRWhvAuDedevTKccuBPiMQ0fk/I+
gX1aWPJbSffIn+2LlQuFIZpljYAVFSUd6ScrPQqMFFuclSnlyNyz2GF60cqbkoCncg0LKiAqa6gj
F4NguOX/SAlV+1XJyktd+VUDICsNoFUC2MqYtZ2zkq4qkFftyr7qSvTJBTisfuVi1ex0jJWUtQRM
KCLJ2mqlaKVLg6dr5WqthC0BakuA3EoRWmUO3XQKjMtIx2Oy0rmiZr7k5gScHZy6hQGJ8hnWiVOl
eYyKTvei0CHM01pzPUUFm4w6as37VCunvm0/Q0A1TvOOWNCUWp91RPCRhtN7gGfQjcqM64QEKllM
D63VfOtSRBlVWd7I0NmRGnUDivtg27npso31qkm6iS4BCGdqgyC5u9T0zOCHq/xaSoWGKdmX3UQW
XIA2xsnkQrRfm7tVnHsdgFbdmlkXCg+N/7Md2D4pSPf8orHTJMphjpVzUUc7goQPBWJ3ixokTDIP
svg+yak3bOKLJgo5iPJHveoetboh13pGIJlP2yFHOKDHCBhipINdCtN1krvRYctU5fxCHrom2c1T
DwGcFDNmLkCCQixQ0pvz1oti5yvyUXxPTXQeKkfzljp2tlNuIVtMiz3Si0u9c17b0eAlmN15khVl
nOPp1Xxh9MlhbNB25EJtTmIc+d3SmCjsm9vmtW+Gq2QijTMxvqgxUnBnbs4LAk3wb4VvpLyFKi0J
qcn4AVL1zuyD9xruO2B51B9OaLutHPYU/pOr1Obe0PNryKvDKcK4lcSmTZL14EZGfzHKApMwweHE
SbP3s5/YNVNB2XvmtZtmVneO7K9ja3hURXVYQ+usgd1TmmScf1PBHt0qb/Xe6XBQNFeGGm7mMNln
HIBVPFwG1vKFFfOmFt1NIPojDvoNU1DozM7sLQs4bqvxdUU7lFixvbYsFk5hfeuY3QkdzdamF3ad
GcNepa5JABCGRf+sx0zFESTpBw1ys7baJsLwRlvss2PTnSyLEtNxj0eV+GNJvpCbVmHi5/TXBz00
+x3Ekmu2y1s8nNcken3okImLvPJaC6kJQMYtvPPCHRXCR7vqupP2/RT3kZubZLtPuUlMaiKyryn5
gl5YDR8JstVoUh+yvjgQyXqOHGatPQLXnkBFETcfZjj7/aqAjaZpWyOJhRWxbNiiPHAC+21h3jRK
QH+7ymit5nGqCQRf9bUsGqSrV7bbIb3FAetG07qrD09GRyZ1gEiXEJ6EdJSgZn5ntW36MOBPSD1N
KcgVX1D12sh7MzU+CJPFbbWqfifkv5S/6IDJi129pS/Oslxpq1aYciGktNfYoVLCBXr9IRn8uag0
L+BUc1zOE6rjMn4skSGjgr41Vl3yUBqbCaEyhmKvU50jKMOr1poOy6pobiQTygKR84TYuUL0nMUC
As4qg2ZPSn85Xg2rQtpY7Ltl1UxnPerpZtVRm6ui2vjUVn/KrPNPyfVP9dSfiEPFqv78VRJiaWjU
2aKjPmGxtk6UfipP2hq9+uzo0LXv8s1Xcztc0wZsctd5+XLbXsBT8EusovHZ3BFgui+3EbjNfXIR
7f5b4H4WuNp/LHDPZft//l8Rvmfv7b9XueuH/qhyNcnic61J4TRhcl/r1R+DR8z0yDRXgy/2T0aS
PymLDNK4aY5tyljdRgOKs+GHskj88akFRvAML/ATo/MPlEW/jx2x8Kvq6nRAhiDsfzPnYUmHo1mA
QupzfzHZyUU7o378myfVXtVJPz+q61fRGabo2qon1U3+Dn5+VOsA3rC5mMllV0L+9kpbBbXmNDNi
Tl2kfkLIBbsLoZ1lCJK7Z9LjZktwGlA83VIR3WQIwYUZxYC5VaDAmmIy3+gzKP6x6qphdBhFfuiH
iPUC6p9eO6vLeNPO4qJeytPEzixuwqOaUD7nQxhuErV2thIv8yboTXSUwnlDh0lwPcYskqkp7GGT
fcRYnzct6vk1yrpnDhvw8ZSmzoa9ZGAdR2XJd8E4kZustDPKCIzljKUQmKZdobqNMB4C3ZHoW039
WeR03OwsIIyqaWT5UV9XmV+i+X8sCWXwZjtV533oYA9j/1Cgaxx0+xKI/QzDs+cAnCDzQ8bAPWU/
LKK2vKwW2a5RFsvcaeU4LTVzXsKiavJh8m6GR8Q8+cquhXLB5+eCiKmDlak/lUqxs8GIejQIwOYi
kXkY8FAYZUZ67D+RA3w98AOUGaAIxCeWIARQUMpPVIGWsHcJ4Rc4jSWPA5Xgk7rSDVjXUIaBQLgD
TQP8wC6Zt7pCrJW1HQ3gitWxde7L0tY3VoGRT+nVdWE0Ea1Laevidp9x4JnDpdP30u/4Oz+jo21f
WsRD04xnYJ5sSpw6PihIgnypYY4IGaXeLgMwVxUEiVNqzm3IoHkDoTX27NmJQODnqjulwBNKzZN1
/EhhN5z51Q2eVceL33SF8FpmlqCsp/hoMWH1keUQbN5l+CocbAttNLDewaa3s/RhPxoUUNEk2psQ
ei3p7PkFzrWLoWmLbd7EN0ZpHuyoBx1kZfsyZjQZ6uo1K7u7TpPDfQiD/qNc9dBJ6lnjZH2URMWY
FGQ4zbUvqtJvQ6TOiihT31FySkBK5olCr7Wqt7btUGk073MyP9Rs7ht9OFLcbzlAADgtO8gtFzMI
BN3p9mwQ8W2jlWqGbyoC6DpXthmMFh2TfNPPrwVVd1i+BmqveaOVsdhd6TKpOTyZFtj8xTJ8q01b
MlogDSvjcha5oAYRFxZig7FPnyp+fW2no3m1pQ8Ha8tkbd+ry9MUtH6YM/qu1XqjByFjvrZQD4mp
JZgpoNxKec3PeGsyn/KmeAmBUGPnMQY1vogMCp8oEDddVrQXY92dQjHxMBOvktWkc5C3wFOWzyeH
l0hFRCCcxpts+2xX+pmwikdKBzc15V0vwhts6GfJ/x6Ec8774SZyQGALuiqCSXzgCmzn4FslCJ7c
vkF2FTbqZaqkz0SCPyP9OrJWPpWZfUx67WYhTSQTmGCy7MI0EmJ66vm0SImMGUC4Hc2vdSr3vcPy
saFMpVzazNRxdkm4dr2AH+rs8i2fAxAOEebeOWQUaU56uqudahe0mnK7zOit//PJi43g309e5gsm
wwxbXU0GvxUJ0awxULey+LKsU7GydGZfDnPq5fmQnbtcHz05BCw9ovyQV8u7VtXtTV2n6hcbQzRc
rem2J0WEMCcvdSRilG5XR9YHO3AS5ivswEz9WdLM6rZc1pBwojrKwGzRa9nLxqgH4Um72w9l+a2R
S+/GSfsgZETQh9YxpFVpBDKq1Rqz6wEuCbrSoNhpSbMTjIszUe5gAr3NWX7Xy+TYBylRLtmx7sVZ
ViV9uHB23TiXuIHjvZjId2kZcluBQq1jJLvQVEkPV9tbY+41t4qsoxo5vNd6qJ6DDulj0kz3bKCh
ill0gGIWVwa7W7e2rNklGwRv2nIZtckhHTGjk/lMC1gfgk+to83UkO5ryy7EN8PqnBHDvpEF6lTW
02RikGMomPhXJVuuud0Corqi67g1JCP/AeWcZ+Fyoj5mKNQAMtNpIPIFEn7TJPcstMG4TfELy8xT
vMIqJh5QG7J7mtZvaa3utCo3N4b2RIvo5TozblLSRs4hvS3fSkee1ZpBe+gob4FmLSwn6o3VtxPW
rlw7KNV6lnXnWFpfhZohi5yxLcMEn3OhuQmSQd+IwivkGpr3GRiCfNbGVpz0DygtGO/EdXORlX9r
RPodd0KJYEElY8xmY3UxftdmQdsep2bI48ugjz09OTai/z6J/UvcBiXTT0UInxIdmcZMkcRZlif2
pyPzp3pZt5bCtBE0X2ZWgrbiKu7jfVzdoqzmSYADZ9VbJ/H/5gUUv9IP/v2rrj/3T1+1r9KuMkh4
u1Dn4s4UghQG/gu34tcQt/4qHEnczjYfrUA/DJi2MXsipskwLbuqiEu3aJavpSLPcWdAG85XgdKo
fbMjQ3pEmd4jZhi9MJ1PMjOerCCdjlrGiJKnqSj9fpGFb+Oz8LRqsF1ZzPOhn6T+rSySbks6g05O
T/wKQLTxaxV4GSfw7K3YL5dYk7veWJVFSnoPkl0c8lCHU9S9MfHZcyl9aZtma7UjFDAz2etqpJCg
QIWSjQVTwqVX3Tq3gKOPJkLjeLoVUeEVMX17rYeEzDhk1LXDR92OcPeq+NAYCo4848u0JI+Gmh7N
rkTdnFKsxQGQvqSLcRX1yGuXhHFD7RVzIDwdljUXTMopqz4OKjKXOMkv7GjaFc3oD8HCE6z6aRcy
IdQr7JQMjaolsb0mCy6q2kb/K1H1ri7XcLqLLGaQE7PRvkM2q+ud6i6y28E2QsLRly9WWCN+z2/q
Cj5BNwEC0o6DOSB/NvW9BIDsVWjeiznaE32HiLjpLyuLOzIhx6hBXmLX+D3RwG1ImdmFlXGWqHD+
5nH7u2d8LcR/etpGgxJDLDxtJD9dh5fKFm3NA4aoA0Kss83V476KEVqQdlE8j98RLX/5fok/IQXx
gkld1ywBgMtZv7mfvriGlbUgqEm5wAm0Kc7Crbb4DpDqPMotjvr7K8U9Pw4+M+fhhX9kl/NZ3Rzj
bYCLc5P/zXfz68X3/b3TYXMR1G7RRpnre/nTNzOrI+EN2mq6Apao40dSH5t/CCD/PFF+/hrrAuGn
r7GgklOiKIu4XN/DZu/MN//51/mnPwN6WfhLBiGb+m+/zXxCDcZ6l8tbua4ZEjcmNef3E+q/qqFV
QfPX+6mLl7f3P2PdrR/1r84d9Q8HsglbB60wvPz/6dwFQmfDpHenYwPRssbZ/9hPyT/gZSFoNrhq
kJmsGugfnbv1B05b9Md8gM7M5p9F/uAS5fH6uauGo2tLOHSsvFRC+dZv4ufHD3vP3IpOC68C0j3l
nOdsGz4hjw2D2+yxShlwTp3jLfF8lMGc74o85Oru96qmvRvKUCO+JdhXH1u3lNkJOBdQLSe5KKJB
ZQ6n3KznNUYZGzFFniG9xEAexI7jQ+941Ug35KroL7segLs2PFlZ/qElqW+iEUABEz1bDngdmocH
rnJ1X1C9hfkYuDIwB49vu9z2PU92jGAh1MRTn8nCq2NjNYoaeFAUy9hOXfAxjO27nuGcWLAo+XYJ
E5cu665Mo5spLF4WdXxQZqI8HSsc3NKko0uxS5jkunq9hYynctAntbL8BkvkNZLNZY6tFjYJP2Lf
YE1pK+1ayfQ1ovUC+90pKeOBtEMws20srnHnXKuFTrBnDKFhtLvJzagudpZRsRVpx9egTVo309Aw
p5GdbReG816mJl+GYb6Oe0LUdLWr+ZEyeR5z567NA0pvDfzs2GyTzMg9xVlOUeYco246wTFQXTlG
LVmIwyHUQAWHJQsUaw1OLXtT2SpxC6Md3cZ9m5bM6LGtstSXCXk/nX4EeUF8Xjq9Kbhyj+EQaTg6
VUJg8sTe6aOtAJDRz1atHWrDrsggCYKbWSnKTVR3znYOuU2dLHc2oRJbboEy5Ka0lF3ZkK4US4rY
+nlWq2XXhsREZlVEcxrKmD7A2MoC9aURDPPeKgI4sPXiS1lI1C/5a+dEuatJ+rZMQSGbFVyOUx48
ZxJiRNhUF3FazR6fdPaEDWY+xoHDtN+PA63zhwLNgBD1GrTHvorMKC+ZTB7IXpqXKlr9fYPE0g37
ha2Dqm+qtseKpBhAYtJiXZSujv9EDB6E8QtShRzPnqz3pkJk0TjaZTGyu8UulXj0dJMXDnEGb4a5
FLLhuyLSnwe5yn3poTatLbN9106Z24bjnQIo+hDQ9UkD4c6YBzBqwwKcfz/wGDuShQVmIcw6xl7J
zScnEd/odqAZTCy/pvZCyRXkOYpdb4yRtOSo/obGCe7dKGt0TK0DUW1eOuOoQbhj5cDDG/tTg5hU
H9+huD5ObMC2IrVLhie9SrLXtJ31Tr+WY/40FlXrBTYz6qBFBlOb88NEv01nRALNFK9eYyf1ypKl
DquYR7vsxx22YXC2JW6eJoY1GIXWiX0HZmUbfc1sFl+WMrhqrOrcT07r9WXxEXf1ndCjQyHs02Cr
N0uXnJYl2gka50iJLtSE0KpyTshozBgH5Y1xi8l18DQ+75bVz8nWmfrQDB5KGQpogXzj4KNZN51U
Rf2wOrll370eTeQjrImtJG+8iLXIq9c013rqxk38mfBK1Ks9hVPQk4rcdY9FSDbwdooqAwK30pR3
OtbqB1rZkcmEqFKEL+3Q7NnEmM9hWprHjuzN8BqhVmgfuloxnoMQ1fpFYsbpLidI2eud4FFjMuGb
k+DRCMLMD3he9kaZDgjm2BWMPHe+WdH08xQ+9Ua/X1JQK4wJ90QpBlCwkeEBYilInw5ubLYWU8H6
d8mhhJPVdp1ZIWW2xgmXVzHHU5oJgpCSj7CRN41FKpqC6H6O22qfwdN2ZSVvmfEwTxgearNctrzF
OztoHrBKsldTl2vHiE99OptuVakvLEMH8qxHcqTzW41ISgTiQbuvMwhTRRtczakq3BnA1EYJk4kQ
zFFLD0W5apr14kWWQ+TrAgqItOJznCbfhD1yGkzfJkwARY2Ma7HNHQ453sNsSNHx4cGYzmQNY0jZ
2yRtFcuObmunDDYufTPeDnPyYenRcck7Gmod+ngW+xoFG8i1YgAFUhOKlY/o98BxRgGnX5Pn4bZg
oUT7hFQwEbHPdnXxZiPf6YOqufmIw0ZY9W2cmNhAG3kOqvq6bEkmrceRaTMRY3UkLo0I/44ZKluz
aUDIyOIhhW5Q5vWlYgUF0dIWnNbhNUHfuhun7DSy+dnQk52Cank0a3vT4VmdzTJ3RWcdqwCBVp9U
29hRD1VrPzPNj3e6SqiJpZSsnfAuFnqsu0gP0R8hvWc0JZ0Uaoow3q0Bs9u4cNjqdndK2PJtyIiz
+D9O28ZqjgaJ2W4fAwUnXRS+i+R8hpuTDuzLlfguC/KXupcHUfNnePCHUnlIdX7VKlGqTV92HDfY
TrTwPXGcvYkStlT4t0Flf5CD+la12ikX/10H/d/vDrk1xuiv68m7+L35s3py/agf9SRFo8oQDjgH
CibyIKnnfmyChPYH+U6kkH9uSJyf2ckO9SQKKMrF7xwQPuGPehKGIwArZiYmsqdPxtU/2ASJ9Vv7
tZ7EtrfKsah4qXuhYP1aTwJlzyMA55A8IONugnxJfEt7LsM31UENTYpQYxXn2EbQF48OIakVf94I
eUX28VVfV1vKlFtuo+e2XVygRdOuTaOvRWPu6vW4Kmw0AjVds3wiZbPaZNyEi0xPnQndPmy55ERI
mvxUfCEpCHObo2ZuzVHvqXH1xMDWs0xxMomJR7DysqwpxcnyVRhoH/OpO0YIC5wpkehM4n3b1xwR
xfIVCcF+jFLSC9PuepIRE7PifrHLMwjFr4jI0Mqa4kMZC3w+/UOK+wz0kbltHGW7yOWaUFyAwXW1
q5ykp1guPDvu0MgHOGJlMCKEX3cqs70JC2Mna2XbtAMHVG4/1CPs9tWIdFh6RsxjYJwShMgkNip7
Uu4xPDPy3vegE0tjOgii7sfKuh2r/pbTrbnPzPklq6oU1xUq4Eh9hIeJNJxDp1KnizCtzM0YSsU3
k2JPhjoC474/GUZ7sCDjo1EG+aG9wbx/DoP+frZNvLkGtI/FHp9TtXU2Wa1fZNJ41yXJWY6p3X96
r0cVxYICxrlrmbvM48CEfZr3zAR3NmF7FZiWvuXvLAwzeIRIJSxy95JuaC6ZhmiRH4DFgzPF3uzU
lTEBh0aldofStkO/k2gmNDoDdFKl2khfxFSLftuiMHnhuB9RH9A4eFaqTvlm0sfZcOF+AEfMkEuF
ETTaynAwOdU1U3/9tYjYYuAoZwaELH8jBDwtfVS9cWlfrQBlvJPWH+BsLII3E28uoEJJjSMYw/et
XCrGZbq8VCJu805UfA5aglKJvmaT8VTYE2qZabir+jQi6quKPQxCb0nVfoh5el+6Zt4MMnsILYNH
AfOZOhDvnrbi1DDT9ZOx033DHK4nAbBSd9K9ETVPdmp2WzxumW8G9hM6VHIeDMaQlhzfUMStJtSR
hUFOt4Y73Qau6dCqhcplCMLGK0Js2FPyZmDON3OelyJEzbecLEZtSVndDHoS+VE63VcrV9Eqw10W
UXMYjAxC7rMAB+rO5E9sbXwMl/omDkhSN5QWGdtTYZq422elPJGMsKyjV1wbqkw9Ze2eLCtD3B/R
4jQTwpCR33gS1bf9XIaHNAKqZhWXC0GeREV+MIXGSWYMJL7Vc9q8fh6n/9vnFACZGZP99b3y/zI4
wG8vv0sMvn/Yvy4WIFJ4AhAL0Ht+d1D/62IBgyiZp6u6LtTV9PzzoGIl5LP4x23EA77+qx8Xi/yD
4QaSV3xNCGAdkCf/4GLRVvXDrxcLcaMCSa4mLXxWlCi/XiwU57XTsxO9SuKuOtqZY1w0xXSyiwz7
c988WHnukXCeImCU2fIelW2t3PTzzM51QQ2pTdmNs+KSunS+6ULjWLZ5ua2zlsD0hZdaphAE4oxF
jlERv4e4/8DiUKUnRhDOhDrkNR5qtrOyyvq7OayemAnARyI9ZyO7KSZ0Q4AUHiZlOZow76PAne05
PvZZ6kEYxXukNB+hUyxurKgrT67sN5GWOoeMwfhDxXV/EkSlXNh6Ue20mINDjwhUJascp7QdMwlW
VNZsK0GPLDgvQ0dEpcomqMEbmsqm8+tQc81OdFtzqi5tE9/joINKH7Jl4pTrpm0bFeO+GdtLrUX+
2xX1U4M7aNZG+FS0zS2aXCM8jQtC2y4hBT0O5hrHgu3S+vR+wW+YYCCl8/li4UcwltbzvCQs/uo1
dK9Xid+zo1bbO01/G6X6nc0V3B8qToDuJtbIkDZJ8EOoaO1pJtvizkIs1WyiPpADVqvA2OkaGvoN
MPePNOjHw8pF27HMSL0lL67npL3kxj9ik76sVXGyO2WLSeKo5JZXLuG2JbBWTQiUiau3sRC3cec8
/ffw+K5RQpP+14fH6b35M0oqH/Pj5FjFSWRPsBKTJDmrK5XhXyeHCnyBk8Fkf2wBIGT4/GPEaX4q
kAxHY5ZpAwnnBPtxchh/rCNPFPMrtpDRpPFPTg7Jd/brweFYyMGJtkN/QaKH/K0ilVoVgntZukvZ
UiSm+JdY/q+KFdKCHdKQ7Zc2CMdtXZnIw3miDeWYt3Y/O54kZvwpFlofXEVB2TOconnOyY5ORtXH
T9XL68pomvG6GKvLSk/jL0ozYkmJ4K9hilnaGzuLkmcmj8vNXJCvXamB0PzQGctg3hRlFnvCWKJt
h30SLjVSIZz1gZJjj9I6mbVPOeukiZgrvDe0qXpvtTGs8mKKtWOek4B1F5JRwrFVB4mglQ0b0p1C
1SNvL8Ri31ke+VrJTknn2h/rQCPRGLzlONULkQQWjf4Q9do+dWZr8fW2RxE8C2eZwNLpVn1RyUBZ
fEQ2SouifLEu+pkEB6+C1H8XWxauA2xaVPfF3O5Y26TdXapnmAB5S7OrCdG52NUw7/w5JB5pGQ0H
ASYGqaRBLVnKQ52BvvrvHuJ73yj+4/1+nb28vje/X+84i/moHy/pZ98IJxgIhAlUBafx/7yk3PzE
0LAdQmPIFoDtxY+XdAX8w/Uk2dxhg6Gu8NAfLymZeoTkrE2e0MjNo9v8B9c7Yv3f31KWEJpG98p7
Cg7t9+t9oFMwOkOOVx28Uhef8WM5zLeMjZjkOOEV/VryylS9YFynf2FImbiDrgR3thw/lEjdInA1
NsvqswuZW6ir8y6XjNjokL41qytvymSzYTd+a2Cp36lM0HbjEFywk0DSW8lvvR7fWcPyGK1+P7E6
/6A/uYiF830qK3TzuAPz1SeoYxhcMnHH14KnjrqXaJPIE6u7MLEhugS8KV3q3LOKwS2Whm9Ja18Y
WBNVY7qKSLgvOZE2jPZvRKSqW7ZDwyZBqTIJWfo2cs6NXF2P+crBD1fPXu3qNUp5dXVHjhU4jdUv
6azOyXT1UPZzpft6Guys1V9Zrk7LoDK+NE6H29Hxel33+6olg2t1ZQKyOhBkYHD749gMsW6azlte
BiSO4cbD1SmH7ivyKwCaCWIPYx0E9TMpt9bATNCc5vdBxQutya3UsY07avQQaugdGYy58EkYROMm
JTtnn9DSj7Ek7Qa3adk8lLhP+56WqUw5jxbP0kG+4FJFj3ODj4NgY9O6tfkbCqCfbJSSkVaWXTY4
Xa1Y/ZZOC9I6UKUbsm4W/CfjfY4/NsEnKyoMs91QkCLSazAPcdNqif2FbUwBB0MFwAa4bcR5u+DA
rXDiVjhyw9Wa2+LRpe97nvDsVnp/nvDwdo61VfH09nh7M4egXXO1+zZVKDfLagEWLZpwPMHqag7m
+rjg13QecQ3Xa8yf8aFVph+sjuIRa3G1eoyFsaLkk72VYN5WsSEvCRVjU5TPemE96SwFXCZ1L0Y/
8nxpuJjzsEg3OCXP2pC9BTyRTqPnBDqUOw0LdG/N+9Lq3gbFwLIa6V9MDEhhzDwe8Nm1po7A2FL2
GxTTmD4VEiaV1W896zYIOsxFScdf0lIo1FlRi/4HETuueZ8Imf38aeFuVzc392F4KXrs7S0g/YPO
O/eUdzGTeCbQUZjGMEaN+3I1ic9j4xwCVEGbUrYTdApGPGo/Gm5fa4k/r1bzGM85wLPOOY9a3RU3
QRQks9/lab3cD2TUQJRGz8hEISQM5q4IdGYWSqg/xEayulj7O4gHAJlnZPaFgTRuHLzMThJPFs5u
rkbS7PApY1prsmNcGXLNddL8atSfysHE1LbwumURjzR7GrDTU+PGJn4rBW9NaDvTnV1NNO5RdDVF
y5voWNPVoe0hUdqqxHSA64GUhFbXLxDPeil6rUzKy8kw1iGuu8B/ic1iG9lkNnR2tLW67hCjTm0o
qbOpvM7iflsNCmN6pT2VVQtcfOiORlQgIaLZTg0u01nXUPChEU2a66nu753UgZFgFG4YjN9ay3gg
Oe9rrkqifYIaVjSbs7peli1DoAdSjQiGWEA4Qpe8HDH0EoIM2iyNsrM6Ljv+VCBEW/W2nflUKVaF
e1rxGz39mJf6vkrkQ1XHF1ljfGvaBb1QziwO55jV49826kiHgjOSj9SFCkQI7RvW21tbFGd+efXG
SZaRhkre58Mw8oYQ1G2OduTX6FiQHRieY0J5S1LSszpepplXTy6rFlYciMYayGTpbtFFHnqhHaEB
nYK+O6cmHFRAsh0qIPAQWB8c/Em45ntpJ56Ra4sfpN27QkWHa7wGfNg7IAoqQr0CR0Gd2M97UWiA
LIIXZc7xyy33ysx6QJvmV/bVyd3MisVtxnFftViG85k9lgzr17FkYKk0auWWDPhiG5ZlVb3GyHfc
kICyL1MBDbMQ91L0uRtU/DYyGbD/BA+FJ4tjYzwQxhYg2e3BlXM7VN2rI0a6xzzjWWvzfjQ3mRoq
zbFh686EPQsxMq15Nm3Qtc6zyNtOfs/H/t8+8Vgxq/+padll78WfdC3rB/2rINLwAJNp9H048UsI
IZ7iVT7IfzT8EcBefi6IsDoQTfgD5vLrIN0WDDr4B5XSSrn+BwUR0+rfCyKG6EBhiJhABkLd9ptu
h6qaOqC3nSuRMyxE97xUu0Yvw+JGV9BU+maUt8EzcITmRs8CeKD5EBfuMjhnK3HOTeGkLrE+31KI
Bqu0YRBduJ0NAws7SiZoqY2+HIpJr/1+cG6AR32wCYpd2ZD52gsYWMIN2xhIZr1Tw2pnF/olsra9
EmffzIbYvzW9JEzGm1TETCC7Bom4tcdotFcTzhq9Gd3YKUHcJ/PO1LimF9oSgSlujMyMGLR5P+MF
JZZP+5bk5EIQ3XRobPmV8xs63vjKBOXCdpqM65Sf7WkNMiC9hYGnWb5j+fBSMCu4JbqVTVbWV6jV
thPzBlcM2r7uSsIPSWIaO5UsAl1p/CqXxYG1Gj9twRylLZfHHAytvWg5hJFWsCw1GubJ+iYyBDis
Ptw2qQ6zpfn/7J3JcuTGlkR/pa33kAVmYNGLTiBnJpMzWdzAOGKeZ3x9n6BUJZX01GbaaymVqJKK
zIgb192PhzbbWPXFSZsjMJyB9iDmSJY33/IpeO6T5DYqyvM0g1BRaHTa5K3GkkMUe4Yf5qOYIUpF
u/fFCO+8zJ1yW0WD7vdKnuO4dS+qZL7OzZTjsA5prkje55ztvyD3t2rKAIoLcqYezi+F1lOIq6qf
naYc1KHfj2h1CRwCYKdYZYbWxsgx9iONMhjk2ctCv7M68pLZR64U4xPfT0SS5yW3TjxivSHLrrI6
ISEY3I4UyXIcEtfwVdWtowtFw9a/LmggIp+bZSXhV5WJtr6csDrusxZ3nmeSao6Bx07MK7V70mwl
OtDCCC8uSss9fy6VWBuILtsocNzbgIUOnNFZnWCtlIu1G8zZ2FaNaWQE3kirAyWFaosBBFc2sRns
BOQvKY4WT//ucL52OIKtxt/vcP43q+Li468PRPlV389D2bxqaLwBSQHyzBCsUf6wxRG2BtWdN+BX
McDv5yHhM+QJXZjEAuQah1Pq9wcijxXpLSM+KHdA/6jrhvrVP5+HvAuJl+mWw6uTJ+efzkNMDGMC
py47K2r9LYwxbix99qrO5j5TCeMnGHBbWrdtk7j5YG8WovLuTDWjw/MkGPN6n8cIej1jTGP32gZj
/wYR6HYEJrd2bEDOQ4iVtAt8NHf6nNTuIXb4LGdqBruvzrxBaXZZ2r7k1hQCazHeA+LxHnRZHjiI
VZMzvKe9Sk8aGSyfTframgfAQzOJXl4L5KNyU+IBMWzYPSxqYxYWofdi3hQlKVygoj5U/mM/mZi7
w+5JnzrSqcX8jpngoLo2NE70kVU40HmHi5rxfSFYartXi6s+4lImc+ZwGkSRMjKXdPyllTCehuA2
cT0g5ATkbroNDW4BwyNbb22cHpYoPHXEn6ugOrIKYpCcMe7kmgZ7JgWPQ79qWminQNXugjnr2CUT
5kdhxtDXDhBTUgXADfapXKdyIXCqR8dsFNplAPMiLg11HN52WlI9i3p8mCWZqgNRVUlWVSapVUnd
PNNJtyfftM2rkWR3T+WAQRoDMgHRH86OUwQGS6+peO7j8Yyfz1qnab/4mrmE68XFCB0itG6Vsr/R
QWuZGRSuUcK2+pTYjfXSTS+VO28MwFztrJdbnDXbrKfdvqnGvHxw1ai4zQSIjo84XN7HiYZZzHZr
u6+IBaVN5DgvHKiXAT/fe0Eibzd1WnnWmsA9G7RSHGY38AyX7fhoWztUPdrcI9wikeHOl3qycC3E
ZT5uM9N+HAtyMnEenfSp/KiXgauyDF1yVLwrltW/59zXOSezSX9/zknEsB9/hP8B4ye/8MdRZ/0i
HPbObKXluktGZr8fdeyyTZcEh05a9gvx9/tRp8PqY6eGMfcHfPj7Uaf9Aq5Y55gjmUuY9p8hhlU5
X/60sWbiJOfr6DD02Y/bQv76HyzhcZJEbZR1+om4Cw87U7bbd15vmekhj/OxAsw1LHZD/4OoNLxN
BXnJniVOyKvygn5z+yWNpCMRNrmonxM7U9WrUW0rDgUAWDhJh8I952W3HEK9z+J93c3anc4dbu7V
VjQKbDey/3mgB4d0tvg4aGmaqLex7WagWsIla9/cIrTGE/AG7ORSGR6sIvsI+MT7ZUGliNcb7MK2
gk4NKkUgLdzQeNftjUwDy4vBL+URJ+b+eTHIpa7sOhJHDYMcdsE6cb2iGJGi6e3wmhphi2kxPprd
bFwEwYIulbiB+9K3ReTyQA1449oGh39aRP1VpJmyxvHZTsO3xMIoin6N38EyP6oOEh/ZTrZieW28
k8TyCBB7Wh1Cd1qEuelSpX8eLXIlgybi2Bs5zT3HJdjTsWZ7VJW48t10DN4mWBA7PG2gz5SAaSnV
WBGqDbuuuif1X1X1Fum+9Jph6WBKUDlgOhWhkIaspMvKkW9u5VP47KEqBr7T5Uend0tqSxv7xDWw
7FODUDF5YnDL8EvgclCDGCL203uQeGULj8smEFo57odjRMrWGZZdprpnnQqm7RywAVLaPGWZ0vD0
NKYnIzII3o0LGicx31KF+NVjQe6iZrxMuWY8EjeT52ZcT41pm+uEdNdZhGl6i19QvyG7XHwkwmgO
eR0Xj8mAQM9y5L0AIPhvP+9v63v25n9/al2+VH/R5jlo+JrvBxYPUhl/JuNvyxcmUvqPA4tf4tKj
60Oo4reKwu/LeyBXSOUo8Kz7ZfsXX/X9wHJ+YYhy+RX9tzPwn7xVaST504FF2Faax1ReLGj0pPR/
PrCaus35kdeWcyXX5Fh0eL24eIUqc75Xk3obRM6bwfLPD6r+VfTBcyyHKDEZR6pOM79OlXvEdV+Y
88lcOKbMDl9ykHUsTOOzhZ16Dpwr1iXw7tReo6tCbNPJPY06ZdJ5uXVCd9cn2pkHoLFyrCX1mpDO
h84aby2z7Dedrn4oVnGk5Ljy0sEIT7ZFOoteT+wstbmeNekFVsQ21+O9MGnZqTTnwa70q1bLzqbL
5rNvCl7W8Jhxes7bYMJ8OZvudZaEt3QgeQXRWX82EyAmWSn8uTM+xjJMTsvSVy9Fx+8zm8N2URpY
XIxGiqXuciUFFDqpjU+hbrTu3FhQlhFWh57P3lqrRmh4DMR+GtVeTO2CW2evIbHGTvYxVAO4z6+K
hpKQKtTjaWMLcupjumuKYj2F1DrUbeQ3suiB9P1RFxnVD4QaAlkG4cgtV5ASJ5BFEe5o3dayOmJ2
KJFQsNyS+6RYwqFhopBVEzBWSdvJ+gnHdi8t+ih0WUzR0lDRhs5dIisrYkXfGXRYCFlmkRsTRyf1
Fi173xVAVRwIdF+UsgSjTqnDADrdruzJ3OeyKsMIqxuV7oxJlmhEsk4jXCjWKGXFhkXIYkXIF/GQ
/o24wImwRFRy1EFmrExaOhq1KLyhBvLeyQoPV5Z5LLR6RLLeg3hL5CudCgh6ZP29ymYtP6V4dPdW
r5i70BEjnBsn3VeO6U9SrBiYZ1eWZifbrgSPu2vasERmIvdwUOFohTwO1k6QuodFQrZUaFsN1K1W
YGoScLgMBa4uEtK6jXpzPTi4/YaiPBbQu5BXPkuWiLBWx6OYhqdKgr6sJX7oJfor1l0gYNDAhhYs
mA0frIcTlktgWAM5bJEIsRJXVjeap0LySgPloRuBjRmwERIN/JgVUgaCHNBz6ZoxXJz2C1WWttsE
dlkmIWbC7Z4XqGaDSO9diTnL4Z2FGuCzQSLQErWO143EosVRQXQ4ZfxWkM4ApzETnQpIap282kbY
anEQ3+OmZ8ZQQmp94a/pcfVAM4KvhNm8aiSibYDVpqjKN6Q9yGydw+gLzk2VYDcrNZ67aji2qv1u
L+1xhgC3QIJDPOLaopNnkpC4osm3mcTGgfI86qzuyTaLlaJFN7A74RTDmtPsu1RZG7NzrIDQuZJG
F0guXUEIMx5sMA5pdg36S/GwArIAZ+MsqXYFeLuI/gLPAngHcN3PAeApirVb2rEkQg4bT0hKXgOv
IwObh6Cyt4f0zADPcMN3XYOvN0jSXpovz5RxdRtMl3TX4G5BGs8kmq+D0dePy96F2aeZMqetqj5Z
Wxc0VHLbZearK0F/1OWgFNb2Q6gQJFElDhAg8rTSaf7Ka87ClSvpvG2hzfnlv++EX/chXHZ/f+My
4HT/aR3CF/24cjFTY11z/xDO+/5GkLcx3Eg0CPdX5s6PNwLFiSrbTK5B4Vq/iuI/rlz3FzR06WFD
XPrVJfMP1sNfPu+f3ghcuUz/bIiZy9Hu/5zbG6qJmF4Y6ed2ItO9TMMeuysZ7URHeyKFXupk35tu
fgRHqhOMMt4a3bnoXLANpkBATiYcV10THan0o81IFCclEaCtGbD9qR0up8Zqfcyf8BPLnlxR8S2K
w/WcZzcpNw4U1AORwpu6Il6W1PB06fVoWVBqF0WemoSSbMJlTLWZm3e7ZQzul5LGiDCyKf8ANW7R
t2eG+lkdrbXLhtpGZUzNhbKTAa54n+KpHUhgh7wTNKf6xJJ304+heSjCYFvNzauDM9htF/TJHPc0
UJEVCCBCOUZegJYLPDGx0LGr6GFU++d0Ggwqf6IdimZBuIsFbh5B6+1oUfDiSr9M8/qQpZz7Y9N8
1iTeVpNSothlDh/3pvLGsD4n5oBDNYd/3sdB6Ns5pbZpxH3uijC4bC1ufSjiC13dxvLpaEMKYNl+
W2L+cKsgj661YBarqG0+Imxvp6TM9qaraCuyRPM2Klrn3FJhtrbtke9aHzE/UckO4xcnQBLCOQIu
a23jganJagZodnBWrkWIbrhUhKNqScrNCxCG+sjpFed6uIZlQ6Ren+gvj2N22lG2wAE1Vro1mfwI
lOUupwTTRxVjI2K08YbHZED3k06VSN5pXH96vi705ALr3pFc1jkt1H03h4sf585nsCRgyMnCrRUA
z/7c46mn+JButB7XhUhwF9SGCiekqeFrJBZPTx5AW1cDDZeHTYUhX41v2Jo4214ar3RVJDshgsAf
hkwnMqQr1zxqjFW+8H9aT5iwY0tYG4cz0kvmEUm7JMYMIp7YSprGB7Ntx22oRXez1l6RZiuAkTvz
quyq1zJrW6RGCwESlfVQuWyTQkpCYavIP6JYI8bOoHJfRKTdYMEXu7kvgpU2ERlCWVHpMYtYzldE
sGL+3BE3QBQ6I7udaDSQiO0+fk/z2MZ/aAfrIcyVneioezFJeAWFS7AP0TV3ufl59+crx0j6lQKd
3W94OXvWkFjXizpdJ1N/Y405aVItocon07JL4pndjuf/Z1csr506YBWrcJxkbkYJhooKo08wnJra
2lsznSGWYg8kuArjRlP6B/SXTvFF10/BNtIm6urivnob+a+yFwXdIMIY0TpRTS5zvlOVEewdiT1P
DO6hyDXYoiOWFhepgX0ZhEGblFmXheu4KJSDYoB11vX7QWoHeGPvcsQEOymuRrv1FMU+teZzgOTQ
E9Z7Imz2MSJGTFKVKKQ+QU/pSAxAahZSvYiljhGm4kLjd4uq6DgMxicdcOw5luxELSzgbtd+WKQq
EicL8ak2f8fMx2I3z/clEoqJlNKbce6VUl0ppM6SxgQipiFirpthlw9SjyEAti+kQmO3OlE4qdqo
dX7ulfA2Q84RyDoIUJyCohp8G8knRvqZUnp1WqkGDW0ZbtRexZ+rM8eiGDFtkDuTKlKGnAQF7ZEt
DT5dxbjCieKg+KA7OabJPym1qF6qUhXyVJ+IXcZkyLgZbBKpYNEFjconVS1lcv1uaj5aqXeZQ+wH
kWZ9Q0HJzTWT9KnQurcSmazozSc0O0ZvBLSkWV4pOmpWFIru+J/ONpHGgIRa7meWfRkhw0VSj9MQ
5qgvJI1WqjultuBlUBEkNTwlHq9lwSErGh3CRPbaOTDbkf1U5D/FqLfhGPl8TxkHVf7afIkctiQt
MPM2thGTRnK25bzvciNa93ZGBiS9DvJA4S7oqZibj1FHKYKr+FQK3GVpuI6sYmf32K/6PAaLyIJL
Y4gugpayl3nZBY56QWe2I5DQWlj0SBYfQQ/rknuMyAuBh9a5iiWzM7SKGxHDEfp3Nvqajcz/dza6
67OX5j8MR/Krvg9HbElpEkfEgBqA71ea9b4PR1JGsuET4OyQDW2y7OT7PgJygcEGQ7BFFcBzJPrj
+z4CMzCOXwRvilJwHP4zrQi29p/2EfzGLnEE/huQnaAf/mkfEQZAw4q87C8xbUE+ivvnZia+CVSZ
Qxpw0txkj5DeaScqg1PcULxmqgAMeONf5W25t11+bFtakjn+ar9VYsSR5DTbmF1KLb4VIn0fBC5F
pRzsVaKM2EFG7VQuLOoCYYVe3lbnYhKPIzXBhAKeXFB3WI5dYxNILqyrLJuMs5A9BqwbjX2rjSlk
FVfJg+kUz9Vc3g8R9v6STDEFYdZDU3dI9cVj5yqPvN+PkWVTlB2fhjS6ICT13JZOTpm8fdXoJra1
0Fnn/I+t5oyFIKmmQ6+W3wgSzGsj0Rf+tXMKeWzcsdy8n7UK/lY3bgxj6XwtwTlE/WNGIs15ryNa
kFgCXLRddjcWrFUcCrnM1LkpY/e9bt0rUlozdiLi1CJMunUw0jpdDU8iLd6odvgW1NoZpO0b4ysp
+rQJUd9He9fa+VVYubtYMgqS8DnTumFdZU4FQg669FiVb6PqngjFdX4+NyPwKf0rpMv7vx4aj5X5
BYWgh9oILoqQGu+YIoy5HDeiGQ8hKdVQM2/onfrEQPZh582dHofbQF+e8nDJfSGrsfkmuaIhADeC
ntZEArkLaOG1NbSnyJ0+s8Qt/YCFUCkCAdaNN2UutEcjNG8MsIgk+NI7I9Q+ObEG+Mvyy82+3xh6
/5QzG7RlRILKtDZ9x8IGU1OyJQP1jVVNutGq/lKLTNoRUg7JrxS6MMhILelGYKcG0yC2dRexgkmh
Q/QV3zWmsdHTTMvvDXnv8Pa36AmE91Yd44DRdcnTkJIeLOVgEm8gRW7Hwtz0tVGDlQ1QyFJEPdFN
4GaXNkFw5yfOpPracxZ+iOeW72GuVeF6bJZbPOT8roUDzX3YgPW7XRz9EI+su2wtY6NQM/tSRoKB
tU/fCE8/ORQ+sliuXoVacnqXAVYCEuyjiHdWjRhIIm4n8Bv6ip0WnhDlFtDbFuxi77VCYZ8QjfNK
H5yPPKkvnKkcGNCTCq5CB9dhJpYCCwEQ4ITbkOWVBjKNn0ZESL17hdJQ8UhX0Q2XarmCdKMdjSIF
B0huNtxnmhvpfpqOjxrujWHdKG0UP/DHEHT0G9vhuLZiU99YQS6KOy4iuhmNrlr0FbaTNoINmttX
LPhj62qu4+hKr6fwGxPUus34EVrJrfplxWCZdFbvOQTvBGTcyHbD26gWihe65nQtMgUvZR3r68ke
dHPVOxkAYsdq631vC3APdTx9CRF6xq5shmY3ZtdlaU2YbhJde0pHAc4wKyrakinQU/3Jst9ESEue
xxqSFg1CoTSnYIgzzBoMl2aHd+IrOaAFQxjAZ1+0yK9FbgXPqRlHxkloTa4wQE595f17XX5dlyq3
29+vEiAafjTxS8blWCAEzfv3//kt6y2/7seFaRCug7DDHfdlKEPR+3Fh0k/Kct/mPtQteV/9fmHq
vyAq2kiVrBPUL4v9jwuTrT+tYQ7yFSw6Gdj7Jwv8/0B4JK4NN07ydXGcYdf4eYEPQIMsnVLPp0mv
KlXy1B2bAAhP6U+xgLyDRNvRYI2xKxb2ggOZjxWYjynhQ2QZ6U2gRaPvUE2za9TB5gNtaW+haAFv
uAECenqbBml+NadoAvViaRt6WkOypQLEtGV9RhXOTlAXSAcFD9Go73UWoHGzZoMPwzZXzYulb/O9
UmRdjb85LWArWnxGkyTE0I34wXjvXlDikh6peyl8GrvnTWO61apj3bzKctbduas2K7q43EtjmA98
Gi6csguOeZylAP7ZDYd46aDCa6RVWWHMm8kFFqN3lHTW+pR6KjEAPBhZvKkdkKMc2t8ySz1X1lQc
7Ki/Yzss/CA3SsK3VsXnf1Yum8R6GwuOqxrT/5ai8M8lSZ5pTkUlMQY134+BHVxURjLf8+amA7aJ
TmGrY6CKko8uXLRvWhNBReFs2gxWVvt2m5ECwCwF3NEt3COdS+raGoVyMKpJXJhx0W1jRFBcEb11
0dj2tZOFyW2u0hwdzXdKBdqpNAiaC4eqAitPVm5A27UjDAuw+VTuAeyryMojKxCSRRdqhOHDnpvI
/DZU4b4KhE7YPpjVbsszd8aztTSN1ZwjvncDG5j4NKtxbYIAAXCCVZl/E2qDVJORK2ueH18iM5l2
7U7RpPTMooROTqlHx1/SdEmwnrGLP4Tg7NIu60Vx6n4OqpteaKXrq2EOGnhoaNr89/T6Or30/9cn
Kw0Tp5fu4z8ZJv7olWXjCQie7BA9hvws8Evfjy+Woaamkgm2XR3HqrSNfZ/3gZgJAj0Okw4z/0/4
cZszz1axX6hsNpEu/1nv4Z+mfZ4NYMcdjZMVe4YmOEH/aJdo+xFUAwuQsyivmtBYz+Qx/nCkX/2K
Q/svHrdXoJS79n/+m/+/Pyxb4f4J3UIcFxySCLCmIb1pfzBkcAqlem/3/bk1kkNsPyji7JrXLW3u
wdU4UPv769Pz7ymIf7KA/PV3lP9Ff/gdNSpz40XNSDuTV6EmAEFvNbclH7MyLNvrsSmdw9ChmVgp
wYPWor6FkF8dTIFJsqLDtBoW1vOkudoeRo4ET1eGr7Yldn4nujDL7KFwNBzCjSBKkn66k/JULPz5
QJRZ2QyqbB0bmUzJ6PDTIod2YYV8ShiHOyO1ti1Piw39RPomrOJyG9CL4MWEDFZ20+sr7BQNi80Y
/4DjVX184wzDkVckRUMx1Ow64LuUQKnBMLZibeAbM2KqNV4HCKHUf+g7YOZXA8kDVO99ISQWLQmP
Jekf+mruG4WrYyieh0WXNI7dgHpEXLLdAjfdGpVziHiVrChnHDdK1TAmR/Op7O3l1v7KGzdf2eNS
xpAt8siJDCZTFElGeakM/kafN1N5zkLjoiORcAn0gW1r2y1+3us1xa3OhYXxBQbZBU3M+ynFBOMG
l4pIL+fFelQzlNJaUVwYO/qm0eI3wxTvmVKa69E0TlNlMMPq/pBWF10wrklE7Wc9vhKEvIqg9uNp
vhjn6aJ3mtLvFqDjoTke20E81sjemLdDtrzLvZmxB4ZmlV7GfXFVpB2SH16OJT2IEtjIBDEUlg8P
p3qiU60dUpIckM3p2bnH6gN9QRHhRsurft/3Y7fNAjjkTlzPF9lcmhs2K8csf3eV8WxEzk3bNxCV
sCPhLWw2apUfgiy+wkZ9Ow7kXqjRhfCcrZ2YjtG8e+cqhKpiJdcaA7bb56TcJ9XHNeBzy113Pf7z
Fl6IRSHM2Awb2nl8ulZYVAlgYiUdGMZVHkDqGBEhVl2WDjfTHN1YgbonZ+c7lfNE6YY32WZzVwmF
lnX6RQoMiXngQqej3HohrWYgmhKD+hB0hRS95bOKTjxOsD0IYjhJery2sElyRV1F8XAyYM/WZr6d
hLkGIOixMD22bblrwMm0vIrNVrnE+OBro4KH3LqenbCDYSha9rmk3139wYACpfEJ8WpZCFKY2byD
95ztm6zYVHHYY91RDmm73DGYRLzLu8sYpFgCPjBJBn6sA0xPvaPhvE9eEts5lXUGrD/BWECx8gyB
jRWDGQzO7t9L7+vSkwufvx/ZPbbmzct/YZXqXv46tsuv/T62Q1TC2Kfi7FNVyKk/9f1qv4C8oJLj
d6Xv+72HuQZVjnuCaYZdl8zTft9zcSUytpv8uHPzfYXe/4EISIb+p3uJ+wgFkteBVAIRHeXa7Kdb
ws1teN/gg8/ZEFOjiV2upGpxUg3KpMskoS86vweex4p6Ui6cgpMnMWGMjwnTHjkIbP3JHV6RY+pM
twO0tTmgcRXIOfTDEfb6Ei8HN+4exny+tHN9b0KVI2sCHEjaeKeJjt/e8ia81fHC0Z3zGh6DkI4L
253IquifOp8UfoQlmiFO6RCOdW3dpEoNRMjYEBJwPONrIdZG32YLCFqbGfOaRThbmqa6M6y+xxKs
aDgg8c1UC8VquNsM0Hys6oLHjLqpToOz3rQgbeLx1cJLmAQ1aDbVfqsTm7JSK36y6omeStva65ND
KhGdRim1J8wSW8euFlZ3Ouk9ViJ6m+/Y55iUPDi7dgInMjNprhDdXtmmvebdxIDB4G2m3bcYjqmX
G+k2TSeKGsJio05j4zcDm3UnrN5DQVBxUouniqEfIR9RgjXQhxVoyyVAwpe4MoMjgoXtNSZ3OrrL
Wikc9UZr7cY3yiAio2iglbaTux3H9Kia9fDNcQf6NfuyIfiWUPNk2PHaCOxyk8268PDvLWvqPQQv
Azr9eo3qg1k4Ew+rgc6xEvtikCmz16Fbr4CWRuiCZbOeRUy0UbTxMRZltmUn2N1q5rA8YBikKlVk
AViijEYIK8dUP6bpt7IZNIYg0O9Dm+dU/Kn1VWRp8d5Rm+midgPutzkrD3D0GoQuw0guAmiSwVop
udkastPUnovgdXJixfFHU6nBP4rrlAt+HVGjcC9m/uC3AS+xZwWE0afhZP06l/gRQi/9OoVIAmce
Gyuz0QqTJT83TXxU4ZdQucGf+shiNbxo4ZvwAnVp/+ovG4k+CSQExYa0xBwBGMWWiBQDVoohoSk1
ly0NdmBUVPcYBAiWqUSsFBK2YknsymKkql+qoFhsCWUpv/gsDDm2/gVsAd1SSogL+ufw4OaOs7fK
jMtPwl4UB+xLC/9lkiCYHFDoJNEw/x7mX4e5yan294f5XROzYZz/eo7LL/txjsvDmmeGwcWvgQPh
RP7xftF/scAzs3AgYsfR/9shbqi/cD4DzVZxUHL+s2D5cYi7v/D3BdgSpA/SgJzv/+AQt7+eJz8R
mA00FEQKYoNkB1nE/HyIKwWLyxoH5VWhVoZxarWeCPXcx+DamBskT2SaBkJhmV291UP+vJQAUims
uzXYTkLOeZ0H/INVT686vo6aJBBBZHiZvWFfio5EipLQclRW5IRZFg5wK+eINbTFD2cF3V0JqAsY
IlT1oDy3sPkV6Y003fEd8ke5hqPk9S7CKwTn40RNOACE5KRU9VUjStMvWTFeRh1I1i7g11gVvGOd
ALXZN69D3G3YTc9boTmvyqRuIngJXEXhzra7S/SEGkUGophZj9/w191n3QykP1VvdbN7CnHvb8EK
OFuuZ+scQgMiCw7UoDfTBk5L+AJpjG4PkxgxQcFrlp/n0iDoGC3aLZN7DVkovp40cciF+WF0ED6b
8aWFaGpQ2OI1Cr42Bl32zPzT7i4XzRMIiH05MS5CbXgqW+vJTV71sWTVo7+1rvvWaO25WeJHs5ze
UsPJfXpnF5+Q6RUGSCKE5rjLI5L4SacwhypkCOc0vsUecdlXyuWi14GXCM6UWcPhYNZOvk/UlvtE
leY4YVwp5pgda2A0K1OJbA9v6DGJrHCbKL21qcPsFNW9WDvtdG+1yoECA5qX7O7glFCThJufq9lw
vTmtnX1TFdp27ka84UnpNzHlfdWcOdvUjho/EfmwtoZgWpu9xgyQ8av2rO2acHwIHHtDYv3KEj2X
XTGi5bv1tiGKPmksxzCF06QXpiu4uSB5x2VeUQC9zxVKmhpNCbZ80AJvLIejsMVlxLeCf7J5TZTm
hov1ilrYfZhQyGhpyZZw/33eGTtXhgLTxbrvkFFEHj60JRel0BQojFq5MnvLWA01JUxOvzwVSV3R
0AehwK4elb5v/awd7xW3QwjIMZ4smVKv9SG9nRVthjeL8UJVy8+8ZTaPy+pkzO45NdCrunnSVk6J
C2EaxvWE8HCGeowzN2kcH3y3hj3W3Y0dE0iqN9NLF3Bqi5Z4t960zApp8tgTG8/ie71TM34CY9qm
MDgbxoAa0FH5UEBSQJBpqt2kaoGnl+IIrOBkYDz08wTPDJnVazz00Xou6gUqdX4ZF1qxgnlpeXgr
Gm8KF7poy5d0qoX8Wbs19IMyf6YCnVEJmxuAC2t9nhI/iuy1Y5QPwrI/sYkzwtnGZ7OIb27rAgHI
LiuQFRo7aEy8SrS2aKtfzXl9E/XtS0aDB0wVmraWg9G7NBaqEyPExCDotNJ6On9qbfOMiH8cy+46
q5QT3NcUJ27nL1R46+4weSpq6MosqOFIiMOD3YyY0Lruk3Qc29dp1EAh2C+UvjyjEAvsnfhPtHKq
KaVxrEOHeQi5VXG8LDGeOHWpmpkbCh4y661THTiXTBc+B/KROxRTWIvUFi3DoQv0wdOa8MaKphcq
PUmrGqkhaUr4RcNO9Vqj3lnwwWp6hsk7TLedWdNgmRTrbGJfXaexti4Ks+FDV/KRcCwwCLhAyym4
LCU/xOiDybMxhwSBcS4r95Yir50+Qfa2CpmimLOboKouw1CtN2HnZE/N2JKDG1lykKf0kJT4YJvJ
I0D/DoLKmG44Vg1oAtHrVJTWCj0PX3Jx4EC/mY1y2KHUEPrT+uvKGCgtJxM4ELvckiiT5hMdw7NV
3gVOcYgCy/DSOrtoo+GaUbFYaQniMx1AbG8adY0sytcOw60Jd2S3FP1rW+I6cqsGX1OhRTTa12hU
i/JJcpP7ImpiRj9g/XP5aul8tuvMZjjPJdZlIgZMh1pxKXBPkUqun5DGAvpmZhblM+wMXcNzFlEd
5Zec2cDvBPx10W3YWr/CZniEemF4Y1BsgEiQneZbvuK6a7xR19NVN7GLwDXJn+kQM6Pr484NjXw1
R0bKh8aE+2AM99GcXo/ciV6XgFGJzRZ+iW2GHgMtP24OpMk+4e85vIMuKmUZfUyKp1lh5RSM8GFC
MY4rJbXuSRFtG0KVZmleJWH1Man861jqPVkWJv+x4Wli9cUFb7f60jaXE/f/tAJCL9sO9l1WNZ4x
a3IEFeUTb/Rs3y71va7xwc8K/VGZjTMa0ftYZxs3SO657MUxtlqA3Y67b+PwTJjnzl3Sna6048qO
GEWzHhDgbDCdEvykXKddlYMx8p8iCw5s+y2eSsXPGzbhNc0CyNzOjYrouzZNTILFMhXrqspjPit9
sBfN/GIp/DB00aBR9OTArLDTlRMohzgMXxr2omEK6XRKqm1ZU1sKwOsK/Li6KnEx4tQ236pk4mXW
xd8Ib6M51taV6K2H0rC2QZVNuyXUPxMx2pyx+NA01Im1MxVQT2xm3Y6qt5UoZ378EnJWajy7qD3q
Nws7qWtQs82GjSiTwqkdzXBNE3seIVwnL4KMaRrTU9vFAaVoA7r2AATE6BpKgIze63Uz8XqR7pKQ
4BJ0Fe47ST+tNQnbpndpjY/3Has6sHwnbDYDZDEgHsPA+2X2ynSRp6r1SNeWCnc2ML28Vu6IP903
rluuitj1yjHDj6aim/wfe+exIze2dtlXafScF/QG6L8HEWSY9D6VOSFSUiS9O4fkIfn0vagq1VWq
XFcDPfrvoAqoypTCMQ4/s/fagw/uQzYd4J70nl6pi/ChHIdkkNtKh+pUDzdJyVLDkr2Cs462qXP5
Plnov6cEm69Z1EeNyokvZK5vlSk/t6DZgTvxtSdIT5fMmlxcB+QknxSDMK11312dLHXL5yZQeSPy
rOLdI6QpNEvzyziL84A7OXB+54scvT3LJwHL1cDIYdVhsCBtndziOakque0mYW59WvKczL8k/qz7
yQWFAZ4Ym77UGPKz1hGkmNF5XxELRXouFjHfL14SzUGhqPIHQzAwZOJ851UMMs2qOdqBep6ouTZu
urBOa5s66kg/284O6d0gfHg5dkeUghIQ9hv73O+aG9/HwVt4mKb53r1jpsCSrbwpSgprp4/Dp3bk
q5sK4xYAithyLVxabtZHtQMbbijaezfjM3I8w6K8nDinRX052aIGZ06Wgd9/IbKMRPmsf+4mNlDV
oD8uuFumuXwA5VyFSnKkevrncVy4+Mna3QS9pwjdGy5aKXa1PkFYmGXPcagj9XfzU0BtnI7QZiBH
n5ZKnDFWITZDLEfTrD/hxwyJx3hsR8BEkirPKzj60o4rMw2Ut4fjx5McvL0+iXc3paTzmgm0EzUf
sl3MO/mnARlgjLg1Leo3wM+f8364tu0OO2dvhKgbdvFYc6e0usPceXdTakSTs/rWu+Z+kqSR2sEx
cDQ2+flNv1jbOTNmmE6YJOMVcTZeMLM+DhludUenOZe5MROF6ZnFbVkv7qe5yVz/qtOckf/h4LoI
Z9/dDk6r/acH/cXAtzre/rwHDU/l/7hi7HL6fRe6/sHfulAcxKzxWfb/Ctn9oQu1cQcA0kMA/Csr
4bdGlNUbpY1D7cayXzfXTdGv08S1RwWSCRTBdS0mkf+MsEuv+8OOy0GRhzYBRTUCIzZ59s9btD7m
DloutXlToyDVi4wYXW7A4xz98M78wSrN9D8OLXklJhNLxqas/izcEN5PQ0st0QsE1YW6cRy3OPaJ
7tuRswyrtRnCmEl3oeEvCo2+uQ7m4aIrWpBLYti2ksNfVejMChQF53iLiJHnxrW1Zu7dnGB8X5T4
pGTLst9PQcuuToBUlvctD7g12/Km0WmODa/mvOrMLvS1kbkiInZU5v55V+GCxQOxrQ25QK5yUc8X
9S52xx1cRQI8IC2EklxfqutnDX1EQL284WV+Sm2o7OPk3OPqvtOqiabaueozHcSTYinmcvMXwQic
q0qYYxmPcUIspg4AKzRTcj+Hsb910AQqe3gOfHEyE+81qeYXsVR0yBwdYTlnN46Iz12vynYQNw4u
a/u9TAWfkBCPjZscMh/zWglNGz7rZ/zTxW5E9cDoCjJD2UxtSD+KnN1uGFX2y6tBdicTxPza9hkO
rms+jfDxzi1eB894xPR22Uzsbkj9vfO6Yc9E+5C4iYZnQlY8UYvU3L7GVWE6pNi0JZY3kvC84DXo
q0gnb2PomJTKweYARg+N0x5PpcxpQId3f4Y+obvOpTYOzlGvsWx0jUu4z3xlKsrzWdpQgoxsVxjl
TQdAdUdRuF8q+5J7N52bYe8D5JeI71GTaC51UtsFr4zByU4r7pp6mUNrkU+ZayzcyUEMW315L9Vw
NBz4PcLSv+glHWCi5qcyy5z9ZC3X5lS7SP/zcSMW8dUoza+mKs1tMRmHpgyOHmCUbaHUHmHIbYXF
bfIa98KzCPp0y/rLkrefUg89SkV57o4FmLLOKw5qsPYYOramFe+QrgfkI1YT1ZfNuMbAfPdW58jt
douvEaLjuARFG/pUQFycaWrkwVYdMhNP7QxfrTp1MZ0RgE1U4kwi07oPs62vmBqPmWPsxqUBxYMz
dHwqHGtV0+MMXDZg9EmwmowsLHLzaLUsrDGm9NR6s9+9xW52ZxTayac423SBvG24GvFPjOwEZL+d
Au6ZqiDts3JwgtDV+KJsQo0pP6E2SNcJSsUbkKgXN6cTnZL2Msn0eCvb6eDHzF9sCd4IjEgvD0r1
n5aYe+oUAO7M9ZtcNPgw+cpadUFIq3NeatpxKalp0yRNAe7NWJTG7KuriCvKVW5tpsG4Y9C0nxgP
FEuiiCvATeC2n8gjqh68Y2pDaOoJgHS9N1BQr4vDmMcrKajn8rW078kAw9cxnLUsUUvktjmlh7nT
V9uOzW5zsSJl2YfRZG1rIL/MlnbcW17e73QER3BX7NcaFlM/NQplqMDFqdr9QGgFwtMX0aAQzWb7
qe91Eiq03O4e1hF94gP+PLC1N8q/O0Y/SpzXU5TbBTNNziF0ZYCZPk4NpaQdjGd3vlEEPm3sfXw2
3TeXxxz3/1v93EbFERX/Jj5nxT2E+d46/vUx/tHx/evDk2eHYAwNONKIjw9PrrYzau6w3IzeWxsf
A51qanrVmmrzzx8HRcc3sYhrM2z9+DhBzz0rm8blxsguUvY4MDuRdqpB/s3jfLz7/fJ6eD+5BxoM
B6F4fHycrrNbZzCIeXSdc+HCqKGjtf8mwt7+o8/sxxfz04MMqa5LE3rNzbiTT+m2iMaD/tVnqb1p
Lldiw+ZORHjTdubh8coPy83VeJntnmQUR7f5mdocWDBd9CG/GDY7/ome/vq9Nj8i9n95E1a2vseY
jtn2NwTTD6KTcoCVWc+6cUMfdAWwNtIvjeeESeNW2w7hvDl7MfbT9qrbqYNDE3XO9PmWvmEHceg/
YtJfSRB85n9eSF6Ltzo5/b6KXK0S36tIvBdspE1WIwR6Uk7yIX7fZRhsntlJI4RyWTJ/k2l930lb
/wpsFEy+Y7G2+JYa+b2KtCyqSApIWBHoQv9pFflH8Br2JZg/IDSaeDnWnfmPyqXOxVmnEDejiyHO
xVrKItgaK9tFY4x5XnvIUTbayn6x8/SMiIEXuvJl23r5F2t0jBDmCBYBNy0ZUneWDve47dpoyjP8
1DDFmycE6qx8kcxi/6rTGYwD3BNWg60l3myyw0/9oMcCSrpDSLzErF5PSDKRqqIrRakf9SWR30SR
2ATIiTxwz2Zvletg85ZA6gI85S2+qxwYO8gW8a6R6svKl2bMyWKKDjP4ijOJufcMpEWzYBKUcLI2
csbigR30rBzQhC4NYAsd+oO6NazlIh1hMlvahY3r00jS45TFBBW4AvWkoTnoFMaB+AU7RQnq7vVW
u8nBlN61sX/et2m+dRMfFGwgSQGTDTctTRXR7JKCI7jTQLEfrqdeXmsFba1KGK/ONsTapiHWIfFY
5WP811omyrN4L6z+Piv1e1qUygEC2Nc3Wlcsl5Zd7CrClxLSGj5B2d564GliGVeXo11yj25SJhJJ
Tg3tJZHZ+Ex4hzCYreqe+kvtWr/DA9AtZijw69cdL7ct3c20wnTjxXND06jT6zFRMVnZjCEtR+56
LLbYHR0yNxVOAFRJVgDZpjVpmDPtkshCFK/Gughr7UdJ5e0RwbQRbDF2gECyTQmIfxoWsVlar31x
cIblkBaDDC+zmcitnEW+/+Gr+Aedy0+3iDXlZE3Jolp3US4CXPl4YRNMrfQikIxO9LTdWaUy34iy
Jh1jBj30y+3oP9hWk/b1z8+/y6b+AyXq+md+OP18HO+Y6M3v3fBvp1/wL5ctLsoKw2XXuybtfj/9
VlY9R6ZHXBnMGyBdv/XQFqcpBRQCUvf/QYlKB8tF8GGZiyifFhqZpOeuatT15z/cQuVC+PnAzuoq
seoFMYSrt0x0cdnaoQbqbkFUEw/mCMKCIw74E/KNS8DbUE04nDhBekcvL/11+dsTZcZjJOuXQ7Oj
WBvsPMCqte6IrAV1GSabPh+SZzUQAxouesLsi6mbFrRHaQug18FIU3ELDgz9T6phXUU0x40cIxnW
0GzLLOLQ15hU5cry69aWSmTiGyJR7uJBf8gZy4raLaOmAm4+63f1Sgc0DIZlDcDAtqnO6y6+MAAJ
zrLFZ7eyBZlG4+g+litzkJQcthgrh7BYiYTsgEjbXCmFw8orHCcgrAAMWR5haQZpyGAYwOtKOaRE
wQxW+WfrrN5cSYjZMH7q8fVsDCCJVaY7YQU2EXPZvFPu6G7dlakIf6ynn1/QvPRuGeore3F2sHn5
uhnpzjCHwKaRFvrjV82eaDlYqwwC4EAVG1+nqW2YiUnsuN0hW4mPVO0X+cqAxFv6NDgkxOadupBD
AStypUYu4CMxQu86D54kiNNtta67YhG3RzstEhq95io3m7uuU1v2lWwCyBJl+7QZfVwMTJbnofxs
sxTciJT9uaUzxS9CeiBti9j+zI6rSLQsS1i+oIXtJw78sino1j0yfK3+stIWY1eUIr8g5nVvJMnz
UNc4g5qA9EhkpaRvJUhksUzZQb81uv5sHFgVd7p4TpqZK7FwzufZuO+TKXKnkhgC2t2izu+SerzA
GhUWXjaQ3rVkJJUy8WwRHBxEgThJn4Ib3WnYOnbWqSkNeTBadAJO3Vw5BhaE1KrI2SweOU2f8HUh
PuiuNWjaTAgK0vEg62/9Mie7uHqCAEA+G0MQ3XrR26EJvRwYjSrvp8I5ksLKnTZOUUj5qYNVLSeD
VzfT87YVBrloCzR6pZ5rb1W2mf3zFKsnw5YPtsT1wfh2DyPuOpcOa11AlU5P2GiMILZWajt4BXaO
VdLjk+Vp9cN9nDMubnJjiJo5OSbSTg5d390N7vIC9f21c9jtTRmryiDPuggOmrG19eFxzHT4uIUN
+c5NzzStOdO94A1CD567pDOhzhj3NHG7TNgPrdT3LKVucMcpbKnWvY2CPvRTnUjeiZw2DFqZ12pb
omR2U1Y+Z7ZX72tjfsO5OB2KOTkMIyN7LfWB5Gk43ayqbHZ9X7/k3HV5fzJGPBOzrECHkQymek/E
g7ggV2pXKXJWY7O0I6Qo7gb9666U87Vh2CdRIoRqRHfVeh42uzg9ExUUCNeYTkUW3OU2myCXWRpS
AayCcpnf1YhzBFBDHRJRYW9NkifX8ZyxJ4652cYEZLlxwaVDDbshV4vc6TZjIo26eAuA+lAk05ub
9jX+nhVW5QaXg9NdGpp9KvqJof8E2gnuDhcU+b2k178L8nyTJjvMS/NSe2vQL4m/3hr92yKS0AVh
wP6kMU4b3Dt7Mu1j0lOwLWt4sGHmlwZpwjOimZl0YaaptzmjtKrMj2nf3ccpdIU1jpgw7Qt0fteu
1j60a2CxNRN/pa8hxgHnImcj8BDYFBGsWLXPyTyucdJuPQU+vpSoWNZgZJUQkZyN6imQ/YBUD43l
uAYpA1N+mSyilSdIXQV4ik3lW5C3JpP86zl9NtVJCSYd3hrRXM82Ft/qZZp5R41guC9Vb0bx2Dyx
wVs3T9oTA8lTmkAtmwvyXBeLOZpsoM3br4vQ30eDi6Gt3YdW8IEp6v7QKVHIG0ndIXTzbljgR4kV
G8gIFG7AcrxytOKOlxqSZXLNqM3eOTYDvWQEUbIQO44cygpZ8R6HhiDMIfano62ce7ONGXwFy16U
2alS7DRjGyekoZb6ACz70aqbZet6Ez7FSYzBr037f7Mq6cd2D2kwg5w/L5C2b2X23og6e/v9n/qt
RLL/ZYCuZ2NgUiZ9s918L5FMbIgoknUmKSiG6RV/K5Fs1gx4EBn+/4J4XiVy30XLK92UvxDWkO9T
Awf/DOS89n8fKqS1fDYQU1CIWTYX6scKifUVd4NhmIhNt4JoVDFe6cbKvYIiQY23rubMZ/k01kWE
z75/6RvW/4UtEYvIoO6ef3j3/qCm/32qIKppGlWP5QobEDQwH5+NXc9tEaTDeGV2tXEFbwjwy8Bw
N92Sn9UEm5Gh/Is3tsS9iMqHqNrlglt7vEjPxtjm1V8DZn7X/B0pPVxZGo8LQhZjP7tOfDJmzZh2
f/2M1+L35/fPRq1MxQpOCn/VT20Ih3HKZzv3V9bkJMRsTEv5OMJ6tHa9xwFL6A/anTDzMH7Teq2U
m0K39miAZwN9ctN/ZYwmabLwAoaS8FlcFlVK7ecJVNZR0uTpTTEERKAFqQz53gdPMu3Oi1I5U5RJ
zYWXkI7V3/RWFOA/vSi4D9wXTc/l2gAl+fFj8Ob1IGpLeVX3cfDUJBTYG7swuTTaephuOD2C+zY2
yk9//WZ+bOmQ5hsrRQs+psm1yL/Wp/VDte7oU2K3MqmvapIArowiHa5qCd7Uj9O/ma3x9fnwAtdH
Ynun458jKQ/R/sdHamubtBWRNvARdPutU40o9zESGnNTtMD1umGlM3HTJt3XclT1dxfNx8nj+kK5
UJgL2RYmPk6Hnx4eemeGSL3KYNQWzluVD85bUa7PwVkqGbmCwN9Z56PfK0AuJmybxjv1ZSCPKgC7
O7mWYM2m8qZAI11Xj5YAycD9YJ5PrTYCc9KWyts6QWOLg2O5kMn/+nMyfv9BkSPKsYFDms6KRejH
t093B4eM2Zi5wEBeeSYIF6bbL1hBrbfpOjlT+EQ/J37QXkxLhx6FRORsaxqj994DLmq2M7MQao98
PGXC8r6OTpt6vyy//9S0Z/8OUf8Lt5mZykof4dv5U/PnCj/TRdpbl8z/2zggkyhIlz3tixXs+nEY
toIR2O1YoZ3ATIXEUxj1XpqiBcAF1Lkou+quLQnnJcpe0djl6C/QKQBad7oW0SeLp7ir4+2AtwOw
OCFo3HBzWV+pVpPXncYOAy1aAMuHXQvZ8iPhZY7bl3dmntwkc22tciOvu+rj7qE3K21VtgM5Qahj
cjbYjH9ZWPr5RQk78wX4g32W0upeLMk0BlulpzZ8JVaRR81faxU1o1gx0O+HSz59aWXX3w+65iF5
w3+4i2W3hhma5kOXGqrYx57GNAfyc/yZ0HBB9k/daa9D5VUh0FjzCOqqPRpdUH7NxhbZZmtVxX0W
xBMG8M5OzmjTBkQn5Gij2A6uO1VNka1Et6MfNciIY8+MRk6R/rYdscJElbREOLQByY1snEm2aPoD
txpm2bUOugyJZvlpqvT03BRBe+9YvbMfglwzd9KtljffxRohyTpadhAtk502TfqbKUv1LpO2dbaL
2evg9xNzTHZTnzd8OZQi6XAc/B25HWkIvbs61Pwq8y0bM587VisrRua5tiX120Migl9jY/cl0lD0
wtVeuNRk9jDrt8oy7DCTQoeQz5VE5nOvAsme0psu3GJZyvh2UF1Przln5VyLrymEKHN5kUqbvCqF
X8FR3nwxZ3blYO4GRKykI/UFiVsTfh7SH8dg6ONjJbKshdxZNve6p1nHfLYsxFZ8BrTunY7CcUkx
MjA8jbkf4sVTXeQWiHi3ouwNMjE7RAsNbYkHGWqeyqC/cGVvcUVBpTAkPRb3wp2rpTnAUaYNQFc6
DHxccFbBFrkuM7GmiHPziqMJ8d9Wi5HIU9PGcHyZigL3QmAzqHinSq+sIolIBglljQccdInDiVmb
BSKcKhUaATeMYOWNzOjBoybJ/HdtGL1MD/XGxBMPjtynyI2T+Ky2vJ46m7mw7Jb5ALrVQsbWwias
oliOS7cLhKyz3Vy61XzAQlK1W8fE8boFWDuXe5F1mbblYzWftbZa6EMtt6hIHa907RqAlyZ5y2tI
2VUVVEcLhXkZFWwu75ahxxSa4z4yzlOVgj9jLmOm/T4WY1vfczO2znJM/yAGMa7WUQNuDUuPMS14
6PNVPFz5M5e2xlcFarBhDGfCclD6J7GVgKGrRz7OzJPUJ/UC6edUFlbghj5PgA53ruiZDD2zD0nm
FWQcFkVnhVmTxeFCCh8CACXa4CaPFfGAVtblywanyqKd65B28X3GCUHHKYOZyJjTpTkCy1NJVAR2
CqCH39sYQRZgnuwSq9tOKiOKkVhk7ZURTjMTBMT3yLwyljpbUF+MtmY9zIxQhyuXfAYG9EHXXzpD
zS0pkeirYNBX7Bl2cZYa9QtO6Do966BPkmKsnAW3D0T8BzsH9+5MUMY2jOT5bYi5nhVJJhY8+cHI
qxBJVSHBs8QRvMHupVSKyiJP8vFeOq763IrUwkGskjgiXV3H7+PH/D1O2eTTrhajcbVMrWXfyt4x
Hoxe4zeUq5Gt3hszgrYRP2l2EGjj1ZG+VJrXmeYFT7XerRdnnndyT4xrKm+m2WZSrHdEU6BbqHli
jeTQZWFdB0+IfLi6K05JEaJ+RspFGlhssiMnxOLO9OvAPk52robLfurX4jOdpxun0NwpalTFQ4PU
XGDdmVW/Brt664tfn7rifOJ5tZVxZTs1r2LA5RpvCOgpFrLtR746bQkc6LYWHl95MVAVJPyMM9Uk
H/K6M+xZMGxsUzIfUyWmgZFTyjwz04du2k1o/K1oHjtzPTT4Mm15RRwgU2CsdXJfV094nYMzf8yI
6WB+U3BdzIn7hiKPpzGJfL4Dr6HLcyRAZk44Xl3k9z53C1C3unHVBUmHDBUbGatYeFhnDZzv4TxO
mwQBm/A6EmC82dq3Jm/rVve6+UtRFs7NNEi9OXT6PBbPyq1QUkChq0i7C9YzJENREtIH+FaUmXMq
d61bBc+4tCpGJG2Cdg/dRQR1Kr3LAHCdB1WRw8s0hZlw7DmY8kZ2QHTiaIei0qz5mixabAVHu26M
7lRxIM9nhJjz3VDriR3lSHu6HSvsMeImo7pzQwymu42Dsh+501rgrYFk5q8ohIIHbaZMR33YC+Nr
T/oL3CmS0klIUSZ/1VSRY7y1GTKA4uBjYS9bEFi5EJLaX5JBVWIpRn3oe4hHqglBzKJcPpxCR9C0
b0tY35e1O9kXWq/bOHtApI3nyaxasgMdBKcPVCLyqx7UHCMcnfivi5SMgg2Bi37HXWDu7ssEUPgn
o1ksf1yXV8X82PaWFvCXyVhEqacVyZkWt+pzmujauC09icYrg09/O0ktZlAwdDKLsmXgIs3MPmci
UpSLc1W5JE1tunbU3UvbSOGHz1Q3MlJpy6emoEyRdL4gf8KVgLwf9uUkwrE0fbFffMJUNoU9JV44
M6aWhPNJt3tWzmw85KngWuNOFzxxrVfypg5qgwPWbIN855OvzBxueCGWR/krSHT0Hh2z7lSonKS3
L+0YSONdF6Mi4ubOFR1hYeXTpHHApZ9ZfdFceKJNrRtz0qGl49YIeF3TpCWXhdBaFZLRxplBNTb0
l+WasLYBjE9aeeoXaagmXT/Onc33fga9wZw2Tv8/BQBeZl9EI5v3/n+t05cvDRDdLEn7b8a2f//X
/tRcvVUn+fMvffgz8n9/+3FyasK3/u3Df0TfEEm3w0nMdyc5lL/8/b/+5v/tD38FLT3M7em//ufb
1wqeTyZ7kX3pzR+HIr/s2yGL/MU45eJNytMf5ASuf+q3cQp2P9Y0NKW0pSbSzX/v27GHQ0C0GG8G
6/7c4/H/bR/EmGK5DFtYyNNb0nB9H6cEYFEgS1MbraLLFYP4D+yD39ZaHzpLBDA8Mf5t6owwaPQ/
tkbjALujbVx1PStLelE6xmyGBy+Yw2TOUo6o+LxfioSTOh/H4skYDALwCMfJ+mO7sC6dRthzF3IO
1BLlrGyXqFBt3XSE5lqu82UCfoIyGePIEmHfgLucTOIwuUYSvAd6ZfT3M1okseszD5RDPC9LEJZt
o1z0l9oaIN65iYlyXBSKGcrSGDbdzYC/KKpMJvSR7RngS2PfasN+KIw9Mn8cL2JMbOexNLTUJWlY
HDPTYJVUu3Z/oOGcD5M1D/m7svxpl+T+otP35FUfrQk9h7SY1jPILz9nRAeGAVI4bTO38xhppSDd
ZSX1BinaQb0iBndkP/R5dCCwL0tl7XuWbQQdd7jDnTl9d5WGOLT23/OamTRDZRDNLT9j8Y7kdBzE
nqWXOk+TVpIuMaZkH8OihlLFtkto9WfUuzidSM8TYQXqaCN0JsLDCr9CJaEffGGT9II7+s2ADAcE
sEnOWorZG3AdKZN8I9j7bX0qvMXZWyVQZ8ID7T0GuSzSJYrFIvHyyHaG8qbQMSjgzwFXhnOoYuUU
+VBHSMO2TqnUmoMjiFAYVrZyldhdhKEEFKarfSYDIzm4SzkgqWiwGiF58FQMZdtEmepV3FBCJdA2
lL2J0r2p5Fng6HloUtVf8pxZszRuc1aocZsBtcWy4uBS8tR8GwQxIMKg4Z67hgBTqRSRJWw0CkM8
RvUieJq+9ams2QglHRBrIdAu0BolJAkTIIBMvWOCbuV7co+722TuYFIlqr/1ELxvltnojO0yz0Qn
Nma5W2hXItQeakPkDXoRwxvIXZW4N6a6OBDTkG67OK8O306L/2YD6D84Ni3+359Poe/fvghuA3X/
B8v69U9+Pzo5HynPfI47PvbfZc77LsfW95/8++i0WNZb64Aa3zU9FHCnfx+dPkPqVfRkOf5qyQYu
+w+OTpb/Pw3lYOiTT8iz4yBGPf+z3s3Kx5rI40ldT6VPjgYGip01pnnUIt2svKnfSa2AFT459vjC
MOa8leAYXNB45E7BPo5pOMN4xTYkK7/BdyAkzbVH/l1G19Qvb86Ke6DVPim3k5GXU7u3ZXxvDUxR
65Fv+Dxa3a6dxu6KoR3IpvQJHGakdLrPLPDPAH+escl/L6b5SaWEs9vFdVeKELLWIchYUQU57T60
9zbMS86UZbbKcNJtiVqIuHZCZU+5Zz/SsbwWo3ZSI2ETXsweewIyBKuz+tpVKKELXUMTjAbJoFfb
qJXsNwbu59WBt8rgDao4BAIjrrBwmJuntGpuTTeJGJEQ3TXTRXQDANdE7IcEBfDRba27TrqXkEJO
C+y7ub5xDUohSxRX9VquTvlz1VkQouIvae08jA42dj1/n5nFhllp3jJdmje4ffVoTCQZIz2W6QGH
71CmJdMWhA8wd7pQuPN9xQ4Mb46yD9LX861VpiLSa2iZS2Mv2ypDWSaB60Qa3jTonsmhQJW8YfK1
H4h4v3NQeocTA5BNPsO8MjLE5E6jWZcCbygjGk61wjfaM4J77mBxABbSGn1PXscRSW4WCqsHmz/k
zmGI0Z4/1cQeJJemXKpnls6oykpEVbx947KdLCrNccoULif/ndn6YUrH67RfFfzfYp/7bxHQgt72
Kztd/A8BLKlDZhvxzpFwBj09m7ZyQeWQmDNUIVuhGV3M7NFX/pPos+nA7PS1IESA4MU2u1Y0x6HW
DijhZv8hqNXRqhwiV+NhX9JOw2k0HrWBAIBBV+BJ8XfusaImd5WN6cCTZn0t6wDDEe+lJcfLKZ2b
B64AZPy2x5C6K6cbGnsZUTm3DxBZPktTd8+9woTtlKen1iBTbCHkMsoC40rzm5gwp4G0WM0xUAH0
w0EMsTiYwi3vO7crr8fGqx8KE+RvCyAcLnr70Ph92PcugXHD0nNndSg76lU8okG2sQasW818rXoS
GDUs2tsK4UPkZCYpk7R3uzmLsRbP+tsUt9suVU/+bLcEF+mEAiSYuRMiGqH+2toRj7t6LXIsovXS
xWHm9/UeMUjxpUCodiiZtW2Wzucel4JWJ4cnEn2w2KEgSGfjOrAHGNjFF2li+Zf+OJMFAWAlWFEr
3gpdyVm90CsDYulXJIvmA2eRADY3xQps+c/96BsDZI1A/PP7EVNnnOq/L/7XP/XDvcijMkGvyrKP
YeOPZbwJfZyALo9lKQX0mq72XTgWoLVlk/oD6uO3Mp7kW9PCt/JruBoC/H9yL1p7hY9lPDeib/e2
YK3hnW+uqR9WURPgJCY6+MwLBI3zcXGbyvoMBK+Pr5kWWFVFPotmYqxY0fpDej/bib0pXI5MoqGh
OGDm2LC8KaIh6O1QOpV+0Ml0Dv0JksAwNm/GvKB2crK3pZNTWFls94R0Ib3B6aQ0usk7WuQk7qO2
woAz+rTp/ozAJgs4OslCjJlkF7CjNIS5qejLMHX786FuA6RM2fNouLeZVe/dEmN3M4X1uOyzDt/q
qFdc6nlzi2XjiVIRbZp0NlmJ48fsNTDcDA4IgFjeglzcum6nHwbCJ/j+mDem3peXg700O2ZzdUgg
XEMn2L1bcfI25ATpVhrQhfmkJtMhfK2LRg1XcVnhFjXt57ZOWvItVHuwJcsQYSmy3ziWNlZDau0C
M2RrjNO5teD4N8VyGvx4N0CuMAK1N1BpyBa6iCUjwfSeQA7ixUiJJdTROvWkERAESZqjviFc54L4
zcOCaplw4Ziux+u39BgP/hptUJbtATp3NDX5Q0n2AVKdW5iL5ym+YYYBjJSc6nbkIx3W2AR9ykS9
7zVOL99tzwyn+lwTBLplmXtBLMcFA16gBN/C3hFJiltIDW38iv8ZRYz8Fg2vLf3c7itU/Btsdvqn
eYFkDnqg+GKCup7wPDN1Gb4EMt0BukyQwvHjbFCnzjbkNqe+2VTjdOjn9MquYz/S1DTvwJG/K42G
LvfnFxwpD/0y3Rqj8coaEOLg8pKN8OtcR6KNSeyvmTmdKT2ZX8u0K9hStSzegCn4I2W7g7Yud8Qt
06+DJ3ztgnXUw5zxstpygGmb+NfxhM6KRNx3et5wSHvAEoUbIBWa9cPivRt5YzPL7Z/GnkFe1dqw
JRgsF9B7946WsSdi49YaTig4dyH0p1+Solu25TAvO1/l2GHmZG9q8iVTzaHha7OtfeLpGKzj65Nr
j7uKhhhaTcqOCcrTbgha+yR6HdiZZaAyyx+pVxLG8qaHYnxGW+eHjKEOpVdQ+vXNWe2gg0lZGgyd
7wCiLN5lCv+2st9GSUZLuZBJP+dXLGzP2xXN6TbBec2GY0NBPILMJaZkdQXm/aj23cT0qk8tY2MG
5Vtd+C+L10RVuep9khersNr7RcO3jCKM3Z7pPJLDfj+ZGgpK9alL7ezYpsFxmbpzPIftedzITy5x
MOzEUW67x9TyrzWMX6nunlp7uaoqcSgars3FhaTVGvUQsiC8G0fiVJipJkO2F3kaRMX/Ye88luvG
sm37Ky9uHxmwG0DjdgAc72hF00FQhvDe4+vvgLKUKTFVZFS8bvUyQkniEAfYe6+15hxztPFR9qN4
bvpmR2x9d+NbVL9Rnq6JLDqItkn+u7X92aFaXEL/fmsD0Nu+/D/npf78Uv9mh1t++McOR/IGgmOd
zU23KWreBLjTnYJUuEgA2NHoRv3Y4Yw/IBsaKBJAJJi/SqPBjwvSPC1NQxyD8fg/Yoz/o9YCh4hn
DRmRCmBcaG9m41pIwhBgP/0cQrBqzuP49NNtufpTQPQzoldX3moc+CPQN7COoXXAvPTWV9z5jd76
xtidGTuuVLV8nUr9nPqc8uv2lYY6EQl15GU6pYMi5TuyNbf03cmqKQlrkESxKQZtk5v1VmrQPnfh
Wm/Kr1LK1FpdwoU4YTZtwswhTC8sfkZCGmhbaReaynQdRmybATfRNUJqqrWGvhYYomzsxrDxXwfM
IJpGt5lk0MgEEhSlXyt1QetxFF/pDWilWg6kxxiGKCHD+pcuHLN1q6D+1hPUN+xJBEIo1sUsTWmV
WvWjXdPRQzDBqqXrw1U8DoqjqUW7VmroGIxt8EdHz4mqHqFUeradAZYN+mqb5sWW7M7Zq9EA+Ea6
Yf87ATDUaH/lz5KMIYMO3WuWSBdUkZxUs3led7rlBWV7a8KYkeRyp+G3pWhkvt3tWxgKLtLq6zGx
9jE8EieYa4+O174yzRdf6QcHdsI2YPPrkuilZarroJ2iOLW2oMkvEuIMyEFe6KtPTC73dmduCT08
6nnFGq72p5TsD5FpSKGB+UBHgF9uf4qjmVi5JL2qfXLYmpkYu0h+Kiu1dScp3uuSftemCq23GcSM
Nuu3nE0KN2xGsomsaDelICuM2DCQT+C4qSI0+ov1WbcpvkFZySRaAjjq14hm9uNM5IjeP+iF5g6h
cRaNeAIIfEki/SbM0BMjSSGCuj8xItsV07ALKHDDnsI6s4dt2g/HUE1vhYI3so3TB4qATySlPQi/
Wxe12DPJRl5QP9PbpEva2giEmyfCLjzm9+NGmuavSWquJjN0a9/wtGQ8lgNqZuasJVRfqBGtRQaV
bvpOIMxn3oI1XqmnwPcx2zbEkEHJ4rGpXqci3lot7UKtfO5q+UmS5NvGROKa+LHXj7YrG+nnOfGv
E0KjnHAKjglStw3pTwllr3kXMoWuSlhhQKDhr2TZZ1thnCHRklxZs2mcrBHuRoTInbJToY4Wt7Gt
P3boq9YSkyV6yMvbEw/w1uKD1JWWw+Cu8gyoJQ7omZvR4jjYoYk/kO0JYkxw+LLTsndUHUTl0OCp
aFWxitCUy8IKPLvyrc9M1zmOwmkl0aoUpK0w+fRBtUwSW3Mc9RFBhpE4VqWQPZtbAbmr5NQlJQkt
kyL09NCsEcVI8qqd6QwgP8NCTueK5O6O/ZnMOCtEpNVW9aEFAFoiF9uhSINJpS2GI7VqthCa4lUQ
dUd64gCDkzLfKPRrfcb2+JhV8L56WjLMrwo6nlF6MVM5TSAXNddzz1/s++UXY54+1b72YiYV+imF
iHAlc21FkpDGS0c/+Y5pg06TCGPkHFpkt4VBfi0nbz+FQ5bfDH2Nz1wVF51RKyuLW8e6Rwxl5zFV
PZiVyYKo8KHNJeMLektpEuVQTPug8reMyFGzx245t8c0ljahEZ7kVH5I6p6wYnk/2H66yccEw55v
OA1BXYPlCybwoJF8PTI/lwOI1pmyggEWupy7RMmGdR9p2KcLbCbUzm5ozclqjqL6NFvJWVPLLU6q
a6USjbuE84EagJg30MpRzJ2q+B3qZFHv0qm/X+TYJENwQHa61GvIRlwBgc1s1pyOY6YosGW3Euuv
9ErgMdHLHbY6Lkd9XgqoXVoKxxyVdL8FtdZvcj2bNiz94YNfcQUyCO5yUp89piv2vsM0tifSmTaV
Ieh6adaOKEoaaYV5Z1TI44gr0hmuq00FG9anM5NUd8Kf7qzcmBd/O6iFjvBc0DiKYw7jup0saVPK
fb4ppoowTH7QqXuje6wjfGwjEFBOpoCP2JXCdqv3OV/xQBPSypgIZsWT6EsSmPECmNOqa4qLPJn7
pJruZZqUfUQ7sSjD+y5VKTYq+8BMst8VEOy8wk+h7XbIw0pZfqIxpHnaqFePnSgVD9/OzGSXBx17
B/ZJX3tURzCIvmqMQPYkG8c4qUPvb8+/Cvis7+Y5sUCUbdOwNYLCf51SqVnGBC2Ic2RIsUfjY4f6
4nqom4+Ejr+/Dn1l1Hcarz0nnZ8VnR1qP+qtMD9naXpqhHrPqnRlZdkzy2WNZA22HB7CbT+W69RK
to0a4s6EBKjmB1aqo0FAdWwn16Hf3VCLrrQQbQPQSXJHvxWdAM3AK6DP1lnIAce1v851vznA/PaT
46aHOKqjkfzOev6pAWBkXRG1doKYD+tCMN3JMeqn4vj+Rb5PA/9WX/M9EFoLY2bpynOPeNB/vT+Y
l8opS9A7o3dqoGfoO42RnCP7FftG3xv4zPpHlLjFdW7zDNrybrAG/F4TSWS+RhRJnMF8n7vrLtTs
25xdiZoZ/D0MRL3A+2GoCCKMIjhH1GKEEXDPVd4bkQ2pM9nGvLRcX5I2JTk7iDYzrTW/UcQqTKNk
lbTaF6lW11hvl8TASuBktRW3qDTSS+k1sxVxtAnFDqfpN6wxL6NJpJIhL86z9DTNJiJmlMSw2ob4
hEczc+aRNnig0LgObeBnShR88jslu6sY79NgDY5GVgK8F2W7FWCD+4ItTiFJmwSJZFXK6gVlLXFS
M7h9RUuPvvzSQUczzB3r4pMl0dw2B2U7xfpTumjI8jKfnZJCWWPEOuscPUZeM88MsDWNUratW5Cu
mTLuO7l/AT4YfgG8spEFxGozDU9qsdBVm2oNxg8CtzreZMSGMUCAvy/m8VCZzen9xwHA7C9tpz+f
B17IxdgKoA/M3q/PA67kIuff2jMzhRfNbjIP7kV6FlJFUnsTPgcN6C+aEK4iRmLP0hqtPpGcJn+o
HybmFq/tidx1Z5jVk1FYj5oODa7JjGrddTLTSEPt6Nzixuqt3lrJhQ5jm03dG1BjeVTXnEdYiOSs
IEDCqG6DjC63EjYFuwGMh7asnLys1kgykS+IFxvDg9srBcrZTL0XID51VH+eBkRLFAiQamwsTj2I
x5jkiMFXv+I9wVI4sAzQcBD5eOfb8dGkMVDh3RPGxBNSwnFUb42+PyVxeFtFxg2mxI2Y2kcrSZAX
54W8ElXHWbDqGWUyEkAsQxcpJluVkAtPEdKLxDPhlrb2pGjSoxISGljhc0AOQ+78DJVOGouVotcb
GT87wHYs1GhB8fzpSSu7ljUczDrmlvQNFqtlztHe0a0627hsmmJ60Qb5S4W7PTfFypj4nMQPJUSR
A0c7mrlYD4XuhWYUuxHDJ9WOrpNSSnaoc1eIzFYiJdu85EADJYi6hJexl+xr9KOvZKL7DHCWyVeM
iaxLXDKVPBVku6IIpJzaJtIqviVCd1Z6MLvDckJNuvAoKf4qUYaHoqAtL4EmCnUnCIu1mkiHjF08
HIKtpaREBjVwa50ccRThI7BuvdQf1pCmVuS6l14nVaTRJdKGLNzDHDNMslEeDQpsl4agemdWlXWs
WI4xWFd47rdB3h6CoTrmy6StbVPUliXtvSk193owHEqVzHZMiXw3ZaSgV463IZpJqaFKSGHiEWdM
DkgOn/NKGCsT89hgnUGviWld6Fvf7B8IlHCsTD4JgzBR8rGPcYj8qQfcdsCza7qNoTC8iP18M/S0
Rzg3bIupbRDvmNu65xRiFjjeTcbbpFgrH2xtH7yp2lL+/rQ/qKE9xXaZIJhk3++bU5aPeFTwmw6X
pD6BFXDeXxt+tWT8Y2VYMj5/vV6YU12wMhTFNwXF/HizdCCDR2Zt71/IWPact3uS0A0a8/SdTNp6
v15paFpwB2DZzzNYZxRWY+NGvnpnNAGyw0LimRt7HJ9oVQrgLSdraauJuGAuFDMjHPi9bqNIr4yU
r8dcs5xe6z7Btr8Usnmbcnyj6nHbRr2FakRjug3WWRs95zEQrzAtb4Iu6VdGiAw3M7qDEcsOB4vV
pMBo5Ii3yVvNfMCLc1vOqUcnZd9p7Y4cg8McTDsDfTmSzkPNto307ZCoCzRWWtpxLk3Ih4xwzSj1
d0NJQm8Kn6E1spdZngwXff9TNdr1g7q03NVGCz64q7/2W/78+n6+qSiafv76mAzkUY1P72yNz+H8
ebI+cjt88KW92ThkKeWMHCTTObJuyxjQp3b/wWPx/gXeOrMykSVyogbT2VCvGIM63CY5nNz3L7Lc
hX8+epYlOJIqBklVv96l0WzQYev8FbT01fZLO2ScSe5J+f7g21B/fcYN2SDfCDCbssT1cTT9bnD5
6e2d4igfgrmkUe0oX9jUvLt07XvSCh+E++DkzsNOuP3x803khp/G1Uu6mj7zRjfbj7hN6tJne/sX
/7zhvzkA2gTllXbAMtKue0925dV4222y63BtrxYqylrZcJ/Xiot72QlXtlf2K/2cf3n/thu/+xQ/
P51vjFep39C0x+J7fhx36sp02rV9ZToXBk+ht3kw3KPwso19DtfjNr81tne+F2zGLeueM29w5SG7
cNAmeMwPtjhoLiEhQ1CRPhF7cSYkZGPs7F1xGLb1fba+ff+jax+9WG9uoKQ2ERDsiOfSKZxy3Xwr
1+Wd4hF258H39LDvrrN9sbn6clx1OzCmoxvvUWrs43PgsvngoHC++u6n9z/Vd9ff26/1pxv6Fk4S
4eOrTcGnCne2E7rzNtv4dzmTNxdrl3BQd7touDZQQLfqM4201fvXX96Tf17+7/fozWrDUiOBgJjG
szwXK3MYDiTMn/sOvOr711lWlfeu82bVsWD/QnVNiaMhVKkfvsjjdkCpoq0qGfBZuX7/ar//qv/6
q94Wk1LG4m9UcXcOUfFN/k0ZXP//XWAZCv+0KhBIkwqRUUBBYlBj+oD2R8l1H3wxby1pUlZauTnx
ohXlucmSdak+zp31wbfy0X16s4o2SgqYAVTeeVy+lTnF1x6779+pj/6ONw9YV8xNlzfkEA3g5iNx
xsrkklf3/kU+eLrMN6uS8ANpojnHbgCCX7fzVZK2Fw1LgwmLIB7Ucw946P1L/vbvIqbcRHGrgeZ8
c0kLfYFfRm131rPXOl4nGinlYvP+NX779fx0jTcvTQo6SmIWOJ6NGHaEfJ1lH3QVPrrAmyVxTrJR
i4uqP8ss2jSjEy394Da9MYD+OM789SqKZUP56U3BbGQx/+c5pjZwKjfY99vkRIng7gFIr4JL52SH
9+/aogh5d61Z/uqfLqnQ/1NaNWSPeqQxnLOqks3qoIt+wRK5650rqGX8g2OsMpdo7WvJuWlXy65+
9VRdaYSuOwxxV1PrbHM33Hz08X67kQv04z+OLm+fnKgeZMXnpVMuy0ZOYD0u0l2uuE6y0b2H3NlD
Aju8yp8pzur76QBT/oPVaxHGvHuH3nzvvdTA4YDRe249uCzeNDuLcuOQejf2WRzR2HlPMEecnI7t
ut6UG8uVPlihP/oI5puqSBo7ePdD2Z6lQ+Ega5md+KuxhhZ26L6N23KVHc2NtJFeGZa74ya5QJ3/
9sFz8uvc8R+PpvnmOUl6LUNhwqOJzGsN2MeJllPdLnHv+t2428Hmd+ZzmzkPhEZ52brcmFedgzd1
Fe7QCTz/C534b23I3wuzf+yRf7/uxptbYkk2s6GcJaVa6RuBIscb1/N6PmKac74EO3+duNYOVYxT
HEm3uF9ZnA5AsWyS9W0E5DHd/Otw8F+V9HJr/2rxLmaXf1lTFo/M//7P3bfwJaMJ/DYXfPmpHzP7
xUGyKI/17/6RX80l2h+yoA28cDfgiDF9/zGz1+U/COu2LIu3H7M5A6G/FdKYS4Brm2AZfsjc/gNV
mvFPPAa4AJwlXIvWIBakZQX4aQ3MUzatlI9x6XFMNF6safeBIW/jPJf2XRqslBaZrYEjw/H7DsnM
pDgF8q2V0tv7Ft2OW1JMY9FgRCIV1aaLs9TJlYg4KpGt4q78Eqijojhz26FKEaLoJE+Tuk8N85sb
7MvDRtQCaaU+iV08mp6omLCX9O9O6Bw6xyBJhdmI8rn1m1eZgL1tOeTnGrVW5NIPTFbR2N1Mynht
9rG4rsosdYNksDw5zXkDLYGvxc5rMh/skuY0SjaKTvIsknUcdNJWiU1/FS9uEXhsX5VcHTuv6cnm
avO434olpykoZ+Q5Gg2ZxM+Vi6/GLEIdCJE2tPOtqaSKU3L5OUpzp0b/x1UgCc1o251aw1Nna8Mp
Nf1LXIT7MVe3bY34FsLbS0v7+yACHzRK28P0QMVQGI2biILIb5kFXWi0+7Jq2syQsrFu1ghxK0bE
ofBXMlla5dzc4gPf4t20dkY1X9VDAhdb2A9aZX4p6uJcMT1xQB3vCay8Mlr/LuiZaA6kGPYkbtel
vpM7+4SWqYFNKcHnznUTE2HxGA/pXuTR0xi3jTvZ0usYWIwBWnsdpf2zkdvfytzEaoxn043z1sK2
w23BecLIEbjzMQIP6iRMC5/VnKyIKf6UyFiMhoxKJc2hjEiEEK7oCOOsbJoH0TdPlhjdQleLVcKc
FawcAuEyrT4Vmg3YSgZePloi8PDr3xV89Wmq9hoUJplIiRnhniB/18Vaf1U2dOwhasereu6+6GX7
2IfJ1yzI9bWvKV9LPwESOobtPvfx7EkgVYLc7NdiJNSK8SZuZx7XTSczcZB9PSMbUmFOX+raToIc
ugmsDAm6VfAiFNbrRMimnjSftXLAko+vZaXEDTk1onklDVHwaRHi8+6XkJqSdB3NQLZCnxBdQklc
7AWpg5sQW3sRzni9K7TtrcYAq98EvbBhb4wXrfe3qpFfhWN+EYmFjjnC2LgjuNIfTja/E0HMbVkN
rSsm8yrJxINJSliSE5I2aPHk+TE7Ih1N9A/fmrx9ZAZBCO/Y0uOPS3vVmEgkC5vg6TbO10VSnlS1
25Ckdd8E3S6pgmObldlWUWnXqdOVmvZbvRvo4g6Iw+pxvGSpOu/xNj+FTXQ2RJkDBBvMXVyZR9Um
7aqFewHHDkfnpJLSkmCAIoXHC0KFg0KgRLsujo5qFx2VrHxKFQhA1tBAFVP8e900Hrq6uahZom8w
NNveGCsC8Q2xm3XeAlIMKNmkjph6PSN+h/GJK03ZzSD8h9nn86FkaMg3RfbS8nMBxnKA9qkHr3zn
z/W3Crv0Sp1TAqoh38sBGKtwonK3ua1u3wLs8rXrdtBgo0bdtOrjRqclX4ttUsmvdIEOehQdIxAf
zphmGo915clZ9DQL7c5fDBjIVkws0qmENFa5AU/5xFEOL5WWX6vSODjKbL0Ku9u0szQ5FaZ0WoT9
dR12Gz9X7/qwOcloBxyztPbgeBiimdl1Ci5+NCNpHw7pfWS0wONbIlonCxvF4qdCJbvo9lPCqwDI
pjpY3FkOT3M+SMDL0OxKdfoazP5dVSIHmhQCdqDGlJsxjL/WpXEJCpKiZGuYPTReqosZTz4MgTRv
W6tcm4tva67ma2z4w0rqsWskdnA7ErXcqdLWhheJCKlf62W9R4YdsguE4CDQSm20QTDuEyRPE2n9
mNXymkyIF0TK0WZUmb9aQ38WXXZPKukR9SM/qpJ72uvrOg4Y2VmHqKy3ceMjCOIhcocZJbShy5vJ
VL7MSnkyAtbs0dZW+BJI96y/tXGEk756Yay3Mpm+A+/tkKgqT4UF0C6xGNvBC/ATeWu2rKZBu9Z7
HgJ4+qzcJSHmqeUZSZ7iZjfvyi46zdDYkpaFMtJEsepTE6gEBpsWaZWiDXCEG/tS2zO6U334lPLc
ElSF3cQccKX1iDV50a7Je0IKukQaymQbsnfWqyIKyU/FeLGSsUpdrCUMUWKou6mb+jEiJ9HIu9Qt
ZvteMduneIlSrBcdaIOuekmLpGc6KuuZ8EWNRvCmtus1n+9zHVeEHlnF12ZJbLSRNnv5kuKI+97w
fIId2fNOw5L0iDP80C7Zjy0TM21Jg7Sz7qu/5ENit/+qhfkljm381kuGZNv7JwUJDvm85EvaS9Jk
MLZkTi7pk7xlletbBp0UmbdsyaikQ0+IarBFuB2uTNbJJc1yINZyWvItIyl+Tgi8RFbtamFGN8tP
Npwj+A78/lYxsNVUfWXizDF3ZRuyFefkhaUcjVxMPxOxUkpzWVwawZS90kguXCvD54VexmkkUpG0
CIFNW75aUh6sZN1+GgpJWUkVA9ogFy9JiDasRJEHmcm/rq38xGoOlOGk9+EmjHSDXLQutHZym9gV
YXFIiQSEQBkSNHDIfl4xa63CP8vs/56jl27mvz9Hn17qCHrob07Sy8/9OEmjfgUgxkEZjrm55CL8
ZNOW/9A4JVsL3JwJEy2YH+JX8w8bf7bC7JtDuAU3+O+DtPkHCAiFY7TF0dskYec/sXdoyq+lMv1/
6kREMJqB+AKv4Xfx6k8H6RjFmWrOanjJ5Fn3T6HaGs+jIvMIGXWeB1eFNBj7uavEswjBGm1tKUc8
P4wS4RKz2XyyQ724te3ImBfr01CstdxsHxoNXwYKFQSCIuSQpUfSp1FFAEp0pI7cSE1cdRRXlpXj
zVMuXS/u2ApemES8wEjSIRXciMYCeyPkjZpm0UWdEIYpiYDH4zOfrQFAxbUjeGXcoO7xFcrTS1Ih
DKsGrAQd03+8TCwQ02zR9RPWOs3JtJMWqrDRMfYN6po2rb8tM3Gj94zWSWXxEgBck8+4z6pRYfTK
S5VXt6WmPodWrIEWroc1HFt0A+o8b6zIhjrVIySj/X0TC/OINeWRfX+diDw9kox36EJYo5WvWp7e
mIqj16QMZkMJknRObnrIWZU+lycN+J0zLxkevM4jND/gGoOOPLVOMRy02gjyj9jEI7bI1WyWj0QA
9swVydDp5Prb3NQTsJsxJX+129Lv3Mg2Z58Eu5ppxusJ1ZSuM/y1VBUXSUu8Wcw9qHyF8MHeMrZR
zn/p/Qg0yi4+5Rw7QeFeW3pI+kP6BfLcnShIi2zbWD/6hr+LSuk6Kjmp9QYaGz+DrBx04hjQL8QN
hfBUiDu9hsIaGOZXUeQHvJ835WTR8Zet1Mtz03TKvojxuo2HnHF4Kw+kXRf5Jo0QJFA9kYip9MhI
80+xaFJPCHRmyhitEMPc5qizXGmg/KB8WBNm0587i/gg+qBW69T6rk1E9snKjNGrkw4dYy8cQwvJ
9CWBvZJghcZTd19P8We/H0grCmuKNUjJWD4ehGo9mj4w/1p5wXzE1rx8DLm/kSZrXfnzJSUpsIlU
EhRJ2puKs953x9ROruZJPEfCBhyFanpdj1GF9yJpCQiYcPzx2ClGfCzUwkM9xweXrAdgZCQWGUPk
KvGIS7AmU2hIzkaZXTS7Pui2uOobWMxsb6i3TR2qcvWso7oMDZVsWsj3ojD3ZS8uUzRo1DHdQbL9
NTpqGjl+c2fF5mchjadadN9UP7trWnOnmOIY96TmyKEp0GqyPRoF3wPHu6+pMvCKzQEV5Zh2HoTW
C3+8cNohfKxqguIVObuovnJVGfq6spPPhDO7FhFXgJcSgu607KrtCuuYa+HBzNr8IRQ26tWJRHVJ
ztODlHagqkI0vT6tBdfMshes/AkeqfRaafxH6qDJhWiBSckmeNeaj2nenjqFjbPTn2DlvLQa9BmD
iw5QcssIvYa9C8v2QgL8RtcIP4Uis458bFkGsby5bhHqCYZYV+FHsdA6kxGi4G61Q4SX+LoZE7/Z
j71CNNGc9wgn0XLbdtVSW1sPXZan0ANg2jhVFKMUSWVm8A2fPsiLwiOvWl24SXtJjpRzyIsFPi8y
LrlJk8/oa76c1hwf5grTKmbW9BDrsbFpuQWrIZXSrWJydC5LzOROQK0OiFe04baVNKAPasilp1JW
1lLsJ3/2qv+7Tes03f/9Nn0bvjTtbzbp5ad+bNJLu0uB/8qXZcBwZ1P9K7tEXdpdgFRw/P+LivJj
lybmDmMkJFvotAsWYDG2NEXXhv/7P3TC2LbpWny3riyaxv9klza+a2j+bp2yS7PV81t4Rw1CBuh5
/druIstO5gmv0is5NUmY1akRFY7svUkKd1tJF7opNW6D6JSkKlvIZG0rGPfI35XG60cLiWh0sg37
Tl+qg1ypLG9aKoYmmMkA0LZW2q0FJUUGZ32gxMgy5GoYKj2aZE+NQZ2+VCPsRCtwty+hSYRt230z
KVsGyhdO9cgfKWiqUf9C8bUJ6CahFwTKKUVZt40pg+gdHBrKokI1OPjHK4zRIetifxRqcW9SSA1L
RTXVerQhnPslpdgiaeYR/quxNn2OEuVSkdWIM12bkD5HF83eGDFCWBRw7VLIaTEwu/jWXyq8can1
+nK8zhWdCBTKQNYQeZstlaG21IjzUi1KOXWjlJkXW0u/QhUpN5OKqDAiDdSRJv8OqP1rWnajJy+V
aN7EJ1hOOD0DNVnlPdlyYWkasPeKif3HWiXStA+X6jagzG2NWtpnFL6dVVyHSyWcW/Ze+V4bG+3J
pliuKJrVdryOkIivuqWenrJhI1NgK0ulLan59Rhio9ApwmOKcebYEhs39XmXapk7UbLPlO60Tbxh
qeUjK8EST3kPSPkQU+43zSy2OF90T116AWEjUIvSHuAJfghjPn+wdA7mpYcgSGDrRLFQbekvkPrw
raDhgELNGziz6BEKepjfwpVpTETySHTZ0qso8vCRpsHNWIPFKgDCUId2m2DpcFRLr6NFWOsNS/8j
1VrbU5aeSFZ0l6KwHgyaJebSNUmW/olMI0WhoUIFfASJFe1os1gk0dB10VX6bfbSiYGO0OI+LDe+
VpwB6B/RRJo7/ApYe2jkyHHxVMVVxHqNrLOLam8kHl4sTR9Ucchb6ANVinyl0hcqjSHbJop/qOkY
NXl530n9pmjyU1gUa13gNrWyiFNl09srXVApi6UFZcn947z0pHoVcP+4GaKS5IalbZWLRQPPX0U/
q1gaW4nd31p0urBnVgxZ+pNPD2ySbTw4+UWhN6bSI0uN+SJ1NM16umfq0kbrOjzRS2NNnXELiBj0
mJRFPlUjNTShHdxyfinqt9LFC5KhfOwQpMj9K2yhxBszDT/F0taDY/l5pDIc6PeZ8dihvq9id4kR
2ii5sQuX9uD8vVOoksfgQPLD0SPRdjCWliJSxWFtL23GGrhRsDQei6UFmfX6185oURpzTCy0/rGi
WzkvbctiaWAG2nAF/QgnayRg/reCQMzvHU/wiWp9UIO0PbD2VF5slSZH/KqCnJS1OyPPYrHWOkwt
9/13ylIIXGTTkUDBuwT+Ghn1CJHJ+k5nsnIiMpyqx8231aEr4k3SgFOcQZVO3e2f5KfBriXt0I0d
WhsjT8PHetbV/pK05bYIyF8v44nwkCWTPVrS2St5flHq4KZZcttbWKQ6acrresl0tyRxMMwx8qij
dIwe4ktVFI2TtKJyslh/xBqPiaQnvUKRZ7HXluz4JKdTw//OmNMonktffwnjWvVai0YappNX4LsY
WMJCdpgQqo68ZNTXLTa+idj6CSj/GMGAQyt70vP6WvK7Q2YVz300vM4STq+RpIcGhzVNfiN1G23c
hwj+5CFzbLN8iRLSiyA3Oa1qkHIlFDRMLdYmNT5DiztK8fSUhurrrMj8lsB4TfoMLCSRHPNenUYC
Io165Qf1TTKy9MghGK7RG9NDCv9NTlK8SmOxlGk4dLHvjxJ6hCoixpqH8SzMBEecYdO3kKRrkopU
byCr3GPYcUJbeLANzrrchXJr5hVpFwXHKo1DNOSO0kNia65mLBCkikh3beLNRvCg1g3CV+w9Xigt
yIDEHrg4Z3Y7sbcasafuDCHH0wYM64M1FpdsLAdyEIZjabWYJ6ye/otiXqIhP1GLwpcp/QsYwYXA
hGm4fRH2MK3gX91OqVSt5ixIVz7dF9eIu3u/Iw+8G/KHIi32sUQqh9nNj/hZMGB2HDKTFmCGIauS
W5P82Nj2PQv0Wi7TY5KFS0iOtkV8cF/10UaKzNHFPLarBu2qt8ob2yg+R2x0GJ/ksy63B5wXvtvn
ur/xZ6V2DbneBcv0ioTtwFEN0MlhkhC1PKEiDXKX9Jdq0xjR4EZ6g+Gvu+Ikss7V9lOfKdsyYeKi
d5izpk4fV4kMGQHGA2OdxGfqHPCvDJ5g/yb4jiRJ2RAUbu1abqiLq/9CMhCJ9Wa7J7Wldiph781m
vMegKa/w6p0Slqy1FNE1lAblkELOcaelyVrzph0CRQWqQ8EoNUjk21zOdrMK2wutModwrfLhdGuo
rqOrsIs/STLhPxI+d/xnPgscEdZzpvJKGNaVWiNlthQNgG0xfsmL4AHJE+wX8wsGBuhv8hqY4mOR
BI9QUwQpNdHOz8pHubC2ml7fDpZ6QArvaippm3K64JSHF9rpm85Uv9nJvMczfj0TdkMGt3yb68si
Lhlr1vrQ/X7a/O+xW2Hy+++P3YcoD5p/DpmXH/px6qY1RkvMsCnABJ0nm3/6KxCC1phiyELj3LsE
if7dGhN/MNZlvrxkQghsSfzQvw7dmgEuBdqhqSqGAZWdofB/MGP+7jj65cxNV4zfJ9OJI4VQXsqF
n0fMnJTaKeGEdw5Zdut71Sb6L3fzKVO8EEwGtXLcqNGpsRLtEc7hWG3kIb2WWaJtWQNsXEdjS/+G
xEH8QpZoql1W1IhRzF5b3EFNrK2axt8PWsqGzRozJ9dFljyUQ3YjlPB5HPAM4yU7T4ITnp4bEd2f
kXjjKvzMBi0cVc7VBcsLrUuW3LHtNmTDJ26mMk+FuHgbKv5jaee0ygs5Jns4DbNg/ARdHxdq1MHa
hrxXFl7IbxVu0U1tftKlSWynMN5GOFvX6JqGldyyXPocdz//H3vnsdzGsqXrV9lx58Uobwa3IxqW
DrSiJGpSAZFUee/r6e+XBCnRQOqjBge4EZuTE2dDLADJzJXL/AYC1TePefW0NhN3quTpgklIN8WD
67AIpcMAVRW0c5EW1HC4i2HvwTRKbgJPulNXeTqsuG9nCM+yPPEY4cXjfqIOuUyIKg7pTzheKrV5
07UMVm1vzs1XOBtS0b8HUQdn8fuDuFFqmMbbdRr41efjSBHMpUzTmTsa/05Bhfx5HFVeQsQAg05E
HFRh6vurVa1jLKeJRrKloCAF3Ov5PJoHNmdIRd1BJtHQ/k5QdIuOgi1Th8u2jnY47/bWWdhSPCWO
SyM7R9UkFr5j6lTphmHei1RF7T0FZlW0iLXhCOtuFZu51L9NHOs4aYMFWuNLztiZ1RRHCB+fjxID
NCi30zi0stM4sLLzMCg/D7L+Fa8GUv1KSL1J9bwdok9mCRIC3bxJHnmQzrLQuuw9Dae4EoNtGdkD
U6a5Z3TynLTsbPSDdsaEp10ifx9PsXhPJ6lc+8x/4F2HtAAVb5gpbPLRzQK0eoyM2qtLZpKrn/WD
YPmhjjM1nQrCkrCYa1v5plVqDMiGOUGhwr2BkRJifuUEjdA7k+85zUVrsXAQi0ZKM5vI6JxzasM7
B7m++eDiENUkfkRLzj+i1ewexTkHWcaqIEsleSnDnTsxDKk7RdbcATJDoNPL8CYocP+V0NSfligi
IHhHYoRxSzfqi9psPiE4T2kXFTem5Z3nhdLBUOlOMbgoFtz0zcTN0WlJJZhjnS4XU0fI50VFs8pz
ioRoyFDHbKEhl8axkar4sbVXTshIFKF3A5qdcmhpBY2FKLhvFW3lpePZqCbttLF0CqWw/BrXEiVN
RgkZ5KcMvUJIxTiowiGYSmNfM7mnhVZltO5z9JxnsQpWpzYvIxdJHa2rOoosb17oib3opOyuUFUE
NeTqTKV3oBfSMpOT04TRgxI3J5qG1gJoupOiZc+4TXVRBCYAgYilkduhmetCkiL1plXYLItCW1kG
Rve1k0lMA0OsCBSYcbmESI10EfVZtRojoqWBfde0sc0r1VRXDhCWeTmAItYThoVqhNyPlqFJH+t1
NQ+BokxiWjOVV33qnd5ftGG68nT321C0wyJmAutVmjkzavmzXhTfQtA0MyUOZ0NRo7QfeJdep5wq
PTRKrz8rKue+NLt8lrQVa1iZR14RgHYyjdO6qc4DKIvSZYba6fiAfUJ0SMOW3DH/jCQrLhZje1IF
o75K4eweh7Vzm0XyFQ2PezsfpiWZfT56AFTMWV51x04tLUpZPcli/yzIsuM+xEsniy9wTIhmEDlR
/XOb7sh0jR+jKTUhnuqavgwaaG+UR+14rZrjyivKCrXVoFsgtoe9pGbyvojdxuWys8ZKiFAcdqN2
URq3lYTeZNI4N6mjTKDMn5QqPoNJbRx1Pg3XfLxoRvXQpZqiOmsuCXbwMusZfUEY5wFdf7dwL7Sq
PqW9l00iuz6hd3ZFZ06oal6POZoQZtlo8DoC2rVlzUFJ8MJzPIVqGS+GhQZMGgqxd1igmTJRyayx
7QMJJDXsnDRXQhAGKtq9gMSxhvtq6emPrJTvE5uZGD68n8cU9q9CC6ovcn3G8KKdyKWLL0eYf4cE
7546kb8KepswIcsXCWpsiCoXyjl5xIPGXT6Xx+6hqaC+JmZ/pXUDsihp+w2Vj0WhI7wVWMjjYiWB
rvos6Tkvtl7pyx6/zrTHPBeRzUVuD8vWzWZyXl44QXwim+FirPJ2ahTuWWjRlAnM6BCLSyoDybix
G3fGO1PTOvonRQYH4BtZNRthLM/zPuznhaSueo7BhZU5V8ZQHeKjF0zTGJKgxYhAzUOwqZmmTgyr
Rv/FAskWVfoUR5C1X6BtVg8MsMwYdXU7++E5d0FuXeHncRWxJtwDylT1aJvXsX2R1OpC9tFzdlso
srlrMeUbGbN0bbj0CzRagjB2KKqk+4DH2XaEzIeBN7LhnfkhuBKEOtoTXVLSOX/Q4dCA6tyn0OuS
3J/h84copZ0eOj3CEQ0zQuBUPRiDWWRrJ75jm2Le+U2mDXtEOKZvojOz1/uF5BfXagCMcBzKqeeb
zbwHCjBxvOoOEYdgKkFoLQ1rnLRFAZIbajoiQdeN0Z/qchWiIQk+kULMiPKzLsvjo1zpzr26v5IB
YJBmDQvDtE6ywjmUkDJCDmVoFl2jPkROA+TCsi4TGrbzMR61fwubjfKVSg7z+3zq7KFd32+ZJ4jf
+plKyQfIQ6LNwfgeLUbBXv+ZSpFl2TIi6zrpFNUNo4bnVMo5MJjnA51VVSGTJWb1z6kUElqyAUbA
EbrsCvXQX1Q2lDGULq9KG9islqD+Cf14hhfi9RdDfxdBYc1wg+E8SC+0AV1A1R2Qiqqdm35Uu4k8
qJTFanpqj/EV6qTfhzzGHQhX10nnU8wPQcXkr3aOq8g5x8AsoxFkfgeIu4ob5zOCKzdal/5oGm9R
SCbOL451iyt2Dp7OFCkbXiBqcoqoVTdt3RZj81E762SaErEJgrQwo8+mZ45QwsHBKm6BfAzgGAYH
X9Eb+uwN43c01CGs0QLqiuYmCuqL0tGhe7oKs2/7GgbOTZb13hmjgGOUcoHQStWJYoc4gKQtMnAZ
33mkCalNCrs5amxAQabjTkIjXaS+9KXJAxA4xsRQnbMYi6URvOiMsTXIq7TCwLxrZkBpFoUtOk8E
JlTN7nG2Pa8ixURSoBhQvktmQetqFEkV+MyeGXSocc5NPWeEiLSAIxm3yRhhF9q5FtFAjo9RpEHV
tmNeI4E4RryddlfXzmLsvDA010EYYuCgKRiYDnlGo8z4XIIzihA9KvVrx2o84JCNkeFh3Js0/m+U
riOJZMJf4DZf1DKC+yHjZBJMLzSZs3qxPnOzMaGTGpzaZjuPqmEpxz3WHK2JposADHlwG2Ud0/XR
ZXJrKKAbuQQSS3/IQ2MVy4hBtPX4bUQKDCgGGwd1khschr4F8QOaUMeFTipq6NXR0DQnfWmR1Ibp
YabK0tyPcqES1K4cOUvIBQmgvvxl0M3jJCfiJ8awBgdc3OhJdeUl+pXCLL7Lu6MGnGsfhvi1Gy5T
msA9RAMCEG2hnQyo9E8cKbeOBgmQ25jYn6W2tCdmIS06R13KQWujEpRNbLc7Gh0mPXKWm6DCUrAe
pLYAMpZBADJStsaLVHXpSCPBIQUkCGXzeYzjL7Gh/sg01swNi6+ynZ2mbnRD7nHrJeVFjw08VbiN
UfH4tSpF9xRHWbcPrWmsJ/O0r48TLuopZfTXluEInfB1PQRzcHMnGPeiAZLfMmarZ67WUTXIaYFS
f/yp0csbvzLaSd4gAyVbcLl7pFDBDyJfdlswswZkba5KrsTR15ey5n7B3bEHrDdMk6b5ZtjeFTrS
C0tJzzXdOO9zGU60Oao4SLegU8z0dIxwmdS8RZTeR2Jy0iLGVXXuMgs6Gb1THStiY7gITIMBiMt/
6cBS1FYFX6/i+jPVdeK6KS3LqJ7KlX7MjE7Fg3f4ZI41qPMMAUmttD4BJjqxC/l2tP1V7PSXmiot
FTkCA1s4966YzjnM9UwA2m2TsAHdTzGzq7kbqg/QwxDgbpVPbOOvpB9MDt3srA7My8rR7h2u1Xko
dReZC8g3qRR9ivmvhXAbqkWxST1jI7LH9dnHF0PkXEVARJARy4sjt/XleTIowHpM53vv1ngPFhcu
PjjYYhvurOpkvLOHwpmXoXGS25V+gb/MUhoyP73E0zu8zlPlzh3IXDDovBmz7JSq8LuSKnAQmuEw
cR1pXkfqmV8zIa1yTH2GGGQC4JCHLLdGJP78CKBKDoSiLhzKFJo5pmMx5TLicurq5SkdSsabynHQ
KEdIAVyVHmhMudOOzJFisYFclPAtA/IYwIbyxBglfTbgvhn6CQBVS5/928t81HHWuYZ/f+VfZ2iY
bvEUEL/188pXDoSAFC0QuDGYCtBY+Xnlq7jbmlAm6ZNsfGp/Xvk2FrYOjU6mVbIG15LGyvOVj6eA
Rvv/pzL0X6lcKjZPenvn081EzFlTaahaMh/95Z2vwwEomQkM5zZuKRf0EpKrQMmtr4C21OOhi6Lb
QcEe0a5beUXR4JI4t/6MEf342XK6+hqvrXg5jkpwYjqZO7ekupynARBZDvVZHPvOqhVq4xgJl5da
X/P7rS3rMxTShbxO3h/Cnjju1RG73BpNMdSMorsAQ71lmHbuDKN4AG/4GHxLfN87zgofD0Kpxs9D
6KJXtp0DDhg+O2oxJQNZD25iHTdCTb0GoHiSCoX1MusQHhGq632M8a3QYW8CcNeOCWDRR6RdM4XY
jKPBI6AhKuZDYfiQc/z1SxyUZsU4egxL81u/91x6MxiHiPoWGPO0D9PoSB2dblrrlnrhKd5XORo4
lFoJcDy9NDIkuQK5lpa16Y3Ho9dox9xn1jymr6IgWXQU1Lozk30idBSn+rwlp0HZiQuJ+SOKlEmO
YWbWXo5lSPkcV/EEFb1xIhkGlb+dMUxyzvBfjTDRZXWkRsIErMu1GUYCynlVgTDE6zA/KvzquFHD
b0VuoWgf1+kE8lQ4R5/q2PeKsZ4StHy0k5VyFkuRvHBN5TDUMaGRSm/aG+0yqSMsFscmX7eZF66A
ST9IUSYjtw/ILjHwhO8AkEShd21qFBYWePyo75dqG39Ww652TnWnhvWjIptfKBeZan+Wcc1j/E9J
RJ+pB106sQrEvHB3mZgCrx23ureqKgbaVpqcVJryYBhZs6jM7hoODFGT6Zy4DamYE/nc8pzDNMmW
tNBPw95Z5Z289JVGpbzxlKnpmogiU6t6wXkyBjVArGTh6MJx3RhWBuPkPJJu6HHGM1ARJwhd8krj
fkvU8rvWKczHfPuO1GvJfXcDzM2fINEPHTGvkPVJkb08w6SW9jkpPywdm5YQuiulv4CjcOrAneFU
JEF0qpgFI8pmYGyYO7TBLaXsTz1TDY7+DcaPwVjAn34fjC/iJllvmSyJ3/oZjKm/HHrPm5a0+cYb
Cxli0UgGQU1jmjj9VH8J+iIvgenCFEanA05Z9ByMKc1Q8aViQo2SBvTf4bk0i4/2OhgTJlC9FPWc
qQPkFq+/KMB05FtTzR2UcyPu6ugwaJH6K+wiWoVuPNXH6hKd8S8uAvQqXJxl52EEGPj4g4ACQcNu
ifAlZRV1Tllj0qxl5aWJErYDuqkBwGom/ZHW04BpDo1Qus0879j1Fr7tnSuh462yAJtIJMYcNubY
TyKO2gRV7XtKDbqtDUFGd+1bTLNokGgSHJOuvh2z5LAjR5xpRntBkoquRSqhw6/JJ2PbY1ehaSsg
ciatqPhzKjUDznbyQ5BDKRvVe1sCsZk1ETRAtb9O7L6bRj24zkH6AjDDnOCMTDkGkKIdnbPUHIYT
SY8Ygg14R6aAKnuEYJla8A+hUxpuo/MPq7uyVVDHzFSkzwMaPi6C6xiuYomRaXdy9JWUFcTTOKlk
BNwArpuh489cqy4ZjnWDPjUiuU8mEEw0oNIa6rhlBUhprQQ6MllBXyaHftr6KEZg0yQHQ0H9JDWT
Wpg4ySDBgW0IYyfVjhek2tGRprYlEUhYQA3CDAqwK7iVMS4vW2EV1QjTqFzYR6mCn1kJSylfmEsl
wmYqKZhkjxhPkVrTfBZmVKBMwMc2GFShdgwQXphWmcK+ir2pT0JhaRUi+eYLkysGatQkkR6sXGGB
1TlNRbxvrWVfYpCV6phUzAphmyX5GhrrUfNDFZZahV9gkSNstpCK+97W/PlU28GtQJhxKQWky6DC
oIvU5sGRsOxqCqyEU2HjRb19FMsYe2VGGF/YmhfNlUfbL4mCxgF3v9SFKVjUVsbS9jGfFIZhWNQC
qBUmYpCJvGNWDk68sBizhTSaOmA75soCridLMlQqQDHIHOBPpgirskSYluUYak8yINiTSijd1bZU
nnSgPRBfa8olTvcBEwAb483ajEHooS/gVsYPBBlRdcYzTZF0bQkBCh81WViqoVrmg7m39e8yYZvi
Fc+iTtBqKedMiHh6CxJGeLQhrGaC82owbhMWbmWoyrSbo7Se+48eb72we3OYp4Y/4iQbkJhT1MtM
IJ1w6KtOaneUyxO036YlRNCYBvUMMQ9jkgqWaAZdFJC+N5VHnGgy9LTnFQ41BuRSgBpfYsE2dQXv
1E+ohlrBRQ0FK9WCnqpAUw0FX3VwIGmqgsM6NLY9gUBKD765RCkauoOJQXAmiK9OYz74MGEbGeNi
QY3tHelHJ8iyBqxZ4MfHsR5/7fHVW2qCWItjhggizoqlQG/W+ZFxTqWGfVEn9icZdm4BSxdLA2uS
wtu1ZP1OhcfbxlKPY1N/UY+lfWTD9UUj5RqHoJvikQRcJ1iewQtuxSgpoAu11FRaFWHa0+VIUqh7
1bS0/StPLkkWBNUYvGNxYgDSovIX9n/qYQAvOYKfbMNTlnqE04Gz2pwURmIpm40OFcRmPXWC76FN
P8KMapS+tRbrJJ3efY8f3bEJgR0YKWAuHTsLhm3ELLlJ56ZWXGSddE0XpVuGURQceymSGT0ok3k0
dDYfiWbBgHHTIu+JSW7WeZeJ4uj0FirpkvEb3E3ZdanreNM6B4XFUMtZylUeXMVemc9stUKHAS3R
ZRUCyZQMzLtyXRkYDvo2RxsQkuxaAz35IcT4OcAM2Ur0uTOGJrMH4wfKkuMs0sejoQ7P6ROcJFp4
ajR9Mtc6WV1qTALmGgYci0ivgoVvGTIzFgyVdDnLDlWzN2YhzZfAxwrYDQJ1qWqCPRLyaf2EU6t2
aLrHKRRS0wd/OOREKRnCyLJDKezSQCb40G8RHm0Adi4l2H2TEGuFSeFBLkkT3AgJU82/0PVNq1mI
u/w+1WF0/89pE1T/nH8PsHUhv3n0KT26/7//59evP+c8j2galSaxwxQfE7qXaBqh5kCByZ0EI5Ok
52fOIzAzDr9j8wLjdbA4v3IenfG9xa/JlKWoufzl+P5txmM78PVtYPQ8TyGNep3xlKqGDYuYE3uw
Vyr1JMBg8sXSXGza16+MFkzxjF9tbSF4Ymu48xkmirGW/Sha8TKrSpRMZoqK2JcXWUep3ziLXlXD
cmEl/arXCGxYkQ/VchzacI58dwlos7aNa7XOA+b3tWOurNJy0FH33GLVlJJd0EKDbrUyTUnu53rV
oOkqw9wY6Y/J84zqA71wSKDzUgL23vc42JcZnjcdon7L0sfOEguGcKmZOTdaa16EVuotc/zYZ02G
LV0gebGKP12GuHmadGN2nZaj/yOhUbvQlMAlKtrchojND7oagpvh/82VXE+Uua8nsnZdp3mEPnrR
F5c1x595PHoqSNaj6+p/1XLc3HHWmchgGyeRQ47SFksoA6cdlfPEqqWzxm8/G5H2qXCq6zIaT720
/Wwa8NJtEyouPgKnRanPseU89f3wSPG86IjmGEz43jzplHhiy4nAI0INDsCjyszuR7TbSwPHgzAE
WxFb5kTOinOU7sNDYAqnTY/sjxkNJ36u4b7jIlpuxwq3Uhaj6eyALzS5XRxueE/XMJroe2NJojye
FEN+0rrSsk8iqDKBt8RqpoTWPE4RL5wXXbBC31Wbu5oOSwck/ziWR24ZXPlGEdNhwKXJQ3q2HAVd
rVKO0qov56WPXH1Zn/iagNsPsnmHMzfKESU6r7JqLnqMmSGBwenGoG8iwcFOWveozwtIyICilNBn
WXFPhyAC/tcLjWtDHzJoEnpzWKW05VLXISd1dfqiQ70qzFbC/7A8arFNBIwiP+hmc68kBq6ysZmc
aE4ioRAfGcFlntrJTOn1wJgqdGQR6ZKOHQj5y8qW7yIJDIeJM6Ji3dS+tIx9AGY2PVAY4tNGQwMq
sS/blDYjRnthCWRAkaaJ2UWHXawu7a5WZ4XGwhupoIO3XxTRps3RnbYc59totitwuaD8y/7YiOWL
kYe2SrpKaM6OOqjsXFqrlfIAWvwIK8NTzYV7YX3u3W+ZPR5DgbIXBjyP0jJuCuZF3BTfW/rFTc0k
XU8iXD+GC88NFYCZEZdn5NzSLr7VmMDMShAKjg6IotPPC/8QTxZ/6o/c1wbO1jDmPiGZfqMjitp7
UT8zfO9Cb8Gnk5xzdbfBSZ1FRwY07snYKp9zyf9k28kNFsSQK7uF5eU/sCo/LhzpuO+hzHP3Hheh
s4zNuAHtWs3QG2+O9Eavr/QuPOb7Cc3Vb3hiUhVpMUCdjFJf1fLwLNH76BDdbPU262zra2Vn4Dj6
YXDh5iEa3bsWzgF9rJDJ47slBbU/KzbGDoJ/WQ+03VWEuDthANHmRnCGlxj0j7gUDhHA4MUJI6vK
APRgImELO4lRGEv4hvlZqlRz3lbmmevTb6AObKlJHNzAfFS9QaLEJ0j7Q4pVjatahhSkCSsLr8XU
QsHdos2wphR2FyGTZIwpsMCIHP2riSUGf/lZ0UjjzBJ2GbYWmytXWGj0Yx4g/ZZ91z38m81iwGiD
llinG59kYcFRhQMEeFw5QmHPMQifjjr73uDbEVK22SGjRBdHD+YEtxoOHwi9z0ccP9qw/mGV3Tkc
iHDhIdk9Yexxq4bNwsctJBukSWNX2IcohVASZs6P6zzJkTWcVriNDAMSLpCLw0K9T8y6X+YQGsK0
vW0pcAwdOegxaL5VUBVynEyKqAPMaH1RcDiBiwD3BMsTpACv+3g4TfFCqQtAI1IXfvGA0ge4pbR9
v2pxT/GEjQoG6lc1vipGZd72+KxkoT619fZLJxpAXXYcWGO7aHWHYIFHC3+NeYpnC0QRHOpxcYH9
RxEnjF1qHF68ChaVL0xfQoxIFGEDU8UYwiDo8olR3HGtmfW0CmTY1f4JbB/wVwxpA2Erk4UeBBNA
DJpcHho4zxBuyMf7lSYsaZjyn9p41JR41Si1cevk7czFwya3o3Nsaw+jhAxVmNwAEF1LtjSDfnrY
xLRdURJYoxdwzFrPAmGUg6rwsY5zTiUsdEK9Og7x1CkN85uLx04LRF+v22tXt2a2bYygQME+JYF/
IePP4wqjHjiV32Qd3JUKI83By6fA0wfNSrJWXH5aaKqHtjD+wZWB4l09bXAEMt3sRC5hiKvCLChN
ZGWSCQMhWYWGCdZCm0d2+TWVfQDjsn2OjVhGJVAUJ5UwI6qFLREdgrtAGBXRrZS+drnJfhE2RgO5
8EQT1kYAcq2Z+uh31A3qCold98efk5D3sokbFwOyECoO5a0coBIZSpLAYDgLwxsG2ZHzXTeWu70F
GdvLLGdgF5sRXqNncjGQa583+XkfXvz5PcQw4HUmJb4GLvHkhhqcwzfYZ/R04KI5gXcOpJngeI4D
S99/goD857d5PZMQCZuDvDbuWHRM0ROT3+AQvCwcNCtqUUlM8GNHAb5SOYfFTaNfdK3CTLkEpLXR
h/4XBSyEGH9fSqyy++zufQEhfulFAUEGrYqWpCErCFO8mGApKLtZeICAAX4C3T83TZUDrDtomwLJ
Zf5FY/S5Z/pIj6UD6yAf+siOVf4GtCIwzS+25CMFFvyL6dA7oYCB8fp62xdZode2H/oXBb7G8Fuj
DpiXYZ0rNLbAvnqSK41zAO0d6IYmx3Z9VgU0MTE2QzhqQaaq1NcdTkjOj86uDmknae6aVDxEqJ2Z
hnSiajpofMUPB2XujZJEdhGlAS2hQvdBPTBk6MFTjcZIOyVGcYV2mpVaWBa1A+pQ06YmHgxQbxuA
XPi5kcBQBlcM8YEbkxNapXFYeKUTUiNDWDSLLi7PPVpzeMnTfbTmni1nJoBDcyaPdSM9GAGQ5ce/
+P8HW//pIwopwvljCXvZPJTD1UOFZUT1DGUSr15kNKU+Zf+7f/TnBz0Vz5+GHA3E9X0SpLOgqsvg
rmYrvS2sDaLqq8P0+MEeP/UfnxOva0Rx73kHTRc4LzrgGnmz+KHSp1vnPb0sKdTrKgNjGSPDl3/G
P63Cn7/gZjn//G/++OHfLQILs+MimAeaJoODIwQ8/nCq3y8CdB5FRBve68VG+d1W+PMX/PBFEOC4
HRfBPhCXKfMjpvnih6/6ahFUfJ4VdCmYLO3pIgiW1Y6LoB8IJWm0i+hCbVsExeI46IgvkCTs5UaQ
dz8NTBEV7hHkHLaHBBg4hqFjRybaY3u5CO8Usf4+LloQ+LA+MdCsePzZEhIcpLJsTstmlfZ0Kd5B
hv5+KewD+rU6oJynM/F2KQgMSLzZBgzEfV2EzWndiED/vLr+6p50DqCG4fIIq+zx5+09yaGAAKow
mt/bRSDp3S06kisL7xVbNbXNIrCsb68Ik8a2YMTu6U4QGnU7LgL4C8VAzuQpMLy/J+UD0BKODsd3
TxfhHXLl72OCc+AwB4HY/HQc+Kqvd4J8wAoA3dc2u27/MiYBqdltJ2jagWPLtB3MzRUhvw2MJAu4
FtH72dtsQRgt7bgItpi/OdwPT7nzu7RROZAtnQpC/RkzeMf92w/CN23npYDWj1ClzKNenwYCJ1wW
YLebTbeH334TsHe5IVEDpS2jcwNuz5hUxBJsVUG9bF8vB0GA2nELaAyqOQs0p7anCYQEKJkyTct9
3QnCI2THRSDsySZypaa9fRHYCWgegWG09Ofcei9DwlN9s8uhIG0UO8ECNP/8VV9HBg3JAgvAvYBx
7uci7BwZSBuJCeQCirnZD+RgrxdBPsC+knJT2dfIIJw9djwU+gGcYggUKMk8/rwtIBTKLP0RC7zp
v+xrfHgKXLscChucj+CfiEbS242ALg79xqdG3L6ugWj777gdiJGbqcPvYqRyIBqODJ72NYEWcPAd
F0E/AGhFneQ8VRFv60maz4iTgnJHo/TxZ09jpKAu77gUZE84yusMGTcXBZHw9dGAkO2oJFeO8XyR
8I77l0jqu+dQFvWzbNFHeOo3kZC8XQpZyPxAUtvT/SBEf3bfD4iOgXp9arW8vS5ouhn0qTk7+7kI
Iuv5gEWAfIeUwHO/6V2XAcEnhr1IEezrRti9qERTgeqZLvPvToN6ADVTEYIMe7oITy2gXTKGx9GT
ZWAn8SYWUE8BXwFFqz2lVXu6Bk+Z7S5rYNBMepzKPLWbyEFehUUuS+QxyaGfhEH2724QfZEdwyJ0
Y74jnLnfjKsJiwogcgN+3J7uBGPnDrQmikrEI6mgN7nClgvSIBwIwbs9XQTBIN9xJwgZGsRmHPVd
NckWANRGArEXt8JL1Aa08v/NF+eg/wJsMIBm+ArC6DdtNpEzIypqsUX2Omd+J1/0vxlCIDlnAV7Z
pMTvJzG0nqE00VjY16vxCVSzy7VgipmcSTT4fQ1lQWkxAK/saTBQd4dtiBG1IbR2N1teNNPe3o0q
NqwEzM3528O7cfcS0j6wUDFlJve0CHzVV4tA25Vbk+60sckg9rW7YuzcWIAjjwkJwODnaf27paBw
oK0AiGVTbu/rUgg5593uSZYC4zZSZOj9jz/vkgWVsQygJ6b6exof3il4//1NAcAPQ2faJ09Vwtv9
IC5NXgPdsTmG+xcfBLh9t52gIXRsAFEB9P8UIN7GB/r0siqbHIs93QlPW3SX65KbAoijzl96cxze
9dmIDIA3EIrei+yRD/EW7/pU2eyyCOYBatfkx7SXHn/elpLcFELUfqNeza7bv+Mg73xHaDa9ZZqM
YHk2x+FdawEzeH7IK/YW77rZorvsBJS9YCsI2vVmEd4mTsDahPMm3pv7PaoVQmG7hUcBboPlgy3D
UxL5bimAytOKE7qnexoe5d0TadD+mLaig/8UGfiqr3NIsJ4ApE2qqj1dBG3nnaBZOHTIMjp0z+XE
+0VgTAMQUtvbamL3bMGmi4LfCWnT5o54txOAORI1SKP3NVswNln9DuGR5NkicWQM8zR/fBcTaL6T
KzCf3NcKQpjS7BYYyRtRixTo76ed8C5lAvoML8SEHbmnMUHffLAddgKLAH9Q0eVnDMvbbEGA4Okw
QCHa1+MghLp33gk2qqEAlp5SpndllAgaDlrdQspuL/NGZeeYoDGLYg6FE/lvKgjFOAACT0MOiIv4
2dfIIEzUd9sPIjzalIv6+x48PCq8dCDUPl2he7odni7wXQLDI1HIgj/8VFVvuSJoPYICfAIN7V8t
9U7d6e/7KwZFs2rSaycAPu3512kjyQKnAcrYvmZMQohqt9PAWI7GKhBnbJYff97dk/IBL4J3gir1
tEj/aYz8DzbNT4Ly1Ecj4pGajMfrNgbz7/7BM2X1/esvehCPI6xX/1JQlTdvvulUiP//X6+Zy48N
hBevPjcUHt/p6fefvuL7N3/1Zs/f6/k/HgYP5bq884fHF4anD3q2TuA2/3fM/7z3wNggU359mvc0
65/74M9Pz4P04X17RnQmdn94sr7PyucH/VJSE5fJzg9Hxqje9sHJD3Z+9nQdr1v+JNXzs158ds7D
7s/P4qZaPz/oxcM5vh/w8LQu1/9Ms61O7AK9sPNbzB7if86Q69q2/iSOOz9/Hv8zy0o2z/OzXiwR
N9POz1+UD9U2jXkxyNz54cv4IU2fn/Pig3Nn7Pzswyb5nsX39fOjfj1e5EE7P/4oyR/KYB0/P+rF
4z/iyB6lw5a/qMjod/7kJw/lljUXeKXdH/0Hc9VHfY3tKhf/Ufg9XUdbzpCYce/8sU/XVfWwbU0+
4oCeZtU//516D/HDlhAppk87f/zV+p4A/PygFxvxI47oal0G25bmI46oeHaebYvugs+/+7o8pIgL
BduilyD6fMDzy7uH++cH/Vp30S7e/eF/EEba9Sitsq1r8hE3Ko+uH8qH4XkFXqzKR5zUs3W+ZaOL
anTnBf+jf9quK35ergkBz5/yxaJ8xBG9iNd3D1tyR1F67bwsf7Q12HVZrgJSxyq437Iygq2984e/
Xt+VlARpveUu1T7ilAol5MlDGmx9g4+4UTdvUKbr8n5rIBMKOB+wTOk/s+DB27ZKH3FqxZdYcALu
gupu23t8xPEV73GcrYtm220l6Dofskr/s+r1rkdCfI/VGqOt50/8K1iI3tVHfIt6/c9kXX7fbrz9
ERcv34H3+JO19weskniHshmfl+TXMone/+7L5K+31oQCn7X7w+lhbEvYREvqAx5eRcGQNc+PerEw
H3KW/+Q5tvOflcQk2XLBC7Gz3RemXqdBFa+bLXm4ILHt/gaizbLlHtY/4tx+evDX25ZGYCd3/uRY
onOHbUnaxER196c38brccsULuP4HPJwGUbKtLyek+3Z+/Gee0Gw7q0KJceen32bxljgvhEl2f3Tz
fctBElyU/+HR29qyPwFh75u1z8KG237tdS9a/Iu7+GFd/tf/AwAA//8=</cx:binary>
              </cx:geoCache>
            </cx:geography>
          </cx:layoutPr>
        </cx:series>
        <cx:series layoutId="regionMap" uniqueId="{0E2BAB85-BF0A-4035-AAB6-C110DE4577AA}" formatIdx="1">
          <cx:spPr>
            <a:solidFill>
              <a:schemeClr val="bg2">
                <a:lumMod val="75000"/>
              </a:schemeClr>
            </a:solidFill>
            <a:ln>
              <a:solidFill>
                <a:schemeClr val="tx1"/>
              </a:solidFill>
            </a:ln>
          </cx:spPr>
          <cx:dataId val="1"/>
          <cx:layoutPr>
            <cx:regionLabelLayout val="bestFitOnly"/>
            <cx:geography cultureLanguage="en-US" cultureRegion="NG" attribution="Powered by Bing">
              <cx:geoCache provider="{E9337A44-BEBE-4D9F-B70C-5C5E7DAFC167}">
                <cx:binary>7H1pb9tItvZfCfL5pbtWVtVgeoApkpK823H2L4TiONxZJIv7r79HdpKJZKWvDLTx4hqjNNBx6EOV
+NTZnnPq6J+34z9u87t182os8tL+43b883XcttU//vjD3sZ3xdoeFcltY6z51h7dmuIP8+1bcnv3
x9dmPSRl9AdBmP1xG6+b9m58/a9/wt2iO3NmbtdtYsrr7q6Z3tzZLm/tX1zbe+nV+muRlH5i2ya5
bfGfr711nnwzTZmsX29fI3++vlmXr/zkLjKvPNOV7fT61V3ZJu30dqru/ny9dSfy+tUfu2/4aHGv
clh/230FYUqOBOaCKyJfv8pNGX3/dwdjcYRdKrGkXN2/frzrxboAwSet6X5F669fmztr4dPd/3/f
LbY+CjyTfx/yLG43z2QDRASY/Pn6XZm0d19f3bTr9s6+fpVYc//Qmskzmw/87ub+Cf2xDeW//rnz
D/DMdv7lF7R3H/D/dmkb0P8F7H/nVVLePQPS8shVlLuYswc8HwGujgS8OBdsG+rDV7Qf5x35A0De
kXhhCIOqr/u7Zm2fBWSsXIKJEOj+BfZgS6sJOnIlUoQydxvkJy1qP86Pb3EA1I+FXhjaF3f9+uv6
GaBWR8QlQlLEH6Cmu1DjI4QVA3XfgfrwFe3HeUf+AJB3JF4Ywv8u1l9N8wwIyyPKhIuIBIO8q8VC
EKIoUvfY421dPnxB+wHekT8A4B2JFwawZyDA2KiwbZ9DkSXoqVSKUrHfMRNyhCmTXGBw2Q+R30MM
9tR17Ud7710OwHyv3AtD/vyu/Gpuk/I5Im91hDeRmBD4wX6DEm8rOT0iSLiUKrEN+5MWtR/zx7c4
APDHQi8M7at8fXv3PIZcKqEwkw/mGu1z1YJRjMiDBVDbgB++rv1o78gfAPWOxAvD+WJdPY8dJ0oQ
hsl3hX6EMjkiUjHEJUTlv9rxQ9ezH90t6QOw3fr9F4as7tr2OXJndcQx5Ezod7kzwUecMxcD9tvQ
Hryg/dhuix8A7rbA/wF0/3qJW594Q5wAI/Rb7uup1Jc4IoCZq/B3q7zrgLE6crEgAjP8YJZ/vPf3
6OsXxu73a9qPK2S9+9m+h4/41w/l/xyldba29q78+xMkho4Y0FlSkYcI6rFfBbYDLjPp7oRQh69o
P3478lvbdD9vuSPxwhBe5nflMwBMwe4SxLEiQGFsB8eQEymJBeU7vvTglewHdlv8AFy3BV4YrJ7J
O/scoRJwVxsSEsjoB819RFOSI4QkdYG+2jG6B69oP747n+gAgHckXhjCZ8a++ncZ3eV3z8FGsyPE
CaGSfS8hPSo5yCPCKJBc+IGu3gmenri4/Yjvu8kBsO8Te2HY+3f5qwsDpc1n8Mz4SHAGHOWG2Nq8
wP9u228GFoBR4ZId+/2kRe1H/PEtDsD7sdALQ/t8/RVqTn8/1NQ9gooT+GHx3ZbvhtFQckIu8JcQ
RW/b8sNXtB/nHfkDQN6ReGkIA01919xNz4KxK1whKPpeVnxEbeAjl7vMpe6OOp8/YU2/QXn3Dofg
vCvzwpA+hd6U5/DX7hGFyjFhP/w1KOyW1d5kxHANWI6dfOrgBe3HeFv8AIC3BV4Yuv/OocPmWUrG
4kgiJol06W+8MjCUAD945W1L/YQV7Qd49wYHQLwr8sJAPjdQWPr7LTXDR0whBTrqPkD8KHFGR5wB
76Uw2PBfSeiDF7Qf4W3xA/DdFnhh6Ab5K9800Bbw9yNM5ZEgyuXkuw6rXSMN8RYUkqHYxN19zQFP
Wtp+rB/f4gC8Hwu9MMyPy+k54HbBZhNgwcT3tr1duLEEJky5rpQ73QGHrmc/xlvSB8C79fsvDNlN
r6u+a8p18/V5WgHYEQa2C1pt6QMdthteQy8ugcIh1JC3bfbTF7Yf7N/c5wDYfyP5wjbA+bpJnoPe
FkdKMOi+Rt9t+S4/Bp0/HLaFK9SObh+8oP14b4sfAPO2wEtD9665hY5x72/vrRdHFLnKle53EuwR
vFC/klgB+8n2eerzg9f1G5S35Q+BeVviheG86oovJv/a/v1IQyFSSBcz9rhOBabdxRRB0vUQj28b
8KcsaT/Ij+5wAMyPZF4Y0BtrVZlnKVwJ0FgGVKf8XnLeJTuBIVEuE5IItA/vp6xsP96P7nAA3o9k
XhjeD0EInPt5pvibk033z/ca1m78Da0/DBEE2r/TZv+0Ve1He889DsB7j9QLQ/wUovG/34xTfkTF
fZfXQ+aM9mj3plUbA0u6bccPXc9+lLekD8B36/dfGLJQMHgOLYZCMxxs+xmJPapHgt0mREKXLtpJ
sQ5dz35kt6QPQHbr918YspfNGhoNnkFrKfBdQHdJ93cHG4H25nBUxt3o86+U5+Er2o/ujvwB+O5I
vDCEb9a3DZQuymfxw/KICzjAyuD04v3rUUfBhvne/AEDvnntYP20te3He889DsB8j9QLw/0q7+Ak
/TNoNgTT1BVAdX9vwH2EOTqC5k6odtCdNrHDV7Qf6R35A1DekXhhCC/g5P6z+GX3SFDsco6/I7wb
XYNfFpLDH7yD8OEr2o/wjvwBCO9IvDCEj4vqrknW+TNoMYyYgPESfHO+6f71iN3mRxy2AMdw1nXz
2rHcT1nZfqwf3eEAtB/JvDC83yQwgsAmX58nIFMScUq/Z1GP0yggRmFAAXSR7ATbT1rUfqwf3+IA
sB8LvTC0z9bZcwCtjqCHE3p34SD6/WtPG7fCHLtS7HAjh65nP8Zb0gfAu/X7LwzZDdezgMzqNrG3
5kd683cMBhLgeBESUFZ+iLd3PTPUphiMR+KS7ijx1ooOcSf7Qd5/mwPQ3i/4/wP2308Q+jmSyV+3
6+B+mNMvQ4T++ur944IxVDuivz8X97OZ6/jrn6/BB1MOU61+OSy3udFWXnzfXfdjL20L3a1t++dr
mA6ljhiULhXDGMbNIAX3G+4eLkH/CYVzHdDyK6AnlEDcVkKTeQyzplwgz+ElNjzMpoEFhKzp7i9x
2G1Q54SGcaBpNqfufk7bujL5FJny5zP5/vOrsiuuTFK29s/XGzdSPfzaZrUcQUJA4X4wHQPO91Gw
UXD9dv1m0zUJT+D/4ZC2U1YJfhHPDm3eERXnRemVU4H9OHY6oWVqSXJuZUY/VsYd6yUa8mvkUE8h
mhd+k4xt4rUCha6epGvr48I0sz+JnnLdcZvSwNrwZKD5EGuTmzm7NkX2oRqKNy6OP48DaT1B6cXk
lrXPSp4EsxgTHdXxFyNiVxNUEh8qg7GekOONbbdUZZp5Bckmf6D2Jsbhx0qVVXxqUDpPfh4X0fg+
y431iqSblz1vssr4MdzV9Uw3teU5cyZ3NcXpKmFJuCBhPgSoLRMdln31haTz56hPXa91i9DDVbmw
YzJ4pkhXdeqskqRu9diUXxBt0mXuhNSfWfEuiZxbcl6V07lhmT8CdeqpfM68MA/f4lpeFwYFauqX
6XyNW/fd0NsProwCVja1Ov91CtcWxLemmpokir/PVPv547/emgL+ux/L9Z9/3Ixk+89PyzuzOZtp
d39po4g/f+s/o702G//nnK8ddXqY6/YbXfvLi09TRNi6Pwe2PVLETeGm3KOIG4v7XRHBDIOiQROB
hAEhjGx67H8qIj1CcPiGuFC52BxKh0s/NBEmy8ABLNAM0BEuEIWQ+4cmAlkGcymgiRBmhUEjMFz6
8RC2YAIDtEcTyaarcFsVQdmhPYmRTU8xVEjBHPyqihKyO9d10HxJi/h9TfPWy6ep1GVV1z6ei4Ws
3SUezDGfHK8f1fvCTJFG3Wj8QrlvU8nOqWmPizQN6l6G1heiKFWQxEP1LjcKB4ag68gpm+N2SCLl
l3nqfCG5KYguMe3jUxH2xejxEoXazUW6sm2aBEWXdteorKhvOvdmyNzZk/10qXiO9VhSv4rnTNej
eTtNznvDy3fU8E4jMuceaoZj15ku40SewPFEf4rtbTNTzbNy0FGK3lQpuVLSeU96W/pxS7EO2+y8
r5rM68Ly29TMqY4JXoRMRD5pChpwMl62DV7XeTr6vKedP5n4az0Us9+i0HpqlEGE2sGrTIwXGTTq
h5V22HQ8jMbx4iE6xZ24pFnkdTg+nTvhIRwLry/iSmPSnzZ99SFG6pPDhNEyp9eZsUHLi/dZMs+6
Sed3bTMs+g5XFzgcgqIy38Dx+32TvFFd1eueFmdVVBzjYnqf2e7UMf031PDJR84kPEJpp+ek77Xj
ZK2mebaqrVN5NHY9ZzLEDwnqPF7F8pJM1eTNU515fTvkOjaD16om9U2KEl2gyQlkls1eOVbYc5G4
jafopKR4WrZhirQdsVdKcqxcuuq65jLMm9KjKJnO47qpK126blcsW54nmeZ5cUzbxrOWn7djVmhq
CPHisl8wFH7JaKqzfHQ060Y/Lcd15JpMwz3hLKAqfTMOeoh7V8fUWaMmSr2mb6nGGfWwVXdTlslz
CQ82kMh2C9LF7lk+0FWVls1NbEN2QdrCnGIS9ZEWKvXnplvF/Th71s1ZkPfCl0WBl6WTtIsc9v9F
l8ilcNixU9v3iPMV6sj7oW+xF8UW+a0l+IJWJD2rSlPpSLk4iHkx67BPHV2OKfMoc8LlhDG6qEZK
rhNixCrJ+qVi1WoaopMis6Eea7KGI5fcz8opuRSUDJ7ibDHJYtG1dvDxlOQeH8ovkzUL0icfTeTo
RLVZEMWAZ5pP+SVjrk7GYvmLUdtjJTY24D/uWsK5IQbWBkYTAtkHrU4YkoVfbURFxz7LHYUv8+Jd
xr5y7g/F8ZPfAg6hQUyCwEZCuRZiol/fYqqi0aaJyy4z+6XLrqbqbanO/uuj7oNF/pfB4nvg+7tm
/dhLbcR+eCloUnXpZmCZQDBYFG9aVX94KYgkuVAcU+hJh9MJ7i9eih0pBKMMFQN/5EIDzS9eCmYj
Yei2uT+ShO8vPcFLbe+/TbgooMIPqQzMeuAQM8ISft0cI3KivmnK7mKeMq9uOh1ZrhNZ6L/egxgB
X/3LRr9/Iw7T3BhsdETg/OOOM8R529duyqoL1HH1Lotrx/UKkU/zCsJm3ni0LTt2DKHlfJOSLNLQ
WsQ+pFJEnyqTypMmmtQpFkWlK9Hw8Sqe6Bs6md747hQJe9pnqaWf+7F25dUQ1n2/SLFhfs/6RLuZ
k18OaW5xkFSVIYEZ8q73pBOFqU5sWH5MskkFXM4N8m15y3M2XAhWgc53qMohaMzyaWHCkXp532kn
t2bQIhkMvUQ95tlZn6eXTZsNuqjK0YvVFdCBd9xWX8s6WoQWvRV9vSoHuuSOa5YEwadwqiRQLFyo
IuBjcRxOU+3TrEh822A/n+pvsYzfzBW7wKT61tH+JsdREQysST8J8GG+irLu3BFVc1Fb7p7kiTqv
VJEH80ysLh2HfmOpLVcsjNFF2dZVUPRhrZPc4QEZ5Dlt1YUtwfLNRPZ+lMxk2Zbi3YSdjzmJa3BL
MW9020ZE6I6SGLZFWAREoiSAE89wi5YscOY27xrW0tF3ZRm/sVHvBJ3ATaBGNH5keTLBUySm1Tbr
Gp85zeSnfH5Tu608iSHPuvjrPUZAyXa3GBzvgC6FzfFbCtt6ey/XU1NH0SibCxsU66HR+Ga+EdrR
tdeuylWIdexHQbEUQROUmp+wBQ3IKvSy/2Wvc9DoX9YhoQwHs2SBOgBiF8w79LBur4OPzdBFNjYX
IYlOpjwevSyqQ10NjGgpMgXhXEgXDXEbyFEkOo9EE55gwMjN6sKbxHShQjRpSebP7WjUwpKwWMBk
50Uo58+Ch1ynoRPrcB4/1HklNGnqyROQmfnjEBKN47TQPB6DiarlgEsvDWevZjLUM1erGaKyiZAl
hKtY120Dm0IxCJjKVToy31DWaIOqYBiiMxJmsc7KBOKhCoKUIrU+KPHFMCq6rKM005ZG76LBrDAt
zrtRIu3Iaoky2GhC1WzRofTmryHeNiLwZKENHKIfdzPYk8JJrh0jomYyqKoImwvUF+kSDEEOHx6V
npPEATcJ06yOwFz/zDquHlzxrwk12Y7iH7/nDprO2IumzyJ7UUf0Ew8bb+wi489WrFjRnZs6RDpy
m0qLuvZ4blvNWTmdQeATa+nwM5PIjyixte6t8y3M2AKi/3Ni3GsUzrc8qj8XQ1L7dVlXp/cL/06s
fF/5AzXwa373a7r3MvPGjY/6ieCjvPFmMwareeySN1I/XPKmbw0mG0FfG+X4gaf54ZLhEpRVYZAw
sDvQ6yTBhvxIHBVwO5BkwglCcMfQUAEb4UfiCOeSYKow8MCuwBS4nCdROGA1twwI+EoBdhHoIAIs
I3BCaGeb96Qkbe2o6ZK7yi6Qk5eBZchmOqMyrE8lSkeu6547jsfDsjofhu4GFXzJZdZr28ydTmLE
z8ZyhG2XklJ3lp3AGQsECSi1C4LB+rsGFHfs6+qaMNi9Lmud02KK+NKm5qOaceo5HN2WNUNgUObr
IoE0IRxM7jtVn2saictZ5r1Xmh72fyUyLzHDrLGMqO6SCBinglxn1MmP+2Lo/CLkAWpivnLEOGpO
Q3uMs66UWrkl95IqewN29G7I6hvTJ2dVMTR+g1znOB2d8SRSee7NraouUed+JoS8UTXcJcTZOST5
g89I59uxzP1wUOcQeeiaklyPUX+Nsvl90VXvVFqfJrH9DDTXMq0KWOw8EMio0jPGp1F3Az+fK/l1
VnnmTVNWexJyx0kYA4TPUHtO1xY6dseFIuFtFlOruTSLEFJJ4dTnJak+pkkBRo9WoZfERRMMfPoy
J+QCJw38IKs3SRxB/pzSWl5ZKp1p6XTlpKsY3i9EQw+RlwFSrAmaCuIDMS6QGiBOaE87rBa4me9m
KZOAi/60HCFWEo2Q2top1mVnK48VaeE1cqhWKlJGD4R9qLr8vHNo5NesCvqRcN9Od6FwA0Kq1iNh
tAYm4lsnwJKJjJd+y2azwKjNz2VOrsJmcrVwawSJXXUdN/Na1pBF4daJvDg3rtcwiBJL1xz3pH2f
pua6QwXSrlsNkGSni7leQBbaeDEtlx12r8ch+tCWldJtYU+jps393ikgh3Rhu0rLQ51kUeuLaUYr
kZdJYArLtInCNkhq9b4K06usiGqvtu5pOMjGn2o7+i1P1miaI6/tzVqMFDLe0YH4yQnnVdhC7De0
WRZUEQPXRTqkEZ4rf2QR01Eb3YhQwJ4ylKxIUZy3oRm9rsyUDscZMr9axJoydpo7wzWwmp9KQUNI
NwsZcOueFS5ZwZm01usjdTmW1vq5Q7gnYnyMImS1W2HwAkMY6zQfL83oHDembfQ0ZLdAvnxIC/ql
moardJOCQ1R3B0bqoiFRoZtBXvQDR0EqZaNDW/ZnarJXtKJfU5ZU2lbxiubTlyFVFyMpbxKgfLyC
z5/yugWSwOHRQvI0XVQRBPJt6H6ypr4mUZzrNM3u0hmi0ImEy7kbgLvIHVdbZnOtouTGxNEASp3k
gVNlH8rBfMBNPGm3Z+sGpZ9LoBcAfgjlKgMETGLoeWfk+7RxTnHUn0hVoACNPHDj6iQ0PPU603k9
5B06Vc6ntp6WIoXvlmiKXA/CDjqOxMd2Jq3OIqpWfSWUbwtVrAYMG6+2il2SzEjHr/mcfP2vW7xP
VTel5t+7xYcp1Y/d4n3HwQ8+FaaVwBF4wqHNH5oWNg7uF7eIiGDupvkfvCA4pB9eEVwfOA4K1bAN
hXGf3v7HK0KZmzM4vgkNiHCQSzyFTgWS9pFXBL+MYGYwTCUE6nTTc/5rqmoqPmd8Cu0lyulbyIFu
iOWnBbPX2VileuhZfBIhPRSYrdJpSv0iy8JF2LvAtI1dqFFdgYmewBmZyXmD2Dx7cSWwHlgLijDj
6xbVRDMF9yqFiYM8rfCxihqyMdM3jShTPZdGamzGc6dGRhdlWnnD3DueM/LQF61IgeEijm7aob5A
ZfEW6Ep+Lvq5PEsJbHbjklpHoY0CkoslsyrSsgci0I3jSM9N+TYuJQVbAukhauxxXXGI+NsosBkm
WrDibq7j9w3KHZ0TvjLUuXHmDDjW2p7P89xDeB99gZGPqa55N3mNGQLghlN8hiP6tYcveqFAOUYr
Y8LIH/qO6HruUngiWQ7U8Zj5ZLZVUE3pepiBaxvb5mvXDie4BaOuEHygpg+PbSOvJkg79VQGznzW
tfhkZPIzT91jKNcwrSaOfCX4WRM1V0kBXpr1stJmxJeQLeY6Ql2AwWd7LRVWt1Fkj0UDIQZkl29I
NLBr5cS3YNqubSm70zCnuZdgYH5JbYi2oscL6jZdUIWmDfIM+NMwG7BukDwjSXw8dZAC8Cb2U1m+
GTObajR3OKhpITxpJ7BnqhgDSDDqIKrb/iZqEfVCrD5Ejkm1SapljdITm4m3TM1r7ETlspgy3aI2
SPtY+YbEma5oE+sK2MUB9cRz2/oE2gQs4FcvFS1SLwtxia4q1pY3EKzBGzdWV5m5nFlzCzGSOSa9
cwUbfK1MYoCCjsqTOMMfm7o/b2LV+Y5kqZ8M9G4curteTNPCtmMFVlGGKzHyLwWoqDawFC9L3GyR
QOzHSWRPC4lO+jT9VM3qdK7x7HETL83gnNXTBK4DSbRoI0iCTRYOurH2ok1nUJ/+bRyFX+pYyFVJ
1ahTp7gJZxrrkXQfaiqOs7qNVpKbk2QyuTaTC4ULWx67EX/XxCg+6dvS1Vk638A9hzOISntvVMYE
LWRFXpnMie6bMltgtQFvpJOH3ND1ccg+WJM2Xj93HcQyZXliSTd6oyOEjqek1rmFgsk8WvMxQmG0
KuO4uUqh3qMHWvtjOeGF7Ir3kCSn4NDjxdinWFtiEgCoKoMwT7vAJlkC2t6SY5sYqFambuw3pDtG
s0THtYyPBQ7zpQtr0bVLJw1msdWysFc2bWdtauBP2nqVOq6fmrkFJ9qmXpU7GDSNtZ6DyKgnFgsg
YyAzZrjUAv7iMH6VRkob27/DY3rKm+7EUMjpWXPTC+CPZlssYyfMdFmEsy4zfNGP3bsEai06n+Kr
gnXXWTS8l9l4bov5I7DqQmd9CwbHpO/dnpywEa0ma9+20kW67kqIbYyhWuXjWWbrQKDGLIpJWsiN
x/OwgaJHOeXBOOBAkOqEdF2pJ9t9Yzz8nET4kpn0wumrqzoVEPj29ksYcoiJs/ljHlsKKbWUQZkW
n20hiA4nCGtaUr01MTsdncoEfQ67pg3VlL2nXcqhCOuWdKkkJ0FsxhPFE+P/14Xfu3AKLu/3Lvyh
zfaxC99I/cxswYVvvk4BxgqCw4UgdMuFMyWkUPClGuBcN3XP7z58M0sWLmHJBKcMOtOAdvnhw4Gh
3jDEigPnLGFoHX+SDxePfDiD7+4g0BQFaTSTUJLY9uEsjsqShhO+5DmE5ysonYEbknV2noa5x2Z7
LeP5Qwi5BqnbfDlE6gNQO1YXcai5iZYqzCH6zMZ3TVvFATXNtdsbKPWg0y6MPLcYj+lo/blb8dT5
ZKLoJIwWsYwucaqic5NY6bl8Ur7A86gz6w7aneavOVOpnjqeaRbKT4KFeSCp0y7Y0H6aDQSlBPIo
yvurZGhpUEPtCq6j07kfJw0VwHOGpKs7kb8vnW7SRYPuksp+G2byVQLLC2XWLPYaMt4Uchy8bGSf
hsn50MxQThrnGlyVK8EIqovSnaZTh2XQRjH1UIqFKtcYpr6AGjL8xX7jYQc83Qwl1x77mEB1MSUJ
EIghI34RA48H2cwtyj7y6Sq27gwW30v40KzcVMV+KNoG2iuGiXk8Q2Ohy5jS1q/oNBw3FtjgNU5Y
2AfJ2BQrqBXGUHktsxVUGGsIhBzIJthYBShsBo2QGgNLZL5AkCofU9I3ULJMml5P0dBex1MNheQ5
b657Q9MlFFFroOxzeFQ2jICcAGcf12kE0VNGdFG7H80MIdbQZUPAGibBs9ksaLuYa/AiRRCqkC9d
MUzXsDeZTrsU+SkkzLFxzQm0ZBQaOLXkPOQo9QfV2ZM46sVyhHKBLlneWb+GwEA7MQ2XQDh8I8rI
ZR3XnVdn4FSw63zpwYxqKLPUQd/nUOqsIdBLrGNWDLl3yjHQ9VIPEEpVsFUbxY5z1FkPcpz8StIo
C7DduD9nAjofl2zJchoFWW/5Usb1XTFiteRAAeu6cfIrMZvoBJ7cDATuUK4lNMRoMiVoFSIGzwY5
SJekzzTFbdb4WIgMtpNTQrZYRuBPEgiBuAXzK53mdBBmOI2GrlmqOAanB0M2llXr5gGAxyB35N8S
6J3QbIq/YYfRpYUacwzxUAEMiKpi3UjJvqACCsZxWMQQNidCR0UD6VfF+iCMBuzAKktwfWWXfwGd
i06alKDVMGdlG8SpnFEwUgmcCHTkpN9yaF5YSRgSf20wtDcQCTWZNpxRc0qrxGvQ+Bb8ZuTnKAfi
gKpsYfL6/eSoyENzCKGxGkxggSnnvf3kRPUHmM0GVV6phiAu5jHoC2N0ikQB8Wr6HpfmKq1t8nlS
M9DfcRSfTZ2UmlWQoM7dNbROSc3dPIHvcRH1sercuzjvP3coXAyRjCE+cb4NaWuhNyL5RJ30JGf5
x9EdxJJaKEsBdbExIuocHsVxl6lvBvQUCJsU+Av5Fkl+VeP4pILvFtRlYy4EYrfEVR/63IF8vhmv
2rmRx7JpVma2N3ZW7+rYDaElqYi9umuCPp0SnYTJtKQQvHhQhGcQdJSnQ2SBxYnfRNBgAJEE5Nld
TutTjub1mKa1HkqygjDmJBPhpaTDuTNCIAQcvwRNSRqIJkZg9pO81KxUyRcIgcvPbtamq4hCDUyw
jkIZXLETmArPNXON1YwXX5TlYLNQVwYura8gXLxxIYxbplmWnERlB6psoirIpkHCkpzWm5zWXVQj
2KTQDNF1Ad/CpS2oy3W3UZ4ZhaHfbN60rXgcpGGilshWyZs8aipfEttDCb3pgGN0I+3wUS0rhqdg
TmMJqh3lYGHEtBy7KQ1Cm1A/EQUL1Jy62m34NztFs5+x+Xhq00tU1qcFTc94NxYBHRBZUuhJCyiq
wkXGbLKIYfbIMg9D7DMIj1bEHbmfVlDcjPPZC5OELAkdwdRDULeKC9BaMgxG5yWNtBvnuZ4qsFKo
DvFyKOGT8qbnm1aGSHcpdpdOCrWRtIB2iRroJGA7c6bBTHUPtaT/kvgUIpPfhzqbPtazLrGvLr8k
tvrZ2/uffsyN+I+Y574fE6p9m1n4UkGJeSvm2ZyagxZtoCg2Qc/PmAfOO28q79Dhi6gEld10cf6I
edgRHIYFMQR9Y8D2w9eDPqHADvf5H/bOrElSW23Cv4gTgECIW5baq/eenu4bYlYhiR0ESL/+S8af
7VmOfcL3vnHY0e6pqSqQXmU+mXxnBkLLh1mADE8MKR/+P8aoHyeeASbECOGE3/IKS7x/FkH5P/xG
PGvjh9fYLCoG1g3QGnO9CI8t3QzJ75jP2mvduKvMesNVdGxKHe9W35fDLqrX60qwsGVRY8a9NbPM
qdMNEloeCx/9qcNszqaYXqEox+Ox4UV/1YPD+rTWhPbXDV9b82DUhmdu50U2Hxc3b7vF7Q6qrOt8
cAJ3v6693Q8t9/MFrv1+KIM+h0Uu94R22NFmeiejhu87VbuZbvmwFw6v/JwPrXT2TQ254bEZbPm1
ltO8I54osCoy7IZ5XJnAlyAv8V+51wU16J+gdskjxGSFo1i/9vcTbv9B9HZnHS9MnLV8TzrvXK7l
kEAp6RMVY0aZ+/0c0cuiqZdEk3Ojy/ldqMhTH4+Pg7IX3szvaFg3CaN9mygRXPohyHnQX8pSHj3O
1dEbtMj4Ss+LVyXMrVky83bvihWnr0Jg+DKnIXRfOylNWlURxZmsvx0ElYe4KS96dT+WVJlz2ZEo
DYrAQij3sCvBUDFxnJuWYneJscPzgMDsXddwj0HZnnvTnefC2a+1OkyO4Pu6CodMEJty2+X9Iq71
EpK8IAGkpbLbWzscC9BrZdhXe9lA2ueOOg62LWDhe8dmXGEylPUjsOVzSbB8Ocaln8ysxtQMfEld
n+7WDpfq6ok8CCYs06zJAA8c166/LgGwWk+W+FgnloaMzTh8y/AxDEybkDXQBxzkscEXMWbSAmdk
10zXnkIi4/FwnNVq9m3lfgmo/uzVIdsPFa3PJK4dEHEqFPddw+rMWwMRph7INSiBzilW0tuPzP2k
nPJoqXMzedHzVDr7qgSizMyQF4qlmngXW7P7uWl2scRsPBT56DlpTRd1WCp/z4AsZD3BBx820WF0
5xfP4kzdhTxDpeCbpfO1dYG6iWE9hZV7Z/GHzl5zrVmZ2MDDIOt88Efvi+OsxzawF1I4hzh6txZv
LbOnqLZsF0qeD1H43FugBvP6cdYg6yY2nYNaXULf3IE38VLiK2yeKn6tuP9KYhpnw+Jd4qDh6RLc
9uXB1EGZlhb7dQgjJSqdJ7aOz4Ga85UrUJIlvwvmzk8wnGPrnsV5atURLmKV2Nl71znlE2P1M47m
0CuXXcS7r3CUTn3snNbVxblA0lMv431FKw0cYcxI6+ljoIPpIVjkCe/vHEr3jWgHpyJSiSRuh3Ln
k07e1MGqDqtT+6/twqL3I2sF7HBjiud6KtTDWkAHW9fKwyRfDAkYvzLrHaUyWWGLLCejk9533GzB
bXGZu1Dc6MA6JqmgLI6p7uh2h2GqapM+nmAP9QX7aIFVZ2VI3zmjT/N5pDdF2RWQdwBnTkE84mIm
KpmNrs4GQE/K/fBhct0hIf3SZ3zuINh68jy35rHuQOjIBdrm3I18p+LgPaWPEt981mvHZtE6NidG
KnotuhIftgX0oGj7MeBSJrQ3JW65GN9R+OTyDvCDNGrPDb/I2rOJUcW9mtqPeo3BW8iMSWi9heM+
FhTfMuneRq1y28rDLKev0bDcVqGVO15AUCRL9epLvStp9AZpOtFshA7t9TjaLLJLJkihiYzMZSzC
zBgBGjHKZe9/rum07rseU00zv8444ECU6oCj6rdxAmYw4GtWC3D46MVrxnehbl5Cr62TeJWPa2Uu
Tbwcpt7DDb7IF16ao1hwi67rdS7qPa+LBusnfZgmewvP63Utw5sWuCUL5pfFDim45ZOI7LybA8jY
qzuk+Dbyhqo324sxiSXdBzLEIa7qBQ4s4sjHtcxhCLapDOmjZ/GtjZWnEt5ET/0sThOhUzoK9xU7
wbkv4DY7orkTwk6HVvKX0PRRQtzhEG7UcGAwj69X0uDd12V0YTo6DIpDrA5f427OCtumHVO3JGQH
VWNChb4MF1B9cGAqhYs46MpictPFB3dSJ3zWmbBrk8R+fAq0uR87F3/NYDxJ1zkMIX0r3O44myoJ
IBpDjstArFnkCGC21qK8c4P1K1zcMDG2eXMDSRLfiiuI6n1f9E91M2FqbdrDzOG/wSozF5AHOLz7
Fz2IN1q0Z3cAleuDlNo1tQuFNgiWO0QIAZAMnOSKDe8bt+Q7x2W3MIbh8DZ9fx69CN5nudY7KASf
QHbVWe9y5/3SUVwv1qtyg1k4IYGoPiPSEWU+MHSaLca/LkB1v343n/0XTGZDEr7jWLf6iYDgWTUb
U7FhrBtF890I4qnQq+umcG6kfKbqnYo/BuE/Q2V/eYlt0vruJQyuYqo0XsLtoeRHt7q7XeXd37+N
zUP69W1QYJGbnYUc54+v4fva1Ess+C1CMVgcb+10Wdcnx8n+/mU2qvLnlwGkBq8NrfFB9A2W/O6t
8FYaEqmZ3+ra5r0sMRjiPuyfdXC3zF5CR7jF4enba/57lNim+r8+SvzxkO1fhdPtF38/RGxPathy
+JQGKC4E/fPdIQJNCzEi2uQb9QNc6M9DBIo5tkoONB0i/fGN+/njEIEsCaqSYH5uj/LxoBX9k0ME
2c43310x2zGCoNua4pVAcQOD++kY0XAGdWpm7a3rVvzQ8WJfcoclA1nOOppNumh/vKzab/fEtZDf
V33XyMCmpKk/DoAwwUWMB9gLYR6TwaR8oSSRQdmnusRIJJ3FR2CDOaDYqM2cZa3veoivZYilfh4I
STE5nFlBLkMYHFgbh1nolHsMpy8F421qe3a1g5nyqFUzFtfpxGsoFioIT5aJGkNtdMWN8MzDDlKi
YPfxEqmsGQRM1+EDKrublIX83VyHXbKAlUEOIppTNdsrbaKXtcB06hHyPq7aF7rO51h5lyWqnpwQ
6Aa4l3RYyudmAInnePWhKZZzZIOHppE7jzuvvlhTDhAX/m6UjkN36aL2PYrib0hZI48Srvt5hfeC
i+LDhJMGOA/odU4E+ITaMvHWqsrIsCINV/QmZ6zREApnkxSyvh2WFWEbTg5t6YsEht3NshHC3C7e
PlTTTtIePuQsIbqCw3R8e0cK+gnnrielzW5hHtIZvLlbA7ozZX0Ufj0lGKLuqI6ey77geReY91SM
0IuWsINuHagUgEy7I8KMWeNH+2mw98PaRDuvrE6rV30pLUgkNvnPtIQuO1R+kdI2vpVz5N9URXRY
GX/sb4LySGH+ugs7UyNlCkZtJ6K5hdsjcjFZmU9kmveDZu9LCq1G942fVK3Ye3XTJKpuPyGL02Zy
Mti4eg9ZjigzLs/NZA4Cx8yNFv04DOQLGk6+LK3LD7wPbjjlRyBnPDHgN3NpquAdgRyduYbB4C42
ua4/1SE9VqF3DXW5GxiHc1iJITfr6qc+p2bPdNdCeAv1lC+zcy+65XNs1TKkoSskMkr93vbBiGNe
fwqc3gf5Ci6KbvafD9y7QSorCwJ28Dd3tx3WD5gDn4TbZvNYQ6NzU45LF9dR/NKSmaTl5hP3mBBy
EfM1VxEkflhgUeptzvJUgRYgYfUQzzyjfkESAhu6iemlmEcvqTeHuuIS90VUaUhNHSzQzclGc6q7
czZ32xVWnw0MbxC9n8jmgE+wwtkmk6+UDMcOiE5STsuSOhaGZgALliNR1ra4UyA/rQkpu7sChntZ
u27WbR48hRlfNfRtgjk/tvciCLpkgG+PUwFOcbS9WQG1JYghnWK//QwCCOYyXP86qLs8UqPKnNVR
GXRUQBXhhkT0OCMhTbqHd4swpb/RBMNFyiPO+LlowR73BS6DuS4+mA1D8E1/LTYwoQGhsHbBofFK
JzFgFxyuviiNW8ZvWlzb4BvGGPnSDXiIiU+yuaqe+qb4Gm9UBM7aHJEqgBJtg2QlvBJA83BhZ943
F8dfw6sHxMIBeHezzhib2cZfRLEtsnVjMnRRtCkfwGmUy3ydBwVibmM4qlg8lgOu5jDg3nGoZJkH
Bb7xtUBuThl7D8CJJphP4SbXs007wCIEwYjM3RC/0gLkdjampNnokhlKZNb2U3Ao8X1tBIoy+LM0
6e/rgJwRWn10C/ep2DxQpKZOxeaKEmsRiB3bYZC33eoN71UcjktOYSTIdNTyrPUsLbA2Uvuw94sm
66UYX1nMy+Df3M5vIe8tX/3XM8EmL/5Zav7rYLD99u+DgYcWW7J5n3Csv9HCfw4GqCZHPz2MTBBO
mOF+VBeRLsVD7UHyAlSPtmjq7+oi+Q+L3C0JHv5/TPyfDAYAkH8aDLaGXSh/EWo6Q9cHh/XjxBqv
odOhtbG8cRTzEaGsp5xZQ450Nv0btm5TJxMw/wFWJ9CKlCsbbgfLfpTPRioJdZ3OiIgMfpCBQeeQ
s2jkzkA2WWs+aFDUwGk4BD7wQmsFmBiLBWEMmQ9CLUB/FXm9PUJ/Hfi4nzqnKh/ZNAEwCRFcRBAl
cmliuZVPdVvNz9CTpJ9WyjXIebNaJL6U5a7rkFtpp2pEiBuUYxXq6F3jzXAdDRTBd10dM6xzYWdN
GjQ42KTO2DepIh27I2ruXkndy1cn7MIDHv0Bxcqbq+IWaSzOkopJcbVjz3QK2KLmKRO0SOPWh9bp
1ikMBH11nai+iWgzP9Q+LfNBKz9IRdRgkHGKMNVVz958uCs2jae4tcBZNF2TiIkwSqVXRQ+Ox1oL
QLkWh2qI7Kfad0hW8sCMTWrcPhz8nY5DicNYQLRqj2wm0z4c8IWMmVid+XUSg+fBNYQBG0hPl00O
z7awNLf+bGfAVgvWjBh0Lwy23HQD30fuZO/HYZZvJG7G+zgao52sqBcDmwnKp3rpbmIydstd6+DT
vGuQ8nJzPrptnfKi1f0RMVwNG0n48lVVo/+0xrrScD60wqrfuKI6uKSZoi3RUchj7w1yPdWRCJYv
dGH8S0ziaK8nUuwqUbZbhgQZIYyYEKScIcoUE+P7knjdcNs7TpxSrNv/nma+MSDu365cvz2R89cV
a/ut31csRBiw8LgeQVlzRILtKPEHxok+KmROGUqcwyCItwcQ/s5xotTCC/AjMJbht/KTP1cs9p/t
eaXoOEAk8bfF7B/4IXio0k8rFtZEZLQ2zgR/BVgj28+/O/wio8SVQwvkUW0XGUi6LYDouSRTcevT
lADHdqTjH9hGaDu6fDQbs61o0GHgBcftFVQkS9WrXMdTkI1h7R7cRUFy2xhwDRjc26hwDTzcbpx4
TcoxG4COV98YcsDkcoPKN7q82zjzmY0AOjb2XMR0zJT2CqQSQKYvG6NebrR6SUHib/y6F4mXGUC7
ANhON8K9XbNmtnuUSGCi2hh4BRjegt4CnnDE6Aa7cePl/Y2cjzeGXgCmjyW4lY2u11hwgG35d0D9
wetvDD7baHxUWLQZMkNfCUB9IONTWjtRPpkvOG5AAwyBKmxsP4o9rusG+zccgN/G/wdjgyQAwYlI
dZCPSIsjomUx5Lp5PRMrZO4jTKBZsdPtfPYQMvAQNoADtx8JpFSEEHzpzSnGWpUOM/kyxX6qFlBq
sQtNi1waxDVtuCATyCHwlhEQ+Fo8MV01WVV1h1rxfG3lUxU72TQ1993gntE5kha14OkQ1vczvlIN
eRuwuBia/YSVc8dod/LgRDdjCdgzKi7uHF+aWTRpUIE/gCLrD/feCi3rTQ7QzPORtLy5d+xkun3t
IUbBXeW+N1ZCjqOz+uSHZAf7Z0mErz/FY7nDM4WgrTP8WOjlC4b5MZUQ76Cdr4fJlDdBU7AcZ16z
66fy6+LQIZHMvFI3fprseu/N3hsZupPb2lcxS6xmcPTyiAefhb+eFpebt6rsVSKmDtYOwVF2BgwT
uiAHw+G+iKtDNDDnoqP+yQi8ra7S8Go4uy3WUaQAnkDihZkuJ2T3FY3ziRr3YKOvnmyDXHjTu3mq
yqzuwPlUzL9RHPG70BGnobB71AWE2VDPQ+q05SeueptW2tgdg3KcSsP3vjO+Iql6aHHbIPDSrHBM
gK9GowWg2aAkgarjugQFMFXnzhTO+2FyT7QjHgRK+RwWJc+R948A6AKPjBnAjuFQRSoC+NqeGsyt
SVl3qe5ZiICM+jqW021XBx/msbjQCmimMvIGwOq5I+Wc4CB6bpYKyAYhMwTWKBlK0DnY5Jd9v9ZF
MmHPSPy4+tAo9mqjNofbdXRH/kqw2z9ah24oD4YB8M/PkVM+rqCtoYi+78tAHLsyPtq1PxecdWeE
c97TFdAPix4dSo8lYbdOPN6XgHq6wN7U9XBQLa5NCwQs67xGZ7PPH2bgZMptD1yL/SDLOFdr3GCg
WOnbOI/YNaV+KNhcJohe7OD+n+kEXOnfre3b1rY9OfGvh/Lvnjr86/727aGLH/6/fynansQYBQGO
hHgsZ4A/9ff9DVl7bCpb/hf7FcJ73+1vMPV9AvLwD8P/z/1tK2mEZI2onQ9Acss9/IP97UchPHSB
UboI8LnIAKP58ZfsHhLrWImbWN7oOrcghIpyH/Qv330wd/8lk/ptj/xTQP7tVfDc2RBtUwFwzhCf
wfd7aF+ICgZSKG+mVooqa5nblEk8GJYW8BdzSUbsTcb3LhFnDay1UqaVLc5z5csHtyvvK9Ru+GEp
Lovr4mjrOTBcsYwnlSfc1OXlcfHro57Lq5jjQ6e9i2uX+xHWQW/b8zqQWzHwkyvVZkByDjKrj3fR
xrkVGjyR8OPP3loCr0RuC7e3wh1b6a8CyegEp1yqkqHQMcJW+P01cuLErFieTotj632xrFE2bZOk
3GbKVVuMl2pqXDCUwbtimzujKiRvfu2MiYOz0V64qqR5qXscI1o0rLy0rWcyw3DKOPB4G1+9b6Ps
TNgNNaNZ99E25a6UlWDpEK5i76zf06zq/Wo/OJaGe69doDekIB6QFcAoUU8GARIctW4ZHMwr/vwu
A1IO7m/V59Zp9qwNREY1NsW49KsM+TyBpFagTvpbIwFeD+0E4bemAv9bawFHf0H7W5OBB5Ov3+oN
4oFGp5lr/upu5QdzhFgIQ0PCI7IE6EZgrUL2z/fDBZ0J5Yz13F3G+LltGUlog5yfo90g87u1xB6g
lhRheIOAXjjfxFpjfMBnfmkKO34YS35eDRpazArdLe7F0fGBVkQeqmh4NS8PdtawvsCMx60XP3CD
pPgkS5ExE5e7tqvddFXoVmi9LOrFC6vD+YKvbs5oL2w+TCj4glkLQaRaxYlaXebRZOx+miq02MQo
iRnL2Qcu2o97SuYDoIIoK1d/vOed9HLm1FesrpBsxmZXQyIO2vDISo2sB60OqEVTGSfu3RgvjyAB
5mc+r+xr664wZFVGl5V+bYXOwhqjXNF7T66jd5xOO8dvVR479U5B4pVQQZORdp/HcfrSCDxYWJp3
qAPLBjKfYlhqIIaAzNk9UPurQUMCiacD4B7EunEaHuaPbqivfe3sKkD1BOztoM2nRtuEt58KV3vZ
QiuyX7c4gArn15CKj5WlATQeNZ6w222mq734tX8k3L/STmcAYF87fH3jRBDHYVGO4NKO++ygXfsK
/DeHIwtU2u0TzITYtsfGPcrQk5lnygwT9x3e40MItD9bheWZGOCoB7MrrmVAVVoW/v1UNeN16acz
91dczJO3r3qc9lUR4SqrzTnGTeRCWfXjIVsZu7COXIK1fcGglaowetQ+v4dCcInw37MfX2o935ex
OFV+l0NZFTm6F6D9QfeTJQZQPSA9C/3tRjnqrVXeG/CfkxjVua3YSWrvHhp5VvmoHKqqaxjItK96
c7ZRdOiAfCesNJ96FR1wcM7iAU58Ca3T2OWEo7Y59hZ5kYm1n2tT4IxaIvtrOIbQcCVq38fdvgD7
8WCN0+/+fuVFNctPpxes76jQwfkJgRn8lG0//+70UhqvHg3Q0pu2V/4WfjA5/BeV1fVcXaaagLWa
ix1vIefXnf3idf143/fKfWLISyMItT7oQV7ctchUHL246wQcmX5tlORZ1yEtzCVsDEyAu9bimq42
UbwIx3QBcAsldvaziE2HuW0/QmnQqZDjOz8qcSDwJlQ0uWojGFNElsf1iNqSCMGMZu/JYe8H810F
dwghjs+mqh91JE+6UGc7Vqde+5eoay/gDuL9tBiYRUYcfFj+6TiLlBZOuysDuefYl7LRHR8Co720
K+nJLWPc14S7l2JC5lUO67MUM2JgFCOub/zbQNgm7Sk16Sq2JjB7U47yqBZk1ZdJZKLqj8UWu9UM
XRg1g8c9yTzk3aXi9ZxEjX8rquWMDvYD9rUhwd/SYl8bd0gO3SpZPQQR6IO5mauMgstPSecmxYDk
GRnnrLYY3SCyPgdmg6NW8QHpwrPYuixWXKBssDul+s+qd/deV4OJ9V5lbXBepCmNgwOOf1cy4lG2
cXRxe3dG+5TzufBA1ndAO6geESGoau/odNtaNl1ERN/7Lqh4F/g+c9SrqX0PBw2jcsQebokNvazZ
bKKgkwypY6nftQT2HRoIh2vV/s/aJygAPziGuFBpgGq8COw6gXz504ggLcypAcezmwJYDZEnBJ+S
v78ZfnGxgdzDdkMJPbIcEA5+MsshADYAHzm/qQCvOfRWaHEQ3cOwSFwJOMvRHijWb8MxWiv+e6ue
91MMFG/kp1fd3vd3N6Du1NQFxHGurmmQfPNJgij7I3bF9xxh/qREnWQKuvGFFuQ4I9OdzusE2R+Z
ZsBtok2BGr5vnegipsBNx7rcVfHifWQlsI7aBbzA6iXjIPWiKnilhVpPXkUoGgwQ/sy1jZqcdQ76
+7qZpaAqzVGvEfnYNhKBEcD1uRDiU4VrNe9dpM2wAptsy2mls44fdVDZPdbDZ81n/1hzghqj6bOM
4gM2padxGHZ0XBDbCuWBuKWTSxcTSrU0zd5Y7aZ9TQPAYmGJ8qH1wS+brBEC3QGE0ySMzRkX/dd+
XJAS6MRxCBz0nwVPq5UvgatO4dQOCRgZDvQcvpOcBCxPHR6VlWcfqFRjCj8jletig1FYZd2X2TX4
n2V9ZeW6b4YlnwuLK9jN1cRrZPs7tAQBg+ysZNlQFdeuZykPo4PXbp2CfH0sKciGtXOe9KS6hBCY
azaa9gjFAO3T7QfK++vg1vd9B9FiWtET5J0QH3SSOSSHqAH41Xnec2PKw1qsK0r59E1HsUeC4j4O
Q/CF9WjXKwRD3jXY8y64REuV/v0lvgn1391Fv15tP4lVC2Ss2be42uSlueM3zq4/9++WvT2GB3ph
2HrST/6CMiHv2rwtvzW4/OW1DtD4v7042lJRNIt+ru1xx99f6l5XMhyEA+faZYAqL37a7fSaeGfn
JdohcP9866SXlzmXYzJ/wD+qG3Nxk5PYFejMS+r/8bf5ceP77ZMgqO4CibA9cTf8Kbpl3KVGZ4os
b0qkW0mVCPdlmA9//3H/uGb9+ho/mRl2qLVTllWJzfULHw6xuf/7P/+/vgfk1VHPFBA4Jz99m/VK
reOKHpu3c9fHuB9CzJy/rVD/cjYhPs2/Pr6/ouv313P79jvf6dLowwKg74GIj1Gv+ue5HU2uyNa6
IQ7zSF/jX//UpTfxOQygWOMRwZ6Lk/2f53Y0ucL8omDfY7D/qIH9J+d2+HY/3G1AbFD6DfoHuA7B
nonT+49324R9q8H5eL3tpsJJOoZGkmJ4mnzEdqRvpswidvQkZq+69ae6fhxx2js4rqcP2hZe6uHO
RPsKskx9QG4IyCDQAahfNZH8QuCxpRMepHcu+/ljrBfEZw3aY1RfrXfYQLsU7FyUxrpon4IROXBX
Y3Jr4myGuXIL2Rrhn6XhDx6PUKiCdumcz8i1jFgda/hhh6oiGqkuBMBCfSSGPXHkjHZrAA6aYty5
rdBbmaJ+8M1x6XKIF/ausb547oOlvZa+aXaTjXXqKJTXefgIboUHhXh1p/jQAzS45Qtk6ulbP8fW
1FFtnR1dA0uH8+h9C5dpG2kqdNHUF42qD4XKj2Xr/phQAhJvbSAhakFcHYCe4G6ObtCTQnHIjAIR
fJpX9BGg72DrFmm3lpFGlW8hakdWilgx4vIvHCf6IWyqvNs6SgqUlUxbawnZ+ktI40GJ5PygLNhK
h6JLZWs7WSEb0wGj1mQbncB6k7tpK0cpiwV5BPSl4ItGrIB2j61T3ARoVGEW5/UtXBqga6VA54qz
la+orYZlmJB069HMQlAPlNjC3oQtvtKpW7MeLS4K5oVPhheLdhen6NCeVoICQO8L3Qpgoq0KxttK
YUBYHUM/CnE2R0QVydZb4POo4qmDA0WnTLuVy7RbzUyIvpmO2/sA/TNyK6Jxtkqa+duUvNXUUMRl
2S0xaBP6CFo/NMdo0yAhFpwd5AqwlXoDvIEQtQOIQH1xRnQEaBYknmN23yzbIpbh1Z0rtAUgNhaF
gCJw/L9g7MKYNIPdKdChm/GQib0JFTBsD+iEY/2HIUS2f2aong24+tT7XZDAsDW5qI3OWxlj9IWu
QpXFh4xaxaNjxh4TgfIATbOtmbc6EN49VE2DzVwEx5XFWzVC7T41ZTEmRRBgdoBCPYQS/YoxrWGE
LKkN3CYhpvhiDPJvDsPIEoZPw1TAlG3QNY5qWkhxN/BaqiPgbJqgb8pNoooeHWA0t5Ae2gSlgBPU
HIFswxA8zmordprCiytwDogbE6euE56GSouTZ9pzH1TesW8FvqUpTivyfvSKW2fhuwWl44gFi/3U
D0KlcT3sMd6jlxZncNZXH8sq3LG2w62O26TrIpyH6/qtK8fTGi3dUTlgjyrhebc4IJOswF73IEWP
ot+AISnAipu5dxBzjFHThGQjZtataQvVfEnRrffGg9hu+k6demNZon2/OLhAT3I2tsHe8CJGKXE/
Hru+OfPSjXLDNTmNlFvg/p4DjKZHdAd9X9SJh51V5uS4/H3n1OTOl0DksPqpoyOCOC1Vd3LIRuDw
Iqeye+0jyb/CWsriErfxfSTlFyvtBPQtRtNw8m3b+Hf/3GDiv94/f2NStge5/rqLbr/5xy7qIpEP
Mhn0cAxVfSuG/V39hvGL2nL09GDCAUC2Rdp+d3fpf2LGsMP+keL/A0eh/0HZ3Xamoh44ErTh/ZNN
FCL3z5soNmIPLnLoB1tP0M+nTiTFsEgo5txEIbpQKjSECdSNNBVF77k3tajwNgdnDEgqy/oeRnWc
zmIA9IlFfjFTm1VyOtrBq7MOUW9UhdA28RdTZH3PFlii48elXt+1cn3r3P5qNDnaiDIUxlVDHqCV
tejIM6JG8AVrmfGpelh9iVrGnnyinkiRARshkLv3Meq7k4WhSXOQA0SY6CsQzHUnl+6xhu0VeZBD
rQJxph1k3uq4fx9oiHTC69Aq5Cw7ybsu61tn1/RKY2Ud9gs6ZtEfQNC/p+sTnk6wiCwsWvT6LOgi
yIo1eOuq2TH3CK+zeVet3lITZLqn9kn30u0w1nsBz2Lketp2iXcdiAtURhqUrmIYSHtD8jlEzbpy
5J2WZkripkrrlsFPdeXnKYq+IEMORV1AuCTTDVgbf4SYV5gFkZVYC+S82sdoReDCq/03dOE6SA3/
H3tnshw5knXnV/lNe7RhHswkLWKO4DyTuYGRmSTmyd0BB/D0+sDs6sqsUS2ZVupFl3VVkhkDAPfr
957zHWGjq2TeKxkG+7GUp86s3zo7zQVEoJSIA28aMIj4lWvfdEUCsYQdBQdBcW9ikPnUQsoR/eZo
us+12zziIW+u2nlszs06m9ZGgCMkiK5Y9I912VxKS+4rvERlFJwgJj2DqrBamIbTEffbrq9d82j1
2L5SPvfWUQg+Yx+9o1nOzpr38xQmKjsNWYB0kK9vFVqxsY61U10BUb0voRHuqjbAr+QHOK4yxqlw
mDKw7YZdbnGa+f7WAn0729ONKYHcm74Ev1A2IdQ98y4Zppu4EzUgH+cK7fPOGG1o7v6NlwfHeDm3
D6DMzVluBpWAXqmuxmjY26M9rQpzgMHHldftKs0pwQDyPWFjugcjtddUW5UxJ0xn5AF06D2V07nQ
2R1nnedMWQeLzQlQXNqufaRC+HdoHAOB22H1tHcjvh+/bswzLjm6wj5/h9KKAon3ZgBr3NJA4iBq
QzifMa/P3heo+tt4If4rCIBzEt9WXtceJ08l547h3jEAf6sN+LjyXvSWhSYhuknSfNPizK7b+SR8
69GMcg3wJt/LTBwyJFgr+lQXtG6/VH2S7Y0AA7iacON07SZtk2xtGRz4qYVeo9hqtib9k9mfL7U5
XKVm+GTb+qyRxqaxRqbH3hs9On9jxvndnKRXmjlHJ/R56lmPZWdaW9NmCk83dJ0VxmVsRvu8qoHE
4+ensfM2xO5i9o7Po2SCVzeUZ2XJj1nRmVa9WmlRHcOkPwdJdMZPzttxdJxT0HiA5kJMgDsrUxNi
JKOublOTfj5dq+Qlz+xt7eU9dYf5MSOTL7LhhfHCTkfDdgp5C074RYVYAXvXoPuoNo7Vr5VyDiJp
n6dggThAzgQkRkfA7m9DqysxMdKLQAD9nPXiqJnGlcYQr5rQvXHy5Ihu58bGpb+e5uHCGzRIAq/e
xzXcAJrdh7QI9llYPAHCPqd2fAhq+pplbt6qdBnwlBcp5vfC7J/wNt2JjGtRtcNXt+JRMwUjO/tq
LKv+mExWv6IfeyhtuhaRfctNcmr6kidMqCsZmztGTAN31fBc2d1mTt1yN0iTAaU+A0l/xnSNyZQ2
jjRQD6Zwd0p0x2rWBz3QlJ+L8zFSe1XON2oo1CqougvHEWdjyy0bopWtZPkQm/WXQmdXaIiPipaN
dNsT6A4mcunjILM7j74XE84SWgNqWg8i0xC+FbitrIppylw1x9gW54S8nDix8IRZ+iJtijO6yl/G
0rmLOIvQZ6adRHGzzn1zD+97V7ftlUcMQRaE311O/6lNlmP1X9QmBFNXr7+vS5bf+ldd8pdhLJ5D
nxhzGJB7jvK/1iUh8cQ2MaYu1gViEH4+3ZsLxJs5/8K/N7Hd/BtTeRC+PxUmtKvY/lCcYWTAkUNT
nJLqx15aUbeImszcvLIdjz1ogb2v6QX0XwWgsMFlRG1WcXEwYgUw24oeY4XKIxaw0CH0vqmqvAtw
hq0osTYQiBkztNlbb5hHOXTnbMqLvokdO+swH/qD2hWO9UUHY7KXtobN1nXHbkjWSLCuHGUcqzS6
kAy/LSEjlOqUKMM0NyukA4cakdasjU0Ankdpv1k3xnxdMFpel5m+tR31EmUB3N+ivpkKUGQN/VUj
xYdLJIZcdVmGqRStW/4Mfv2LTkxWAC+/lYIUEdFho6lgJppduc1nuspg5C7M1iXRZXZXJGedzV57
OdT9WSjjb23EcML2v9iTX9y4YzeskzrGAq6gwdsc8YW3laFtvYqpoZgqQpjY4jGzzW9JQN+XE063
9svygQH/t94b+CAlfW7yQ6YySbcWnyE2i4tsbl8hDsvdEBfZlhKQzrLdYX734mM8YjQXeJmnNr6S
vf6C45WZe2Cfj2G3Vy7DrojGCQo+WHAywW3pXRV2i2+aCXmvLZPlNXrM/Wi3AH71kO5NFVLthPkN
PktgSvXIzGs+17jLtzpun7PUc5htdhAUo+KxkyysRaGevVmfab+Dhy+rjyYUF5jBkvO0SC6j1E03
tfK3WiLSs5R9kDFtRdkl93YpjigtEHgFKjppv2dK6qff6iS4S+Jpz4B+3FZNdSImxsIwYLyPbns2
+/XOz9UT/+1QN1QD0BNpC9g4atNcXdcyL88ZT9/TL7AKyK1BtfHRnW/AG6WboJcflYXqLBB7f+jS
tepFsuMHL6y+27YNzRWzGMi0MeSdNYh97hUv7mTtowThbxt6Z5JJxFo1oHPrurrp85StmO6Bq8j+
mdEmT2lAgwT757qYxUUblQzSK2SU9uTs7aQ5K4hUKSPW7SISN26hT3kKMC8V06WI+O7d+EzNbMVG
mAXTVyDq4imt1aKUjhgj+KB6bu0FY8Q4WlTGjdlG3S3Il6rcW2O2U465gwAAacuOP4pkfI+JswAD
Va5rfF2noB4fpS/eVMHksW2amyCJ9kZa3FhtecT54q3p+23aEcm2EwwMHk0BK1ddWqg0+HCgFILA
AGGQHxo1uts0dqFelsG8zvEFrZlYbFQzAp+caEzBERjHLyGiQTOaHrjQjKtz4zhlxnndpfu0MLAA
oUWk8ZHk5SYy4gODRYQHUJxGaJiTO5+cVj1ZncDaDlrDrsbdwPQT91B+HmSEBKkCYcYY7HVEP6Ot
uCCPSuT7aex3fahRXfbHzICnVSCdmJA6pFn0TFAUnmqRYq2PrA02bDAglQ9vsKgPUWdeQvn6KrXL
QzCtpzGA6uNGG6edLtw+P2qxjAxseE221lxbD/M6nU0pvvZiuEIvsZG5e29mUIqjSZzP2L9Wrldv
3YKn0ISR0I0Lqrow77w+fu/8hSs8VEeAo+FaBsOB1uW4Njok+k51HZvzAAkjozjxwlXIDCt1+wsd
1BAFsZdVBSy4JHyhq7lSPhKI2l2JydxHQX+d+cOTabfH2B13GBeCLVNg1r+xpmPrN7cOmmDg3uLK
NZG3JPkBWteqzYbL2J/vaWauOlvdxHZ/AreJp98DtBZNm3m2d74vto5hHeGPDRsJfYpV2NlFnjoz
a/SUtTusI1xGXWu+lTEGfWX3X5yM85dGpXXEi329SFHbJLmx5vA8CqdhPc9GRstNn0wkGOC6IHa2
Sb6tjCxC9+GRfJeO1/Qxd8SLXNtR+AEPCgc40iJfbSGtGjtmw0zzDXU1qfZaBeHDmPXpuvK8fj1W
XrQdc7t8LgDqbZJ2+MgJqEpH87Hs62OumvM0oqrHY37bz/bGzsSHl0zbvifrCjHFriP8CrAsPIyh
eGQF3srauxFG3KCnJTDLF09jN57pJUmLI23AbD1cK0K2bMK20nHpCidnrlIs48RxxV2Uo5PEIbm0
M2XxCAxLFxvLqK0dAhK9DgnyKs3saHu0CAkLnDcjQV/usCR+DaioJSFg0TxfWYIZKuVCskkIChuX
xLDY6T4CSkzsF8UFRnaWy2kkX6zJnprcvibv7NZdEsiGxl2NRJKhON8oMzoFRJVJfzzOS3aZCKiF
waE8jMSatcSblZld4HQg8IyOHKJYfTUsWWjuHN7NSzpaie76RiyJad6SneZ+pqh9BqpV1hKu9kM9
9UeKvt8PH3zIFku/ljkHLRxqpB/LExwqljvhqriy7qrVs7cbrrv1vKrW0ev9rbyAtbBtSDHJzr29
3qQH9BgnLznkF+n+8338p8BdLPZ/XuBuy//aNOL12x/03pZf/KXGhTRFnC8qEcf95EL93HsjlAlu
ABrTf6Y8/dJ7IynYD6hxMThj0Pr0Y/ziBVv84zbJBlz0xXT+75nEAXX/VOMuJvFFfIr3g94bdbO1
zJN/kEZ0SYxE0RogZNOM0QsidwARZzhILYNcimtjXkC6ld88ey4xABAqupUKjAD91zyupTHUpzmB
0lLMtVibEHpxgwYbgRie5jmP4+yqYlctSF8PwAvEj77ZdnGEBGFB/+YwgPsFBuyMYYqGPHiI4AQn
aUpNM8N+DmAIU6cnBwFVWGXjU6z9lHyK9k40C2ueZfFgmclXltr7EcCmUfWXjZmCol2wxabIrR1K
RAKgYBqXNOGnBXLcQDvGSPwSK/uk/FaepZosjCEpd0nnp+teo0P0R+/NF4VxUAtIWYzetIua8d1v
/HdifPKNXLDLEv5yNDrPtd3UJ+IT4BnBaLaH9IasPtqYefs1qqsrJJir0BmCNaVI0zyOaOzp0Fn7
woqbvdf6rxzTUX+VN1WM6RWv3bsPD2dkzbSast27RvoN+sut9ovkYEZoF6rBAxip53mTZ4a/7Y3x
Kkg1HKLEfszi8AKwCxZc22JZxmZGk0b7Kzr1e3SaR8dXXyoLUkXnKLmHG3M1z64mH2R6JIZBh9ej
JManVSOYzDJ0RXROmt0Hgkx294UFJnOQos1Iz8ydy3FfZQgzuiyPmCFM6Y1T2A9WtrAlJ7wq9sJB
SgrnZTaDVUsVEPX3vV8mlxg92tNsViLapkZxaL1mq2lVWEwOmc+FmADxqtMjyx4XDzt66D5cgVfN
N2SI4ETwmaN5jaIsNJprxG9kVVLK2z6hWQYoc52DIe/HAywa0Cw1X/FUbeJ8fAIf9C0gnTGGxEdr
eRmRClI6AqN/dVHo4S5wXmj8fTFax2MCF+ynyAX3REqsbSZ3XUCGFtpiZKFODQg93E3oSsc8oPFZ
nPtxQM1sZGwLYIPm+sNcuoRDH8IhpCW6bovEo4zOv8IPfUaljXl/vC1TdT4Nxj1ghC+qxIgv0LV1
vXHWjeLSdOKHsc7PJk0EQhfbj0mFUSQV8X08Bmcq5xtq7YREqjaAERtCg7XdlzjQDz6xFasyYVw5
MrZB+GO+STe61SK/TFqxs2P0b2EwLI20W2fis1RxdiMgfRFDvEa1dUoYz/a+PmsN7y2Z1GPoAkmq
vcvB9ZZj38ERFfBQeNuFnJ49KJr7PDEqGGhYfyDNMdzqMGJGU0PgyogakHb9s5DVyYmGi8Kxj7RE
H/safuNAdi5aJH1shZetuWHNFXbQWzCOb61TRYegKOlu+ujOFRnCJS29LTEdcmvDH901EcYil4lt
3lb5sQ7a9Sg51NkAypYVl1WKzmKBhrHpUeIBBzZ3PQ3bxARtbuG0MfkKWJNunMm/yPvoK9OOxeXi
P9g+Kapul6+dfrLgRLXpplmWOJHOmyEx7+yo3pVBygi0lRUHN6CyllceKqz/RNaBcqgUckDut35O
7izTfQsqdKaJHV4UQxrvk8Qwdrksb8lDFai4KfknO3izswAybF2CJPVbcrgMtvLMBl8bcgzI+g9m
yvFd3sG5w/l5X2cDET14y762qUEwzzBsG8kakWVPZHFecXg6AEv7oK+utwq6xSptzXVRdUSFZtJD
Pm/JuXqqEiNI6G5DvlVQkbeu5Z15obiPFmK3WNjd89x8aeYs2rbUXSsF4DseGLIHIL99ZVBv9OIa
WtBlChTcAQ4+Agm3kBTzGItTOdvbInHLba+8G+DgF32EAN9fWOM50PEQ+LhpCAclNDxywk/MFWSD
ewdUeRabpxJ0eb4wzAv6Q7yb+Tla8Obd9Fh5+qbV+TX3A18CIPQKIPrs4adXxJFgqkPxsFDT6TXe
1WDULV+eTLDqrjk+1DYTD9e79tFZtxDUViH/Z1yI7Ix/kQt7EOgiH6hetpDba9NWK9bYjc7aQw3c
XSyU9wDce5L7gGN9CPDewoIHCA8Vvs2P88KJNwp9rD/J8QtDvl5o8gx/s020EOabhTVfmIhX9cKf
R2SK24ya9T9V2XdHECKyP6/K8D++NeU39fvGo8Xv/VKU2c4/KJzMxaAKuZah4w8DURdTKzNNUt9/
4Zr/syhzSQAjzAQRN2xQkJlLKfXPogwaOqROqEzL30pJ5UX/TuPxtyWZi+uIKECq9wi7Leban0sy
1U+avcbT1715Ik03n24b+b1m/1OZoPvp8f/VDcSnoPAM6G9CAcDhxOf9+UWYPzqc/WV77egoR2vi
erKA6+zYNQpTiCgA7kh6L27mJvPDyzRNg2eRBHZxE5retE7NarRPtt8iGm+OXTqeZyDQfYfk9sya
Vj3Tt2kqr2PP2JQNbQ4ZHYyuuVNmyxE7ZVDaBbdjJg/xBLIupZXBkNvaeG53Mlp9ZYTFWzlBXoMM
3LftMac1Se1hrecsvUqU3IZ2eQxS2UHaER+iD/YcyDRmHJcZSOciS6oAbipPH7oBVyq69YcgPHSO
BKRYPye+eTRR/ILMbk/dWL+XMqJty4yMOuE9huNGbQsVGn8IMlEpdpgv0aoHehPWy2KlOQS2gfm2
oP9IEgY+6db3zDxPsW0/iBEtkZ0pxiyTXKeT/ip99zS5oubw3F7U6ag3UUcQtpfBCYgbwSymZo92
CSfB33NRJZTRSjo3pcaAiqnm2cid3UxbeIsSqCLgUX2QuVACJbBp/nbNdd24Z4EGPdrC4VmVRZcf
fBPkcKucZD3mUJqz1mbHG9CLuO38ZDEgcbicq6Y3bj1tsP3b5b2uIoAqYfFiQDFlfN4ewSLkl6XS
1poS7SQNKAum1aEJCpPzRH118mYHJHudVaSi0ekld7usn+J5cNdxB/6zSayTCHtB/GOwnwPva5ux
MetJnPWB+zVERA3vMPsIK6BNiRvOm05FaND8DzeDKNpl71nnaQKkAS3bGGiYeK6bpLoebPlm5TnO
LsLnVk5RH8mvrjYu7fMsXIp3J2ewKhVkeMOMgHX312w6Dzik5NooFZ7OVGwtN71LRkVkaZD06zqm
tHCxUQxJAFOC6xeF+Z2N25Ttemn2DE+FORPkPPkfeR598SzaV6m2HaJJCsgu8BgvYDkLGncZOd6e
+ZBM3V3teoytCgeGb4BVqcHZZtEBHPKSu0d3kH0030cQzC+FH9/TlmJ0n9fvrqX93SDMhyIpH2QG
c2ak90nZoS6qwPhQRvhihBP7DQEBgWMxjR5jCqFtgCXeBsAEXb9FmVVuiX3tYrLYaEHNkdXdewlR
e7FfcJeTWPdQIBM5ejMwPN/R913HbHhu3ysOX1nR4ulr2m+W6jpGdFnC9h1mu0JjaBcZynBXbUqf
7AXpP5ItP+6ndMrPKxiZmWHcij6PKkpwGI6buMIdPsCLMgIC6kXUNmtZAnicuX8Tp92PZIKhwarW
gTCYEct1y7O50Iku0SE8p6H3npljt2JZ6zhtWLuqbNdDimg9dF8XFx12ENBP/UvSuwy6Z+dW1NY2
b63bxnKOGjfPNAUb30ge7YJcs9BjnmyeRRoWakAkUZVC+VC7uSdPL5q+9cNClA3yTSHJ8K7QCRSA
jAIp8KiE3k60w2WAu1h0NNEdjl5p5mkY9JwOcxhosWHQcBPIGaJiG9vyXZIvY3fjkyHfvZ47cfCD
nePmQbWOsTNzFoo1vu68nwxjaw5T8BhgStt3nbDXeYKMwQtb1V4WEMyqxoWJNBPSMgAgWZc569aq
aNwWI6U3O3vEamIdlpzIQoeQ+k7uCJN61rp8lJ3xwiHLuSE/eb5mw+t2ouxeO9s6psL5NsbhVTdP
l1EZJZu6CjmiF7O1YR4Vro28zHbVXEX3bhVOF0mV3mVJ8pbbwljrAnKqmKcAGAIOIqQDQFYUiXc2
V1Gn91nW5JvIMU79IJ97q5nvQgNAcWzIRbrXoTzP2HvWUcEa0Bulv5F9O18ZoOTu/dzBhjmB8If0
7NU85fIpjmS/cVVQHXiaw01Xqo3rD8MB+5LeM+pt1g5BAhDXzXQ9lBAXElVkPOyZB8Q3sg6yGK4B
q90COVl3sKbzwR1WiDhJVgKhOfvWPefPZ2GNdwmAlWPk9s9LtMDKTeb4b+KG6QP96AxYNl3mlowv
/dBmpmn+ZmeHntvaod31100IvMm6ysN7n3ftLRM39+mHuucP2oM/VxHLBs9RC706YFAcTfR2ft7g
pWxGxRxRX4egb5lMTbvUePy/e4nlLfzQOwKoUZa6L/U1c1Io/4QwDV/c9u7/4EWiiHRwaisLL8HP
LyLTohjzWutrR9CNPx8NgoeOf/0Sv78sfFU/vMTSaP3hcyhyCRPLHfW1G95V3W6Gh0QVUgev+fQ3
r/Qbd8b3i/LDKy3v5IdXKtPBYyDJh0GPubJqn8Hlqa+YM5JWcZqJb/nrD/Zzh/j7PUB2j+fiaSb5
+LeQd8hJ4yyUpa/L7tlSHNv8+yQ9m6rnz5f5/6wD/OORwfMW48yfHzMghGYfjaiznxQO33/rl0PG
JwWMZHNkCLb3eSb4VXXJIQPnAtYBM1xInzSFfzlk2DBFA/J7CAGn+ue+/Nchw7H/gSSCwKUQrSSN
RGSc/4a6wfpZ3EDjN/Lpv9LSCbg5XNv9zXOlZqdpO9pkl4TMR9sB5TmZe05OKm8R6AHFrzed8hEN
+RaJtnohHXV4ICSD/VhG9d/RCRY2ww8r4+e7cc3IJgTdNTn/fMYV/PBgEH/dFlHaD5d2V1tkEsx1
vOqDhopupAUQrQbt9i/BgM+XTkCoCHbNMaaRZy4DANNRUH+LUFhc8Xek/cYuS+th9ozQ2k++F79b
k2GNux+u9x8sr/bPvqPv79hHKArgmYMUBt+fH2U3C1Ku7aQundFLIDmSX/QA2Dp0diqY6GMOyCQJ
5QticDqBT3zLRM21B7syWRsxNOpbOkpJN8ZoCdpVWQObvEppVAXCA4kD7je9LvroVHE4kZuAFv6j
TFFwldobt4Sn+BeZSIdq/9ef6veXIWCtwMcS+NwbzueH/uEyBJORaKMt5WVNOttjAzyMRnJhc2u0
dT9e4w6N7trYKr8vIH96HP15r1rQFAHWU2BRqH2Wf/xmWfQ4r7jw1evLOpytS6tI+8sa/VsWxunf
bFk/L8DfX4kVEcMQeyPkjuWp+OEDtrU7zZ1Im8uwNd3XTjei3McqnOA4kg5mdkC+1w5sUVjejqer
v7tplpvi11P38vKfTnCEzq7P3vzbl0fDB6m2xmAbdIX3ip/Xey3K5T14cyW3Pv53OKdc+j17q8a7
XzTBuyqJ2dDR5J4vdE9z7ei8KdbEY1QPIIZAYKa0nN9b4vgQ889MXb2occXBw2v7d+5d6/cXimEW
ywbCB7odwRKQ/uPXZ+L+rD0vNmh1x9VrJpQEnWeA2nCxW5A4ddJpVrwlYdSeU7GmO79xx6WxOwQf
KqCXuJ6I8V2THji8Z4x0vg1emwbfodV/ejO53u8uMhMzbiIfzDI9FC/4TW/DF2FGcLhyLnK3a2MI
RCpK4R6p0Yl2auj7tRg782aoJq9fLZ2NtbBqRFei3ZduC72q7KrbtvQqNsySGGqdc2SeJPOGFmHs
A0CGcBPDHCWxOM/B7CoH70mcy/pSt4aEXjdjtkosEuIYngHXYiBE7eqjLLfz5DqZageTPminSwXq
XQElcTY+IKGVlUFf2Qi3n+eFspufl6kXvsCGcE8pLZzzORkHlNlm6lYIoyYQHKFAx6gnTs+WptUy
5+PXVnbqrodPuORzqWAXyw5xMa2J+y61dLGPGZEQPZIW8VuE8pNwpbozvjCsRz7fSvtYNDVKyi4q
v+F693nunaq4yyJGDquhcwn0ikW/BifW7pltRlcd2vqtq0W3syxk4dvSC6xkDa2CPJiBNj2qYUfQ
xImu0thIzI1lNerAVmNDQzVzsjhUQIxWZaIR4Hx45znK2/cRLLed9CsyxP1GbCW923mHQwCrP3EU
RGqU+kMip/fWs62onevEHpIdlm2OAprctSlh7rITDQKnUjnQnflRJN4up1F/qIZglcs8N9ZBDJWM
RtsIJUGV8RqVXV3thV+Q4tJP5o12LBf/gCAlI+dOUjtH6UjuRycYz3EszWV80wPHqKolQmuqxbc0
Tm17fpHaGAPy0SLBUt58RWuaKzr9ver71rxUhapwiEfkz+yHqFfxEWAJzRVkGc2dGRjOEdC708PH
isoY8w7ReVyuKgw3dRyzH6qy0N3WL9DpgWpW2IxSbONBcyimQKebaSwjde5L5XBH6bixpF737IU7
30jz+Grg0fGTdRe2SIcsp5DVroaVDAOyY/OKt4xr/LURRxD/YBabNbM+chAQ2OFAJAmtDMpqK2Oq
gp1XJxWe7dljxaztgq4biYIcoRHiJ/JaZgZRP02ShR9GPzCC2piNrfaZG/bhpYcMKT7VTqDwj8Ht
lpxCiVdhdUsJX08D5OhyIMcE+Xud7SYCX6aDKSXQMM+eSGgLGMeC3cGUa9Crd+0no8XTuEGaSSuI
/5nGFSNVRg2MluunvMKGeHREpMptkSr/du6V4+xyA8Uco98UxO8qSO1U7WMxtPUdm7FzypPZLnZ9
yzvYghlNZpBmI1EeYT61moCXiVvb4FERm9iykAYhVC03SewkPblJA5czCyT1ST3nzvxeFmS2bELe
QLUBrpp2R8vM3EPCxAfOH0AJUsuaLCY/Li7II9Kija5J+yM6w8mQ3KDmymfjzIxLd2e1MXPEII3Q
YllTOjfHNLM00+DIpcO0/NzKirIIflOXIKYcdcYcSY2Z8UXUaC7Jqec5si+t+TNlNxxcw7mfSm33
l37LwG5TR50Co12zJSUyKPiFqEKnu4uz1KpfMI7WKV6yqoQAqAlaP4Odqu4xjXqvHjTkGIMFNy++
DAAHW+nPGW++t/JqQyodQPZQx9Dpsu6l1JrKIk/y4U56vn5riWQ5DIHGPAbN0MQlBjje2XnMgOgN
i4Hxztg67o1UnnVvKWJ0V9o3yOZU1kRrdACNkR1wONjMXSDoYEfFSPKIym+5OQnCkwCgZCqvx8kl
hMjsNNcm1STUbhoIVdYZO1j06IQmdzfDcYIU6crT2FYyiu3rHLxrcWuHNUmOGGR1fwF4YCk+02mk
s2D447bRFS/dNAvLeoTIPu/NIlg+/PLWseEu76utrEvkb3yKvvP4qtKiKeDDFgOPDulJRXZTi4BH
XvRUBQl/xppqqzq96pD5YDJx2tTkcmsx9heVkbYSO33fjZhuIYttp6Gzl0WDh4lxosUCMtLBpU5W
dfUY2050CocM7UCYegX3xZT4ryiZeBujYMCAc8aUZwllbn7WtHgp7kJ2i72sTeuyi5LuBZmKD8ra
TTP7xGk5Img7bZJhM4mg0xS4yDlBnOhibQbd9LUoC+967GHHHjrQJvi0/CqRB5pq1Qf62mUNyToA
hZwDQvAX9pTKXetX0ZNhMtiFRJt0tMRZ5iYo/bdZo+RZVBU5CQK2sJFNl6jCV0NqR48iN4ZkCxOI
x2Rmmhwd3Zo0yfeKBXk6hRa31FYvK/Y29wy+0XGYB3xCnu7OSOeCHQprUQ3stM6AAVR0+RcRDdG9
MVGmn+ZICesbYTqM2isLqgN5N+QibcfKSpF96YVN33JZAK0Xkb+bmcKqi3EKyjsUoBD1A3lwq3Hw
DrP2uTiFydCVUQVW0ovaH91zQyG62aZdXQ1nmFPalEQDGuP3VCLyGyMKlhGWTgR5RbowPiJsYEA3
mJnclUlnZc+01pyQDHcqsOmBfr+BnAJgqNimgUGyDdZi/ZYmpjGsy4AclGOGeepmlAYQSNGThbll
3MpNmi3T9euxKGfvsvJbcgy7djD9C9dKXczoVDdyq9OWq6bDOktWYg7AMIdSlltrdEYBgx3E434O
O+7+wh0T9KXxZGKba6XfPWlvsu7zVHCvsdNFj9zrzE/rqLZYYO02ynchITN6NfYvdtjr0EJAPQQP
nl13eqO9RLkX5OuGw20Xywiqf8IdvW2JM+t2HBwmRk+OKprzQLQpttQR1QcqcHrixEaORnKBb7zV
mwrrCknUddWri7IELroSUZHsZBoW6UaPpnmcOpfnfvL9RdoCrf/i/0mP5CL7KhrZfKj/vnRfvjbt
JLIkVZ8H/V//bf/eXL5W7/K3P/TT78j/+fnHMHI2r+r1p3/Z1grX0k3/Lqbbd0m2xi+NhOUn/3f/
8L/eP/+W+6l9/x//7fVbldUUQ0pkXxXj1O9/9mv4IoDEv2innL9K+V7/8W/9q50SEaniUwSAZES7
9JuYamf5zyEGbywjAa//SzvF+gfYYAdOI/0UGtz0TH6Z2TrRPyDx+fyNNGJRtfx7kY2L6fXno92S
9kIXxYM+RAuDg/7PRyNYPUu0ua+vIG/LYAtsjwiwPkAqnExZyhK1SNkLspmmfEA9a/UWsWaWGWbq
2M7ZEgXgY4+S9L7nbT7aakbh1daADFmmfe8riYyM/8oWgisUVpGBsB3FYfStJPqIzMpSd8S7M6xE
7OrGm5hUBagLbaMB0xIcbxAZ5Cf2jJSt0PRQ5oZ+5yrok9HaVnYi5i1um8oiPRdEj+oLsutMSAZ7
MSSu91BaKNd2qFVIG7FaNmffVQcOnNNhdKY+/9AOmb7JZ7xvkuR0T1EPmjjSyP814pAk4CUTOEqY
yJCQOg1boxQ+2Q9ZAPmQSFSzMhh+ecJ7G5ao4hkk0l59Rg97XeLuPeKIfW24xD+HH1AYXBolSbUN
Wv6sNTiAGQOJxiNi6bM0Qc0XWrhwkqwifESRG1Iuacjmkotsf0YkV0taslhyk3sPo6q1ZClj+gfP
uuQrW0vSsr9kLrdL+rK78Ckx3kb7sK3fi2D29s6S1kzYm7uXjcq2JnDKVYF9Zet6fXmNw06uicwF
5Eb28/9i70x6KzfStPtXGt+eBhmcl33nUVdDSsrUhtCUnBmcp1/fJ+RSOm2XC/CiF43PhUIBrrSG
lO4NRrzxPOfQ4RmAEzINCj3zPVKGaLsmzPwhvs1xRa5RYLq0SrWXUrmlnTnrlobyTUd1/d0dgoCn
KmQ7N+eBggOPnE4GKGArZd4cyHQmK8Gu/sz3jC9H2a1TNNdxh++atLC1sN1huvGVDXtQXuxGhfjY
qaRrs7Y8/Nn0M4q55tv0zK+ZcmuHyrINJomq0gDiTyoHd1ti4+6Ul9vInOqGu00Ev+HQ3rjK3z1P
RsW9vLJ6N1Jkm/nD9I2LY9Eo+/douN2iyQn7BMoNbtB7wPyR5Lv/lcX1/+CyySry11Po8/Pbe/38
b5ZNPuqnZRMAk2lbH816Ry1bP7r/YAEsmO7kWUwhhMMffeaP3V+YxFL/txg4/zpq/rFsOr+gp2AC
zQeY7M7+XtTljx5axqgeHA8yKNT22Kd66pv4eaIEDGdqRGuEl8DPwcFymG4bzErZVFM+yR7LlJLG
2PqrOZ4ObjDl2yIPQd91O90w3i2tr6iq25DFBgTrbnbkwR8sZj8hadGzvGrajeKdgZXhdtPLM4rK
2MtRTPtrKy5fja5MQK11V23H0MLovwFoh6GdkrWgOs2D+cnxs5XGOOOhFp2OJio9hvkQMDqw+xXf
ttx0HWQoDrtEbcW3LnMxr8QsrY1p8YbVHIuxRPC9H5p3M4MzMgP0WXsS0DZboTuZRjdjWDzP+vCg
TRXBAyfs8cRDRE2Bi9jM4FedQya49Ak7N6588ezkNXLrq5xbB5Io/BW7GpBLUxrXqIFopodnWc7H
RMb9NqGbDHFWXMOyudbV0CmOsxaoeTsuM8fytuDxaXY1w2vQJM0yM2j8p5HHeziyp1WmJ1/6frqO
O4RWpt4y9kescyInctfkwSrPjZumGGoMEla+0vz5GGX+IWrHYykjfckkgkhR2+9DA9tRKCmBIeWU
ZE6YRGhx4yksyHzfMG3agfvpiBi4yTJkD3vgciDZkPR74/kyHcI+MpZ6oYerJk+8rTl4GiMC8+RU
4FYsr9xMSHtuJq0gkkGCZDOF0Og4YHALrDHJKIiZ3khH20qVMIhdIJDVE47DeduEpnqcRsBdQzdm
9mVt3IKushXwWHOKYNOGFbEKt3CJ0uavTBDzJVNsnicaffKsAC435sFT5g57J6zLM7GJacUnnVaC
sEQSw6uhsbSOA6Nd9wUBRCGqW8CpdO5EP66S0eYF2bn2ld5Y5q5mSLQMu5nmlG4uyqYDb6lZzJ3S
QpU9pbuLE9Gv5sk7ozf38RY47yQSiCP4Bhc49E+BCyUEqJIRgWmcbcoQrjMl+7siMp96V5XjSThD
/HezXduMhDfC4U6bgmbPKfaVS4GCcSFu3DQsvJXe9byMfZfSFWgd0DbWTsuxZCbiBVro1tVGCnxj
c9Zyjawv6ueFNRR0wasXAtMTv3y3IhTd+M6NPs2tdVBmJGpTvHjj9ahGlubwjlfucaTFtxEpw/as
6/QFJ/nNZLbmtTvk34aibFaBR88maMjUVvb0MIboPp1gqNfMMxbe4KcrKSmmUSd79GQ3MDRn6BBL
2Dd1XC+MKHSOBNmqReUR1p3s4gtK40vtlKiV/QatdPE9biuSPui3hHfsPf1mbpPjPEdbAXg20qKz
nsC7lxNPRSsDp5zX1q0ukb8afN4N9bWjZ0JNBqa6J0okmMrxjfvhjsrckR3Gd4cBLJ1dtTRZaxnk
00Fq07NQkMQK7ygFOBwQuM+cQzy3G28Mx6Bjst+2j0VY9XIzRiU+vkir5Z05dM0DKNgBsq9AJevo
TV/vaJPZT2Eq7UPbcK66JvUdevu20qynIITxcE7sON3mftquOj945EDnrO1R8NIIwmwd8HrZWej3
SN/Tdxp43a3tEmgur8JvndXt5pRdFJjtXQQFauGqTP8Qh0hPZXDj0bwaCyqsXFvPS41sVuaE6X1n
sMLlZczylCLs7sLke1i7N7XDLEADUTHFTYlUkLqeW7q3MJLf8ql/qGw5b3gXb72gfgAsRjdQn699
Kz526WQvy1J/ptBJbKMYLsmQ3xoYtcEpBM2uyrSY11pw4XpNLKeWEKPGtTcz4cFI94VUBACzeHZl
H61N0dVL14lPcZq8CG9gNRhfRpAZBVZCpBf2Fp4U78OMHSIn6C/6iFRCgm/ZeUz3CpwdIP613ruE
hh1v+in57pgR1/YtQFqTrFAWrw2Ah0TkCibhfWWycRsoA2A+igJWvzrPw01BKQ78KL2DRMRrGqLz
arLyLfMHY5kPbJwYtNzGic32vXZPQVldy0aPl9UwMFEmIlNFAhUftBs71DZ2XRO8c4uH1JG02qor
JCnFUurOY+L1rwllme0wZseB9tqiH9tjQADQrjw2dfFlsjH7iNY5lAFp7y4pN8wHkMd5T7oJx8vU
Zbh0NEl1DtJXYcbmkh4DYWZAFbZ75/qpuSAS++70oKGGmcXWRFud0FRc5Mw1+RfHTe3UBwZumFVi
pMVx7e7Jo7I+Y2xA1AiYJr7jLP5cde5esK1M2+nUS+0hNflV6x674062LDdAWozwPfH9nU2tRmr8
aVB639s+eSsb45iLfypt/8/4CE8rSuJ/2E++16/vb3/eT6qP+txPKumpTXaYgDT83o+z9o/9pPEL
XAaHGzffNRxXcZx+20+yWRRkFvChqlgD94affTb2kxbmA58pMmlkRaD6HEb86xaeOcZf3v2xCf3j
MZyABK05bpN9dgqkL36/nzQ1MTD2TNMLxYu2PvhtTPEh7nNL4xlBsmGdO3U+MShNqhsDoWiHtACG
6G7c7wHMbAu1keDmNWm9B8a73H/F/RcSVvVRHzMZfQ3U2uK0RaqaAmLJWImFB5GQzbF3VwobhDHL
k0yny6hlPW178Ry4wl5y7DuWLGnM/TjOscjRWt6SO5vpZo8PbADfKL/dlibddCZb5S4c6XN2nkTP
49+Q4/neS8hLeZLTa1ErbDm06X3AoqtZJt4/fQK4PhoXj4V5yKnVOmqtDtWqPdbernc4tefpsFNm
cUut8IOEv4cyMFtKWfVrXz0JuOoD34+HYGnLgEW8ir52adWuCrvEWp4G6WIudWyUoNPZnZgc2gen
jXaIoUOdkSF1loWgQAvDX8t2UaSrtnhib0FOZke9gkXJfc/46PS1OlmSdWrG2L7EHDSWoREbV9Nk
Ece2xHVUSC4iGkKfTgX7l8xps4kkM1dmBnxpkXhkAqt2VwiTtTPiFApyauSWIw3Qbxs1YkxueI5e
WaOpzf2JblhjFFV8sFzNMfY+dKd0IwalgHdT48WoTGvVdcpjm9COpTfSBR7HgpRkekGdjBzgRkdE
ZCV+PTA5p9Vk1uk7Z5BHUAcnqbM5zd1hm/HsWbq2fa597QxAihdSDtCrBCgWUQ8U9TehpadkwAFR
ifwL1EmqOZH3arHEi9C9QhfH0zRq3ZQd+wRgCOGNmbDVj5L5zHALuXo6rNMyYaW1+mCfTtG+yzHm
kQAuFiAGvHU+h68zdz7gGEkSlL5qSeWg0my/iJZWbb/iO60XNmznJROmZmVG47ozgJbm0z2B6HEF
NcdexQAdie8DxQgQL7TOkK8I/fP4Dhmb6h6+pph/M+HzRoa/dulHMdpWZzbbT7kQtHoSwXG/0kcd
otsA+5lyF4MfNAa63h6deARsarM3iBVRTAct5ijGWABsjJg7LC7FHwuKxiX+wCNP0ckQHPucf9z3
PAjf6NVlNNt4/gO4WiQKbqYoZ1Mv1obinnWKgCYVC61QVDSPlz6YEhKuet2GqwCsFSOjUM7svBLc
w4dCAdX+mUd8PD+M//j82HOF+Oenh/qYz6eHYYMbJJjhMnVwIfvwiPh8euDhAd6mC27ZTNdQz4Gf
nh4WTxUySWCtQYVY/NHn08NGTscA17MoyigS4d8i/hjOH/M5PH9IPfA9wPwx0dL/IYhkRllphL3b
XuWpg7ZEZjHMgZx6ws30q1Yx/lWyaDFdQLmY9rwjbRguxlqaQHGHpTXFZnasvLia2Kh6tmtzyhuY
bS6M0ak6EttcNW0NwjuZsbCsLEYvpQUJjgYu3WXxNNdOZ127XefXBamvsreOo20PDZRdrUqaZ0wa
NfGQlrppg1JlrHu/odsRgWZpSv9MFCDaMxh2FuwXrfsKsCheRS50OsnNspVy4WlUQ3+MuQvecFAt
rtws7W4xeg0vOsmektJyFL70Vj1uskbPT7GTynVmyeAq0UC1UGCNdpjQ85TzlznxBBXBvunkcIYq
MlwZ9PVWdVB+l4PHJHcUon724pjhQmtxARYFNuVPO2m/iKHKl/wE7VdvzvxtH2UDpRKuVOkabjlh
m7ferGfr0eQiMOv00eJCthkXNuwIGsw6dBi63Zu048lglUYJbqLh3pZGD1bAuW93FbiQZGEoqImP
XeeJR+p8Hc0zT8ZUdOKFIKN95Aos3E9odr6admMi2xXiGmNfuJq9vLt0XfrKj7TYVwQp74wm1iHg
67p3tobYZ7Qqo6sJeR3TfTu+ssFMbn0fomQy+94VIBV7l1dYBfwJ419khtMrsMjsRMmxeehy2W0a
4BfU52MBAM1QM+cIbM7kwzU20P/c0DEB5VHZzTUbbzWS1+WR2VF/BJRxYAw2Q5nTvA3H4vH7YEXZ
zivz8DBKWKwL6IPaOQ4c/ZDHTQZEaeJKr20751RNHruOsDO2Fu3xxWjXhIJn4QcHpuTOA02ZR9rz
4iRQeF749oONBi7uzGRXgdxq/TLN0XjIMMXtw5gzjqSTTYOjnG6jGtYmsySubONuhDU9B5uGin+4
+mdl/XVlJaT21zvz43v9767H+JgfKyuGM4NIo+243r+Wz8+VlS274VuGxbadme3Hlv1zX87y+dEz
5J5JbeZ/3pdbrKxA13V2LGBGgFD8nX35R+Tu5+AjaWO4XpQahUMIksDs77flrlGGEKLn9sptXJr9
NMLpoEdor9zK8rcQ/J7ZRQ6bqrThfOFltDSSr143+StX+Wa5d0I9G31oaC0mCDnNmYStRfmhqi1p
bw3XBQLb0kzjLxoVPZ8q44zftpmbGy+LcN7iPrshExBuSz1gvQ6peAQTWwSWeGHN0ab9eLVW+MZU
Xk7LKZwbhNOab1xOJxwERtrMnNXNzmniZiOKMTYOeT7M8i6coapRPAwSGlgyrLc+dhuSv0UIlbN1
VrUcki1X9NV6qAJjCzPGIJNA/EtPHaYdfdQZu9SfnHltNh1op0n487jOOtOpzqWr7u4wdWkNaLDZ
OXdTE8lVKaRzF8MfYpPjlsnaIaKwxf2QtnepmYFVYLabXUboYWJbufwzmSz5dR4sQokllfOkBnsj
3X2VQctf//MW/XiLiv9YCbjOnl/f6z9vf9RHfb5J1eEZeIvtOI66jIbd8mP7I2gXs7PhrppDK1ch
XOF8vkl9nAUOh2OdpLll6Ooq/XP7w57JQOfHDQ9xbW6//1bvmK3UHw/P3MQYRJTV2VnYEGF+/y7t
p6G3WssdLu0IOwlyy6Psp1tmZ4yz/PACKS555WqhYGZpfmFSmyx7UwvuPHf4rkX6BlKRtZgVuYD4
51pXLIPcZc6IWeylVpyDMXPrRd8VtxYUzq3OGHE79MGZixnYTKX70pnxndPPj5EiKAjFUgAYv4T6
lO9StzyYireQK/KCCYJhzsQdX2s1tGCa6qEjTqR4DYkHBBoR9rlN/Xvuo+jfp+Fb0vDgBvagW+Ml
IookWZEW3G/ciEjXN1yR9TSw+utRUPHDHussXMWRyDO6gaGiIFRLswJ5pivexFBC4FUECl+xKFJF
peg4La3NNNg6ilghFbsiKK0vZA45ZPqrzjTXXdlwSlacC9j3+9kg3Ue4y4OcNT/Y/lsug1Ut4BvA
yXD79isOt3hZ4pxdWGoa1k1BhqmWwag9Tu89QbDecLmSp3Tl69FDaCBNZDq4BGnMNB4+RwinIxHu
ZYjdK1fxO2T9gNj7pevQFMmU9WheUY8Hw2PsiR3eAOQrFqHt3Hr8hAKAyQtNMtfLsqsadogDQyQd
Z1IKum8sbAUY8d3hPoc4kkAeESUIkrYvrE3ZGQSV4JMYdNu4kipA5+o4G3A9ELc7zjBNStgmJYyT
sAZ20mQZt3jR0wgFpTS70wgVpSVLxZX41w5aSuYn9sJWAJW65KZ8VlAVgeXYhbKiK9wKj48zv6bT
AIelqhH+Wd+N0qaCqW40gLWUitoiLC7bwLg4CTgcPaSQnLAxrwv5ZBYOLnjYL4wrn61u4PWluDDU
sBkPwEPDC/8W8Ir0a5OWMTI0LsEPnTPtpNO+9Rq9UxGZX2xGDGHMpQR6+2tDH/A3pFzyuOw9F7U2
JStNEWwm06NDDSUyafkhzQUDFDtq2JZDI4NDtPbLfDd9QHEaxcfheRheiQ5gUPMN55nJe+5b3sZc
RzDaicgLLubWupcKuzMNtb8PUIsxWGlGgLYBB/VusBhzGcl6Uvf+9Ey+40ho/dNgkAm8CaIgmdZE
kav5vrclt6J2P3oN92ZBat3RiaY4r4XmQ2wligvS3cGQokBM9Xik2rwii4ZZOElIu/pbIrHNCi8z
Qfuhzg5xabnrHNsIUyrzm+xt6KQzb7cs4iXNZZWziEbKHYwYlxqQRNoC451Xjo7SYFzGaH4T7Epx
HHgrWHYbfehWEL5hBiD8XBcYOFHFhwBY3KvRIgtSxssZZHRsFxsaw0CsPWoHbbuPUVzWOheZo7zO
4m5T9hp3FVpDvrEpyYy0Bysq8JClI7UmHqaTaaABRDSZ1Ndj1d37qb+rTatYhsHwQon/QUq6uLrL
ACqolknG9WFVzfPGGeIHO4IeIGesLwhprgYQKQtaVVB5ouykD/OW/1csx1hJO1v7W6mRqxeVtq7N
lDhkdV8m7kNZxeestl7qhpaEnrsXBwSo00HEsarIBJw9GBjjQg3GlvFCIP7WE8WJX1618BNGGW3q
3ud9TxQzM9ulPXjRukKGBbfaWjGvnblJpO7e8maaeOu5sxJqin0TwvaMo/YWueK+E8aBbtqR4dkp
temzM+FtUYkB3IJh5wOahEPUuYzGrNyY6ZS27xo7Ojg8Fa6Uzgf6RLy9CHwNxWE37URBgjIMnrUp
B3w632sTdyTGOL1yaZ/cTUwhl/Uw7MoGCEs+cZnnhtXrIBGKarVeLmVe3FPph/lYvsY4wJah0PMv
Y1HvtELcu6KjSV3y28jcgEtgiPLANVk2hr2blwSgnI7yO0+Hsn31xWARQsl4rTU5h/FFpodafaiJ
HnDNkIUQKR2/2TQBcd8nkTft/1L27/9ePEUVmP/60LLN3ot/c2pRH/RjQ2QAc2ZeQEOZAc/vQ33i
F5+2I/81bNAWnD9+2hB5Cs38A4/30zyIvZIn+Fz8Dzulvz0P4jP9rq9FPkYZntQ8iM2Z+nS/S6ew
q2Yf0Hn+ReQ1dmHbmMtt/eGSNzXEjGs74gbgCdxUfWN+mOdzJaGfsdE7iX+qCwaiZZ6+pDCiVL6j
F224mSwLKFBpZgiWanPeF6NZrbvev4E3/11FU8EheM9+J0AiMBpvYrw61VYPy61XmFdjqe20OHux
6xGJTSJPYTLcpCJGotPWeGadHcTInZ6w1piMq2NfkvlPpq1t8JieOZYICjNDZGebTp92E1DfRaEZ
LwnhP3DNSPI89yvrN3ciw2tZjGfPJ229DkjwffN5vLYgJKhBSZKl3iqlZYF6plU6A1ldUN5txkQv
KDwZu6qVxz7N+uXQgrZITa2GFuAWe+4W+dsWZB8bOT/mmKuo/ClgBHzUOrXqtYhNcuYCgn4XbuoU
iAluInedDMazl9ZH8IKgaSz2kYbsvuVj8NQlyR1XBheC1ywdeWBv8kaU1IuKPZsf9kcxmyiDAMNK
H1TzP/fklvyeCXuAYgvXVacymW5ymwRbSF4QX/vblPcek27FkJUBXDzudBnhPBeiGxa1YXxvhXYw
+m4/cGGZQHZaBD55oZ4mCaasbjjJmurnZGkIM5wW8G32nmvF8JXf57G1n+acbDVDsT7LKGYnoF6D
u6FJWpZDhlFUpPwqOmkCN/C6iJV9kUi2jJwF8UW/uhrxJe6zBsXf0gZPHXtePbJfqfwzly/RwU0l
igm6BXt+LqW+tvS43EaB598FKQLtZTYZI/Q6OTu73p5IUNa2lUEuBTuOxwj4CSkYcXJxb3NfBkhX
m1P96z8HxI8Dos5U46+Xw//Oyrh4//MBUX3U53oILZRrQ86A4Fw5ZugMeH6a4ujcFPKfX5vhrKKf
B0R8dwzGTf2nO9nfDogcVlTADg6smgH9vc74n5qVcHA5HPINQowihP3H9ZAkx5CgtsgumlF9C2PS
K3OXvRiTvc8MqOoJNNym7tauDTe8dzczzHN/qq4Gj+NJMOSoIGKATx3bmNrtxCa09Y0uzbsh5vLG
c3G/9SE+yjZYETygQ2W0D9wPlmTTslNkQ43ptXqXpc1z7kA46gzrLYBzvkRIxQHHHo+j17+lnVEt
lch9xYR/7Uw9o/cJNDOnBSTruT0S0OKeze3Q11mT7kAvL6ZNIadrgYdoJcLs2I02htiw/WqqOzHq
H28kKg7UiRH4jASCwr5JecsBjY+o2Baufw1i5xHVKeJ6j9UgirSBfQnz7MRJ2J6G6vY1D0nQBECc
283kyoDNYxMDWuLyNwrPLRzrMiiPjILYSE5c0uVCQPNLIf+QdU4LcQ4M8SWYsnbD5ipfoGci1dj0
dFJTDWQgGbLcnOJl4JWPng2khSE5jHaWiCoO71qRlE+0nh4mxfpsgX6WJvTPTHFAk6p+GkOqLQBC
8xJSqNXZwE9QOoOYhyPK2nGOAIuaVWMuuni4EGp01mnazSthz+F65oZuEXLnudVkd2sCK7UzuKY0
rJaYeXB3O8/t+Ey5jEm989xMptwSL9pmXROu63LI5YNvRMVdpuNaeI/D+W0Yo9uZxOHa7Up0RGkd
ed4zC+pVwOt7r7eFvoNsIi+iDvyLlXPny9h8afnduhhcZ9fWU7LQIyIzkeVPV2Yy81iIZc4Fre0+
DgWy7Rj0jznKd/oqPCpl6KMM4FzxL/rG/2dYDHV791H0+K3MoeZCf73O3cb9e93Eb/9mqVMf+GOp
g4FBLJnEiP4vwcfnSmcwyibDQZDjw1ampmSfK531C3ACl44HMRKyyYSPf4zCQPrhmfXYrX1Mq82/
Zfb0/1R0p6DPwgnJz3EExdE/VMgjUfR235niXMuqKt2TlmmTIoNZepPrK99K0gs7NDNdRU7A+ClW
owZjmgyXQxqpBo+X86WTlUaqctT2NrW/c5dq02oQTXHMyTrfMW8ZLh0Gh5MSvL3SoxwOIh/SO8sY
6iMVeUqc7YijS1AVlRZ2TZzsyuPMzuqJoZXuc4jl1FQPCBb8bJsKA4lSVtCi6B3ju2bG861onBif
Jrsj4lgg8aATkeFwgIaJRDDGSfJlHJE3yPMu+CISP7rt4K9Gdzqeh5D1wTWqeT+XUcAbxARKMq64
uQwFX7DT+04seh44wNmmwZPTM0P//qauDW/QF4RVrBVDuF6/cqBirnObIuu9lgA3XlR96rrkD5yq
Xgw1fVgmD1P1lHadubd62iMz084VF52LuqTC15aYsws7Wul97dvHvjTr5yCJHZbUiNSe7uswCLSq
xxc/xYVpbiegcfspYly6krN1OxtN7+5Ej0pduslrizbrUCL6ns92UrV7j7va/hYfNaRolKGACyNe
mFR8fRqE2vafnc/HzsdilfjrFQFPYfv8X8u6m/+8lqiP/FwSmIGDIzds3t+QzxXg5rfdD6ogA9qK
/lvs7HNNcH/By4sH2uemivcrb/wfa4LD6ZK0GhdioC4/Jud/yJL9x2yZEhH//jTI4mJyXnVYtzgW
murPf4KH+IEmnRC+8YXLH8nb3akZ2WaCEVPxCM6CyWRSG4tG1OkySxlNYC7ZV7ZBdktnMsdl0WGA
R8DrlsBYq3e7UIakBwx7ZdYSsV/RYbRjXJ64ycsQsKs3eHhjccWLRUe1WLsQfRdaOfnXUZXf2zUO
uIpLeEVtO000QMOwZXQUPwaJ+SWnrndxle1OjlyMd8qAp48GvLwsegxwsdIY92+8lEnb2Il3Q6u7
DYae4UtR+Ts6kMekHKeNPhZrrRlvK2O4jBIrSqZVuH7qBdWlra03zP/t8ZS79R1zTLS3kzw3tsv4
vzW3qe5HDM+b1ylmWizDsAdSOCFQikEgx9UdD+cNYzPCPRb2m7qO933mPhkGOA7IiFd9WLFRm0O6
nDjiuzHfIW8wVmPKnD+rU4Za820QGtMOej0/mi7uj1mMoS+3UeyU8QGWpTL1Zeu51d6SJPOZKFYu
VYR4O8wDedqAI6TWw0M0IsbI0AM3XeZdmyEJM7M1lggcSi7NzduEXJ5s3oQnv3MqYtL/MZxkOhoZ
zXOEZ2TZBOwwLLdFgGcKatpAfU2WJ5n1kCEyK146U7PzpH8Lw1ReV7lxrsZkBDZjlOvYVuNpXsNb
Vr0v1gwNM+3J92v2fYlk9lD1CVcfbbxyqoCqQNkvvSCljZ8daZ9dw3dYtRmbqaHYyBEiPbnkR99q
rG0xCkJUirLpZxDNYvc8VdNXIfONVQBpG6Zyn5v9bY+kd2HMwztfmV6zmb33bmVcUHuZi8qYrpOR
KWqQRme/04JTb9YvRh3gma4NsScI7jxFWu6uKzbT9noqqHnp88ZOmcLWSV9ehb3mHspQNpSOpQC0
zp6aOWLJY9F2vDev9IZDz1bbC1z4iuOuNRnl2eawMoP6m28hP7GmYmelJV+COEnZpbt6IE3f2fyI
vTDYank035slGWVLTAO6EffOq5wjUID3LKpwiaT2bRZgOXaoYsw5dKloWAFmIbnjkA0smugtmUt/
30r3bVTlDtND1miTqQEV2dy04FV5I56DVPdWLg/ag3TrJb1FnC6pBaNpBnYaetg8x4mPGHses0M4
bRIj+J6VwXVWT5ALc7hU3PHKJckewUOReJAo9PWsO9WOygeD8x5reHEYEtGs4kB8S0pOFQ4z7FME
xPRsDrX9rutB+kXqFtn53oPKYGQRiMJ/nk4fTyfBQv3XT6ezLNr3+n3687NJfdyPZ5P+C9QE9p5A
hQiIqQza536VxxYkKdNFx/Fxrctj6/PZhEMXVS5dOrAqys/yeSxXsTWoZKTcXC5FHb7Q33gwuR+w
5t+nK0g2AZLzyFDrpJH/EFvLSxJak+E5V7k59xsCDtZK6u43l6ymdLtH0Tr36XyDv2ErKmMtKu+m
a8N7DKUp9X7XXJZWuqqK6eycAPm/mkN6n8NSWBlmjT+qLl54LbaLaYB2kCc7PSTnVnZyY7MWLKOe
PKrQjSet6MsXoy3iBVL0YZ1YcUCTLKEwwkwyCOtDARtqkZjRY27LE2vbt1njeqH06uUQV89Tkt74
kflcO8bXsZ/E0mnHMwl/hYxKCTxUyZGry3CBpLF/nHTvKebm51iU3AnBPnJWepncwyV90id3RqbK
c4O27cbxcARU4qlv8isfsvLkuHd+vUU3vq58SRQ2Ge67KP7mxdpu0OVjU2vhwRXlym+sZV70JNr0
Db+Jq3GKrwAzoSytVX8wepNlC4q6oFzkDFd+jH1DxmJvQbYHmhtNcinEXVida3dTtuk3BLnVgm9x
2zSQhFve8ZmFCq1FK7hME+HdBxamT7tpiGqz78dQu00C7eTkckAuxkMhiLv1IJPbEu87VZp5Y9EL
VBPEXQUOvdZY11rBvVbE0bp2ZpiifXeNiJRJME1BHWLPNirM9zaOrUNW8PUyKmB2qK5x6xd9nuIV
/J1TBElKNsnz6AS+aqedIOxeQKpe5aW1chJu9+lCnYaQo7IFMB9o2aK1RoeyIPWuIiKxHc5KNz/0
BiRqi32L2zTLOMbQF7s8MqcYrFCb0+xp3We71PaU9NpN12Dt1QmOCzHdcIRvli7iZQcB8yTQHGJi
uC2UmzniN4ea496mJFMBXF5T7/dOFQKuzJPnEsFzj+g5apqXUpmfDeWAnpUNWhIWWk41nZkUVXQ/
4YzukUd3yiI9UyTgEJTfBPTwePaOO7r0clOH3B/PE1gKJqkm43VqWd53fh9cH5YXCxtkijnUNjId
7BE2jN4TPOvNOxSJT5kR8wgaznKmfDTjIaXBdtJhiAklKM30cu9hLE0IH/pRSAsTlanjNV+GJr7j
Xvw+xnWqF/LQ4T6VjrNP9fCi4UQtcKM6KZfT2TycLLM+mp08d0qjWqbjTZb32zGIT1bn0FTiWs2X
ewP/KjPeXRVGh9BCzFpP5rHE1Do0+jUYMe4AZgBGDLoGN6InZc0bkG4XTDZsXGb3UON/tePyiNyW
pzAGjEkpYgmrokqrz2HpXgocso2SyXqhuGtk8xhimQ3G5NxhnY3C6bbQM53pf/SYZlzLDvFjiKfW
DuUud2IPx3CBdpDnfOy2Z1PJbUkNE7QP95zOb3Klvw31ahl19b739a+6EuQC6cGPJ7pbLjFOHYAC
6DPAzoo5/0rqf+d2uFbw7ZLV0pYdBl4zc55mjLyDRtweQ2+Gqbeou12jzL1NyNmdqP3cBF9j7pMo
cX2YfgX4DLIUyv/rSfyD04gUmOLnvK6d7Ij98GT56X5UAmENkzAQuYuFWThQiuFEhudBSYfBML30
SkOs1dkVNPJtJf2rWomKvWHc5BXq4tg2HmKjO42G9WhiLzaU41j9CjmGvJTYjyVTMhMbshFqjyN2
ZHC/V3pKnwzi17rGnyyUSDlWSmULt3KlJMu1YW8KpV2uvPypxMM8+Xm7aDEzpxiasZoO2OKMB5eA
aAVcJsLlbDfaDeQvYymsLzDR13E8vySZe8cJJjwVNjpoHS90mRdnTUnNAmSgFuZoo3S2JICJqKCU
TlrHWkMnEruU23AhwvdUCajdAhX1hJMagA42ZcIZGx1ftVtxYOBFUS7FyEHGCfUdl7NfmyG+q7Bd
T1ivA+zXhdJgj4P3UGBv4u/8JZyyx7aKekhM12ma/g97Z7LdNpJ221f5150jV6AHBncCgJ0oiuot
eYIl2xL6vsfT3x3KtMt2uVw3/3EOq5EpUmDE15yzT5ASpK2lFpyCYt6ZRnWeiNpOZOa2Y417hRDu
fnUOLaHca66Svuzy0ahnRaZ2x8h/mGLcQWAklhGHSOCwgWGoQbqIbp269/hvPApEgQ8yFdx8DwgP
aY60EoFFIdPD44awxWa1vcQZ+Xaul01ik0slezMcFPt2XnZ2VLrXjuzdCtnFEfDXeJrs7Fi+z6ih
ik9ET7GCLtMtN4zpxagFEPhJjwPz23dcHhbHWXaO1eiOFymLQ69Rlrey7Q4m32IvI4jI12XvibnC
IXwu/zBWkRYI2aGCKS23KpQzxStSi5VjESEB6WlisaA+papNNqu5tgpGpMm86aZyReC7Yv6YcgPT
PM4pqeNY8wDM0OWktxdjnVxrDhmfc7ohuOSxaMLbqIHr30Ccs1H8aLnDLFZtnkJy7H07mjatCvp7
zObdYITQJ/r+05gCusicZyPUT+O0cMkkQTGM2z5EqqJ397VggO/Y8Qsn66PQ2304xWdhEuGZ6kcM
p7SNMfCNRAcpr+hP9WoeGeueaIx034JlCGZ/CxXuArEZs6sFbrjVhudUmAH4pdu+Qz2DBekAcP7S
nJO92tK0ZvRE7uSZlchQbzK/hkZ+407FXQ+9fqyWJSjK8r6k2fILJTuKZDoIoZxYu/iUQjttbg5Q
U1FWIcG3myNu9g+WoR9zdBDseXE9OtvMqT+HKYCXLLqZQyqFxaw3axhvGKj6ZtO/kvJ7SZ6l3/HQ
zSDuBzf/bOkEUwLdPaCNuG011J5a4jOCXDy9wJo7i7suU0hlKxWFkE5kIvT6rG+34RgFbsiKdkDd
0Kfqvhi0p9ExQMiDwzUVaInYtSgtGiCQyMaWPHsiPxM3lgk6ELuZmw0ySS0/KHX6CEdkR3t0LcA6
4tRU75cJL1haf6iwWQR6gTBOGZMvYVuNxE5MA94m/WoyxVUY6R9n0Vsb9C8bI7R3qZsc3ES42ygK
2RGvr/ViXvU1oQWc77ALNR6WqJpMUAU2wUVLrW7CxXLOlVpdlAYBOrljBXEvbnKDVDeSyqRQadt1
SuuFZqx6LcaFfbxYz+aULncuJw2b6vlynp0hUKbqw4wSGA3Os6YhcK+T5kkw6wXCMmyzbiQbtuNd
O6G6d+XRg4qGlEjilKKWQC2ccKca5V8WKRDrtfaIXYQ5hdXNiM+KN2xo0F+WpgyQ4L0xkwkY4dxF
yQxZdC0Ok63hQ++Hy7WVt7ZpPM0qX7QUT1XQzi42jcWAfptcZYDUjNQg2jxeu8s6bEmfmPUP7KYg
rKJidLv8mb2usZdfd4toSc8tuc2zdtSfnZjQo9q4Uac5uXT1EudEfYhqca9h3F4rk5CladhFogpE
kV02kSAriQlMZBZv+A1zznJtE+nOfdaTIIkdPhst6sxp3oDpeIL2cuvOTUmmnH2VqtFVYadIsYzl
WM7pY5O7z8aMd4Nz+GjqtNlDZFVbrTeeSRI4uJ2qYKFIyl058g8rjUrScNIHQHnHPaMazevKmtsx
Mgqh30FP1mgj2lYxSIpaDC31M91SNpqahIRgfdfx/eUj/Z9yKK6rpOy7//t/5OTuXw2UHB6inbU0
hPMqE0Qk6j9O9rRECMwqZXJO8ZKU5albZ+ZSd79/kR+tqV9fxFIRneLpoJX88UWycG51MhCSs1gO
SnkSSuwpxn0/3f/+ZX7UrPz1MjYqYhDjhg1S5ceXCdkM0AUICnftbaoeFP2/8XX//bOyMdiiYwZ0
he/wp8+qQ6leVVaRn8uJB23vhC9/+/e38XPxCfFBmcBpfvz9I7sMV91sijPC0sK8Nt3L3//7P4qc
//3z+en3N6yMiR9HKbtDBkh+pm5bOzASb37N0+BvvxTEZwu8mGGS9+D+9KfIHcS9OASys0j3oAeI
gCcFMTJ8rmHIGb9/Lflr//QI//BnkY/4d8NpoSaQbQlPZ7XrM78y6bv6gDN1Gbe/f6FffH4/vNBP
b6q0U7canD9fSIe9gM8r3nKPyKu4/i/P2i++l7arqoiCuB2BFLHv+/5N6SbRmly85bkDQZq/jPPG
DD///u384uvy/Uv8/LitHTnz6BDKc+m8pOGzofwvHmcw1GSDuYCzEbX++BbSJjd7AzXPmYxMV4cm
s/wvDi847KwmmP4gzZBu/e8/pFIpqe8ttTqv9stkXw0oFET/X86uX/3ReYhZscilrSpXM9+/BvQb
xtHOWpxbCr/FB/mimjdox6o6WPX/8iT/4rVYtEhLg7QyMX/68bUQHOCdSM3yHMueepNU5Ght7Ial
4k67ff/j/7Oi1/jQfjfy/FJ9/sW8kx/6Ou9EiSTdWi48B+T8rnxsv5t38iRoOqcA5EFmod/mnUTk
sYYzvm7ivpt48r8wnWSjr7OQhYGPEuBvTDyRLX1/2LHTk0nF+IhVTJnAy5yfHvmmasCKxEQkYMow
iXZ7hxqa9lmFlsdQJ3onHmZ/4g8JFxIuICzJRWR507db552XOL2zEzGq7iEE6uFLnRWp2ExTmStH
3nQXXqhxuuAUQ9cYXRMXjmwEu0HMDkYdUIXinDRXaNTExzEQpM+10SqOC4N7n0EEae6y72AZhkCw
ifc2/B5GN6lJatlMxgNDmdYFfk3kFpiDKW/PBGUOkPb0ZbI3kSMqYEzUuWLtB+XVTNx+98+j/+e0
n+fxd49++QuPugy6+Pbk239w1UipnSY9V/Lx/vrk86WwcJkLw1SR6L0zQL9O+qUTC8Ee34lvzvav
w36b3EikKS7mS/An0r/1Nx593eWb991FL4l52N0R4BHAACwHZfSPx2O3imQZzMG6YkTJvAGmCijo
yokbI1AQcuHrXcOByaOC+y8PnD60qxO2EthOA0JgL+5NkZ+cIREMheBOWHbkd9A2jU2okKPmbphq
a9Cm18nM4YT06RB9mAZIX8EqIgPQXWYrbn3ojBZLhzua1nwzpDaDM4qqaGtL7dnAPhyZcQKnQt/3
pe1gz0ap1oxi9CBzvQsAu204iPsUYVtbWvmmYr4LM/i2lNo3ogSYNCOHq6viWDbhJb3M49LV1GhS
OVfXxW6oD7lU1C1SW5dIlR1bUuBsMx1jIjV4g1TjjTMSY+R5KmoVMG66pwwo92qp4RNSzTcVzkWL
vE+TOr9kGJ96qfxTkQAWCaMCYsWuO6kOnCyaIEsqBsOx6Wmb1znIeitnwoKycJH2fkdoG2EOS4CV
AiYhQkTFmI/AqYAfyeDzIlS/zDMJeIPZbVPihxOpZySp7zKVCsekbR8HEwhc2kyX3ZChhJSayBVx
pGKILRtWbYuAl8EDhMQQi/3BiEGQz0Z1lWrVLZxRP7TrY8IwMCYuyxvlDW3jxh7yTwb+HMKLx6DX
hTfmWZCzV/THOrowwgINngOsiZLbw3aTem1eZVtnscH06WQOKsTuYWlLLyG57dQo+jCUuNqzygUQ
tVD9KVZ0zXHG/tvtfYxFDFzGFHhX+yGqFp7EzDyiirrro3mD/x2T3YzXtUxvo3K8TEw9gJIud51r
Aoxsyb3aUMJ9m4WxL2b3GuiIvXEa/bXK1W6v1lVHoGN1Zaplv4tJlCv17ME2rccibShEmjNQ9BrX
SkZmDb4xMvFS8ITF42Q7geS4DkJ/FiyuAhsqzTjld3NmHgCtMa8LmeHHoNH9pUvB7AktPtZ1S6SA
u+K1mqYPJfdhkGr9hzmcHlWjuzc6+DCAc3dl7J7TziQxDxmm2cMTC0sa2YnYBTtjIpuhO3JYPej9
cMfoJ2MboTLDWKJD1BkROvnmdrBIgXSij9j9E2xC6BfdNGk2BNWpviGGhzFhh6NmRhIQiHRB6PkF
KrmXcmXIKKJG87VKvcMYzvDeuMdluFN09taMp7w50e9kixg4BLZy7yhXUWycWMUoPkbp7ZzkHxLD
ph9Xl5ciWmcyJKL9MJIAqsSO65dKVjLZyastge3PadmMfD7ga/J5dY6uwAGACYNRwtpKTgTcdga8
oZbTr2N99SyFYXu3nFXVeG1JPqN+a65q28ayFsYXbaETGKvOr6SG37IstD1Lr0P22jOUwnV5m8YC
Rf2IMRQDpuGj8XH8uutVRGlT5Yf5cGeFGY8OMBEvUxWWPHWyMHupTOJl4n0WzS9W3Jeb3irLzWy5
p8FsTqpivCJ50dnVgxFuJZnPBNG3guprQfYhDtkva/VMhAAsP6B+tqT71WD+RAvvz5kVoJ+DdWvM
mnGIoBB7ACUANmjpSQUYCBxhx8T7iID6Jm3DY5Gnh7hv7sK4eeslcRBe5uUCgtBS6vtaMgnJzGnQ
qsIpdCWxsJXswhGIIUroaZeCNSwl39CWpMO8Cz1Tsg+hzvcAraZHV3IRhwqQ8ShZiVgFnmdJT5zB
KCKmExLrW/kucQTbDNiiNr1OLWI7IjeSTbkYx9gqnueFT1R1h7t86rVNOFaPbco+TO+UR2zMr3EE
pHDJbIGr1zyIrsJLZcAoEW+jysNQl9Z9zYjbmwxVD8wcSbHKAmjbFPb1CEU10kMV1M6keHk+kvqR
3fJWA5y657UwWE0ZKHvQiOCvhSxqc7kTZSQOoEoSmJfOfDAm806rw6fYdiHW58lrQZ4h6d0T0qhp
LWWy44NeVisTXzJcpvkdhvJPlfRnlUTX9Z+rpHP7Ukavv+gQ+Knv6iT+rBr/GuMa9R339q1Ocv5A
+WlqpmY5dIzY0r8pIvQ/0DxY1DDoRf/EB38TReh4t9DW0XGoumlD9Pk7dRKqh5/qJAkLQiHsMu+i
UVF/ztpqLNDeky1CeFwq7Mc1z1wKdzc8KnMjjqXdQXlUxDJ8NNL4IgmXZ0IgV79GI6pLsSiwysne
U0IV46bRBd7vugFonSZp5FNZVY9RKzWn6rv+lN03ntJ3VeokBapGHiav/SDCFlIE2lWzGyuCbsCa
sRzdxhRizabPOzRaeD4hibapa11w6bqem3H+YdRxvSyp8VqlAClguLVvihMBwMk4dIiOZmunuV9C
0lY8S15tip662xyvgEf6DjVeG13krLnqtTqy5zyt63Sj6utlPOJL15VLo8oPahQfZkapvmm1SBVV
xSTqZyQ8j5zUy9qwdqJWrlOsmrd16Bz7Ok59xI/YYRnjXpYdmbPIBbPNYoG5b+GwQ/IYznPfnZVs
Bi7OvtlbWB2tVTVtCP2yiBiyeoVKR1/at0zv75Jc3CHmLkzGy315rTTZetINrpGm3ka1FT9BGvBt
4lpCEohOo5Ejz6riN7sjEx3DebTRKofVxhC4i17cKZY5bWuHlYrdrFrQtpCiG95unVtwiNDshaTw
BZpKnsoYTeE+qdPBg/uz7WelurVwhbrWJAvhFrjAUHq1RjZfQtAZwkD01ADMhtp46AAK2THLo3bJ
cZvmoMRyYCQze3SE1Xb9bIYDyeKqwn7DK7Wo87sFDc13X8X/n2E1XzimiUQPEsXGfPenAWkq4klk
bpdeaSKutzrpPS/xwuc0LRnDuH/Ov/fzTzAy+M/nnzf0/S+OP/lDX48/VF/oSywCHb/R078efxoh
nrb0tEqvAoEVHJp/tYkGKB6clpgKBcaCd2DHt+PP/QO+B0gAGk/9T4LP32oT/21EIiMVgQHx20Fb
M6yfxrRjPcNRj2L93M2G8Nd5PEyLgZQ+1fHFW80WrSrYjH75wA5Xh1xtfEbBfNm7SxaYMoUnnUNj
17fxsceT7eGmPCmpaD1Ww0Mwd+MVkLEuMFzil6tqAPxcPsdEhRMNdZsZcDSX/gLm+21Tw/9OG7Qj
bq11SBO0y7IARRYp9kOXuZCfmV2SjxM+rFX6wST8yyNFCQnRXJzNSD+rk7Vxcc/aEBAy0q4P60gz
NWQgjMd4hkq5bjSnfjNqrAtTZF6UqELJVPnkEJDhdivshKIC+QXGWCdoy7OMgoq2DmkvMJvZdfw4
qcPHbCa1niSKvQYT2qs7lMFFTGJbPwLWTmr9KiuaC/RM7MQ5iBuQ5KSyV9AEcuecwFf0p6g5p+ZY
X8xFT6hNEkYgFasMnHob+S7SiavOqgQCpgH1V2Osbw4hFFejYX9eEz5cNorxjUb768Vd+8pm0z2l
nNCmS2kUavWCdKtzzl0yk3rBHMlrUdd4bdRHflZAKUkjvvZjqlq7ZMQWZ7UkDhmzHd2ICKbBWqfQ
piMgcEWpc4RO6EaTggwLseTpXtfnfKMggdmlsYy+XAlytGaClgBI7oswVAO0rQiMjS7ZoiAKt8ZE
3d4WvbbrwZxsSj29RDlxBJx9zkr10C/RGiSF88aOzvJSYOUIyBM9WIYl3aihvewyKXEXKeSTxlCZ
67aNu+tTC68c5KWdq6FIKQCqB4KgsFscXQ69PlAoXWWHIkQYBjQFOkxnXbnJWSF5xco7bWaLFSlZ
L1snAvOQ4kjxliqqNwrxY+QJZcmF2XXTLtLi+0XrrimPy02sMKOr+vpTlbNxTmKLWhcCxEXt4nRD
Ws6Zv8qPKNHKj1Nnpg8lWWteF7vlfhnIp9VmmM64vtWz6cQYh2toqwmfu6e3yrB3JlTh8WSAr0Cd
/iVDNuyJ1A43Y1Qoe9Gj9TdBcIeli0cIIESBPtFjYFJ4jsHVpEAPDNq6yH0LheXNqs436TxwURHf
0WkpArlcy6/g5/d7Ar3e+nL9hKwQjFWNHSmHRHdKCGfydanOaxvrYC1TeGkp9ghiuzRuNWV4xBve
K4Hohzncxdqsql4y1J8Z+yDUV1A5xkBbOuZKgPOXe1Vh3T9Tv/tidC/KQrMYlYLbcbFB4+VbvJp8
T7/Po01SlgpaKbFPdP1hlL7mLorvC4zOdlpeT3bnK4qNT+AjYNzjAE39CRr464RRepaO6VJ6px3p
oh7e/dSuTGKQHusoE5carxbX8XEcjbeGIDtfXfOTmITqja79uErHdpKu8K274gugMUynRXGosHdT
J14OZkJwpnR+E3Zf7bJEJaxtjM3gnek6Sq84hO5DKd3jdqfDKpeOcpVN5KBEdzlWc4HlHHM8pyBk
xsDGjp5gS58zy9p00qk+dozASPbZqZjYkYi3IHY7qSnD4Z5jde+c6cOAhjiwFeMaSo6DKwRPPDU0
/0/pkx+kY77GOk+Gy57Mq9IfjZBxEe56JsAQCKTjXpndoJ/b10568c0xCYidtJ5xdxfmpsKyX2r9
5woLfzmYT/AEzEOCuT9t108EdBJDWc173nS+jSUJAJJHkFv2FZPuXSxZARrQgMylnx4rda801n6Z
8FFIvoCSTDes2C9zrdMRjeSfeuSlNkgCFTSBgiEkIn6SvymUJ5X/bL7EoB/9LhnemL1jdJ8IQqiW
Q18Y8Wawc18xshsiAxXugsHP9eUY9/lN4SqBmsT3ORnIsVUi52MCMBTJfZ4wVtcsaAVhZ8MLWfdU
v5eJ1ANi7+9czadVeaX6YuyuO8qy6xytc66TAtJ8ZJW3gG/bzT+10Z+9IbXCf66Nrl5qVqA/e0I1
fuZbaUT9g8wB9YEtWRxyIfldaYQ9GMOWUAUtngQO/muCTuen6Sg8XTTs75jCrxN02kkTpgcdnUSP
Szja3ymNpIH0xwm6FOQjYaAMYyj/bz6utukKwxy19UzibcH4puc2dWEN1+byoKbNLpRUZjBJQVgP
n8QQfkyk3VzMBs1UmDPSUx7csQmEuZzMtaYh64mxCPOeaVxytkjfWELnmuaADoJN0aaZxC6b3dOk
m5dVUe2IT9wPqYYajePKIfXLbyOaht6a7iwTNGivq6+KVRJk5YJvHY3oZFsZ7SURUZ7TYLTRmMo0
itgVenIQdKl+rTmPdq1foxo7myDPvaEtR/dSH/PHzFp24QyrfzHdmzyN7iK0RaXJTHAx08qLcuqS
pTdepypK6ROHGi8fr7OY425VqF6gcPhQs/co3sSWuDD0wvkUo6RNRO9rUX0xCMxkWj2V3gA6IMji
xk9yc+s2+adoSIJ+4Vevx243NBzifkVtOOM12toCvu6EoUeO57AFASKLyT7O1YO2VEdd5MkFLelF
iFHAdyQPKMyQoxOd6LuTdUf6obVdnLb3sR3wLtzWwHNrHcqJuVe1upZndmZ+QNt9ZWXcgmXJLdSH
H7vIuU8VhyNR0ffGEr4icYE+RMwhzRZ4IPwAnsYZijAH020cdpzihbhHSN959mweEADOgRHVtzDN
9zObIJ84TdWPVlI3q6QLD0jfhacKMr5qOvIELdlmjZNl0xDe6plR9pmoaQ71RoWBrazarduoDnvE
bEPUM9kSMDIDpVfFdpwAhaEV0IpTRqTDwRoUc89WcPInxckOtcOtJbFuI85/D2FTSjlm5s2+7aIK
IB8xOReqFX+JlKre4BhzL3DxJj75W4e2ie7R+jM67rW9odS9j3hg08WDuRkd1GJjWR1Lp5UgurcK
3JJnrNNRzONT3aEtZlL/OGgNVzKLK38M66exc8TG7tZLQl8vi0IYfuukN2vvkGRURbt+Mk9MqvlK
KI/9pAof8ixgOmRvVmScuaJ3A9ZbM2Fn0RlZxfyj27FOumRYAKrN7T+uNanFIntwZywUhRkeIq1h
fE+Ahp+qTbJp06rbJnH54ooMUIHC9RPFGzjPpzJ39z3qDn+ylS9JmDwQvtL4kRLFXqqJL3pSP45E
eSsRKWct9NKXsTU3iqo8A0GM2Xw5QAKYcuLzzG6szPjY1+B3VfuLvXZHdJtXq8rIOKFi7ioTe2Sl
nUqmDjmhs5vato4kY/ptK+9rLb4dIy7bLFk+avZ9pmyMxTnWSbJ1qQ8otJLWL2vlPhltFZJXfuNg
MWOq34IKg81lDSGjePjFZoiJTO8DfSKAKUk3imLt1456vg/xSYi2c31m2nDW3BN95sEeM9qT2B8M
/ura1B1HG8pLVqwfXWvstz1kYgAv6LBTQo2YavVjczlM6wH75CfNrAmBU9XAKSaXEIT0rs/NT24b
N8Ew48UrG/uRSrv01SLkS1zFQPHjnswAzkLPXfOZ7FhtKa7+uXH/vHFRc/3mxn0dX7786s7lp77d
uQK0KBg5CJRogN5nDt/uXHI5HEHOJWeBTMfgOvx654KbIfcNJQUyClv++L8sai7/nvkeowH8Sv17
DjX9HZz+L3UaS2vbZtFkumjgsMnxW/y4tA4H2mgzTJZzUl7rCzQ32l32U737MK/a5IlFA2QH0Q4c
+K2zGJ+WOiegne0jrCraPVKDiOeFiMfM4MxApkIcb31y4+yUD+4jeM4HfSrfBohRjUIvlbj2M3O5
mpBaix4BAp/QistKIvnGcGS0uiJNFk1MDpowvMbKHi2yMrY6skbijhq8W9A2K818ynIe82X9RIwl
riyIgBNkQIif1y2kwASR8E64zh157g9VNUdXIVTBahprb4EzqDpo3OeS8Jq54j2vQYqXtnGGwwCh
kBFRyGy33Jax8mGAYehyp5uae4VmcLsSsxyUNr0iMQiMUGkh2QduGyd3WCOy/DDUL2xgz12mWoA+
m+VuVQpiG0LdV+vOX+mGcbbpCRe3gRgG0OTGVcznYs1Ya02hTYCDyC/sKnGDZlJBN9IAslmXbZc0
prngHeE8ErC1QlRn0bbUFYJy85ElWJP5EWtGVNUDl7YHKobObLawtT2o04Qud3TMhnl30wsyT9N+
bLHORSnXTRzlICGAJKIDSC4xZ2yybtmJfGb6M1obcDCMACKQycJg7AtIEzG3+mDYyG0K23itU/OU
C/iUY79+XA2qNavjwYnD4YGQ949J/tqG5kVj5JVnGt1hGYbj3JIpZ6XlvtKEsomzGhKQPZ5cQe5R
hhOKiJIPi2FdFDXWtMJcXhrVbB6MoruNCoMbfvSmegKLOO/mNGVibIYICJJwj2248qNGP4IdpAFW
avuwKAtyoMJ5VMbWQc+jbCdX24lkRPrAwtQJp8PqmpknqhrATlQGrqRRjk29SwBweMImGUYLt/pg
biUT3mvb4XHFxpGb2lul85lxwD8JB99kmD0sdvwcFVAqGUT7c++wUF+furaEucTmkwWD7RPKtynn
/qIYbJ7mdH0aaR6xZLz0SwKdSTuyYKbPqp+tZOqDUMdXlQmcEnmb33NdPMSoIvFbGx2/WnbMyHur
JcGzt58bklcYQFmnFl/8Ghs7oZMrtijzTiyLXwzDR9OJbjV2xrZannWDm7EGVdJYq4bSARlGY5UQ
0bBi69E2K79krNEH5OCbbgp3VTLJ9D6Dlbm5XCeWSfBIyH8zDRmv3T2tA0EIZNi8MJkqfVNkvS86
8uVyGL3juNxbK0XDXOU2Ixj7viyjo9OI59WJT7k73+iasqM0I76sYXdSiH3hOjxGdnPAhMMDGN7n
KeBtMN6vZmrUfKHUex7jJ+z3McdCddUn1k3n6l9cOAabVJmuqxC/UNGp0gau2YR8lcAlrRjvJA55
ljVzfr1k7m2Wca6wIWoO4RiLTbGo07a03E9z2L9keXMdqi3KEtsMg24SaDyYQlHWmMfa6YxrIr53
CmQ2kK2Sm1mX6udwgTPA6JOZaXWpr9EnFYvJIJmbkGWUTZ9pVzGZQV5Xk6vOoqIkT7F/rZjQ0HjH
IGOymmlg33Cxk2sISwrOZyqJn6HRXq4gQHtNvUhAgsZxf9tiU/LEpB8soKEz8FDAnHh0oCvUfSyw
DkEYXaIoSONiwL5nBP9c+e9XvsHA/j9f+X8hU/KXX+W7yh/9du9zuQty7E3LdFnCylXrt3tf439i
9UlIqyHpmt/12kjS0JDpMn31a1TX114bZgo0OQ03hNAxKvy9WGxsAT/32o6gyxKAPE3wLCiHf7z4
bTVS87w1wXU5rBlZxMn7eFkwN3FeMUFVDxNAC8Y/h7IoIQuRVPRcuPYFIM2tg+ixyqsre2gOCCcB
TIYbYZDelRPcc5kndnVOk/ZxEcaT49YQYLtl8RyFOdOS3f/p9+pX3LFRBuc/tcla5ctCfH0KFxEP
ERYYR+YTqQQV0aSNgSuzi+Iw5jA0HTwuoseZSsTRmqIpVSPcPBjq17Aiowhp0n6QyUgKEUnzQjuz
kFrgw5E1g1iqycZRPIwyWgnK8qSRtdS7RuZb7/lLBDHh8o5Bg/LvNjKlaRi5t7C3ktxUpp/dxHU2
i0x1GmDF0AXGh7U0wkMus59EMTPlo/sHnJcfTVOZLpGfupLRW/pGmz5A2GOxncMwaaP0TESHL+Ok
vGklw8Ma7lGjWuBpmgeEf+casoun6/iJZwoMvQkHkvXKISiVnK2GIRrfbflMs2Y4schhGrFU5MOO
isRGXiDOR3o13ropbshwgi28Ture1ukOlyz5Mqr6KSrXq1UrRrRQ9KlD2j7lveKHQyWbIXI4Y4dG
WbAGj1C8Kevc+5XMGeuqlBTUPtWDXLMOaW/dZOFCDC3yj0CDOdcYhbOdlOpzo2E700THbTJtjIac
VzJrYN+c1Xw46vqK7s7ojs3IMxMO3XWTWL0H9IZI2ZH8M8OtUGohf0yHXdPoJ9uMs23PFNQHu1Lt
M7UMslrZtalync1Vd1pJQ/NMlDoYi61bzdJObp1LG+44+0Zh2L6GuZYl9cpW2Og7XH4Cvf8Ubrqo
u59pYLdjWp4iI/y4NOOyzRVnF3W6FZi9eDSa5mOqk5uq4kJZGmIjnCS6IcTyUp2LYI3mq6Zzv7TW
VAcF1BaW4tYhathHrJZ52Q/dOam6RrmpCEFeX5c5z/Z2UQRuVj8SLN7440rvSq96Koesvkh797nK
xC38ASgsi9/i6KrXaAvRJai76cLtlW0rtGOVx1dJVV3MaXdFUsb1WOK4ZVAz7PJwIPg2NN9WSxnY
8E26QTpmaI8efJn1TrPWE55Q9EB5Mm2jxERJqlu8LsDRvN1NtNAbypj9tOrXrfncKSSxF4P7UEKX
Z0h1bDUkhUVvHibY1xHZPcOq7cMRSdtiDjccdl5L3aLRpVKRsYQPm/Bax2WP7IR1HzmU1ZDcQoXy
wyW6WyHOsxUb4MrC4GbCTdtqMHffuZGqb9nkJ1s9s3Ys85Hj5ShcNS12UOjlJnpRnhwgE8RsoMdl
11RcowJ7so3yrWrFl8LRMOpV+eNaRpemypRtbiAlmDpqNyFBOUCEPjkSncN48YRZj2NCiOtC4nWo
zNQzy7RXckpmuDnT6yBhPJAtb3WJ59Hh9KjwehpDPC3wewD7b10J9Ckk2seRkJ8ZaW4psT8Z/J/a
WXYjPCBRt9cufCBBjPIqgUEm5CAyZZMAjd4eNat7YUMXcoYw4JVHX3eNe1UCiGKJIloboES1xBM1
inaaJbDIhlxkQjBCMge+XUKNbKx6msQcJRJ4ZEI+4r0mTC6AZriwPOKGgrqXoCT8SBsVclLkfk6o
Fzt4SpkEK2l8BfEjEksEc4ll4lZICFMocUy1BDONEtE0jekuboA2JRLftMBxSvjnHAl2Mk0ELpCe
4lRjqSvhT4bEQPEHBQilzbdzSUppUccBkj41AAOwx7UIRsppo8MMoSJUgMjTAWB/8Ant/ii6NQFu
gg1yNlhOG/NWiZs7DVSVJZlVUWwNNE0y9QCgVaYxSlM6fdeayPvHpjlFkn6lafXdAA7LkFwsRW92
A8MzM6uvJknOqkFoRf18K5ZqA1tl2Zr4yCtgWwycpvt4XYbtBIgrcwe2GbZ9U8Q22PwcHt0/9dR7
PSVpbL+tp/4nSF6jX2j/5Q9+raZU6w+KKeH8tWaQ85Cv1RRUSsYX0odm8lR8L+rQ9T8YcKDEt23G
iu8Rpt9EHdofJjtboEECYpwMqPs7m4tfadqw31LQ6cxyKPeE1Lx9Z/JL0jTuYkgAJ6QfTPbY/MKN
9FkpZmR9FVNNcTWudsspLGoNSkS5rHcDySIRUQeXOjr9lyyWWeGMQQX3jZ2r6jUTAHYY6Uh/4nVj
6Z6Lql8vIn3Ik0PTL9o9AhPFPKidaBXPdZX+XIR6eJEtFoxWRBWpepfYNG3HNVrz7rNbRtZ0anUq
hBvW17vRKvNXWhfEy2Uy5EwjCWjZCQlcdN/Zi32z9AeDrSLxGStBAZtQivJWw6bps5tYHDUp2mub
Jv1/7J3JdtvGuoVf5b5AZaFv7pAEe4qkOsvSBEuSZfR9j6e/Xyk3ia342CtnnMkZnNiGKICFqn/v
/W0cyUCEVuHoVryy6nbVKVN0MNvJOPo+vpRF7Pruc9dgyaY1wWfsYxsY4nFFdZdQM58JEj6R63+N
sYGsiDFly9Iy38o2e7PcQqWqJauMLyBv0BShGFTBsMtnxVy3ieieBiZE8NsVJM0h6VT0ggHJBrrH
gyoieEHJ4L+OEcgJ2qYpuRM+CG98J2wiavuENW6Eo1lWG3SnYln3c0sdaz4uTackPgk4ER2dsu6w
KT0LJ1czND7JjezgdFhkTL8G32aa8y4x8PpFGklxww03tmQp1wEroD45Me49bGt2nnil4745Rig2
Tj9v8UicdYyJm8mnlkQ07A0DH4N3Y4yfjZBIVDLM/QLH5qZQXdL+7bhsw3o4JbCPaegLx6Wbwkxm
qTM58pbaGbknucUcqd/klpW/xYpR77Mqyh+wq9PqEVVfcjh3h39Xrd9PgT+14d62zzkVfTyyLFEf
ILzGN1ZceqWwzcrM93vBmzxk/bFsYVMz+E9gdk1drj+saH8Mfx1casx6WJts7Z1C9tfw1/5NUsQk
Y5cTJYiyf7Rssdz94BDISRQ6rypxvwo/+rfLlnCEntT0J587tJT5CvnHjE+qocjCtDZLLzzJPTpU
ap7MsrpwKng1ZDtuTU1ur3IyytTsWGn1YzoV+7TJbyKKdVvZsKvHtEeZ5hX95qialPAGOtCLmlre
UBkecOe/vdP/i15rsDVYxTXIqzUd7fEinCkz8RmGaAY+0JQeQ3J2TDIdw6v1PldfNOp5xn4I0vUQ
9I66U2y9jvZaYrVoKAQJZgjnrsUutdRxOvlC0UsKmsqdHdnZprIpbwGjYtzpfsvWyM+GGKOqS/zi
WMdR8xgPPr6GHmwGNc/0MC/bjuBAk1sxjjizGfBFmQIKmVPDf8ztfl5VNUv2KjMtl5jTML50vABg
tOQPdml2fGcHvu4AssrIei59lnx7qLAMOenAVLGgDpKznNagdKMDrqqZqVro6qvC7+81xf8k6nnX
2uKmt7Nl3g87uIseE8rjOJhnF5vzwimtZZ1qN+Q/nktRHNIOnkzRdlednbPqCDgAoQ1gylVv+k7s
MK6ucr86OUH5VcNJl4lhC+phP1jZNvCrY+Dmp0wbT10BfWxqblwaLKH43Cdu74WmvfXV4GyFPfJr
Wt6m5cy6FnlpqWwGs7mpW8bg47BjGSfdBd3MpS7DafZpPDCByuBXxO7XXKW2KLVOOiSSoXA2Rjkv
Vc5wftRcmIY90rPj2WBhSqGucjs8zQXAAY66cEVPeWNsm1F7mIfiqgfZgWnwxL2kjmtYu2F4ipkF
NrpLm5W5xki6j814U1rKk2bGaydqr0q9fQkKJ17JWx/Y7h1ZOVq/1I1jjTRKNS22ZeXUaZCTq/hU
g7qqoFe2s7g3Q32XxvIOE1MikLprkIcdAOuuX70B9lz2efpgx+E9NZ03bSjWfmkedcNZU4dzUuIe
ktikHgdjfIGT3C7dXPVw5R1psNoTtV7WYXsMbHUtovEAZn1XNLBlnal+q23tpnfHm5px5cIPevPa
NutNZA3hyfINXj4aye8UEzx2mkq+ggqdcXDP78scq7PCEXRQeaQ619il8nQKFK/kJOl+mTi4Khxg
jUw/2hxoR3myHYH9gK6zPZ1DbxtPPH6cgssSFUKei4XukzFJrwZ5Ynay7o5360oXMugjT9WaPF+r
7ydteeYWYT0uKXfKV1qoXvmGcWPIEzqwLoaa8tTex+4l5hjfGJlXynM9NYmC/TvkkmpUrwg4bjgi
L02GAcqAXs/Twd3StHbhypGBH3ICZIigyWlCODWHlPECGKOjzrhBZeyQWcSa5ByCTtvXUk4mtFl4
6K2DF8upRcT4wkydHe1LOl2QTDZyOePw5bRDIBEVcv6hUYu7iBmJZFHKbIQhSaYVn1s5NcED0C9F
Np86BiojgxVLTliEw4G4ZBI7RgSJcsYwFuMYqtP2wgy2jujSNQDrEh7wcMXkcFr0cpqTybmOKyc8
mpz1DFFZreNuOhZyDmTp0TlhMNRbnbXkzX8XWPg4QrzvuRQrnOSMx0VdAh9mx8GgyZUTJ1fOngw5
hSKrmB5C00r+PbGo7+9+7acT4Ku3nJB+9MO08rfzX+03rAmEaQgef2RmQ8unFpvwPiEUQ3PRXP//
1Y8NXVFwUlF2/R7g/5aZTZBZQlcwWf1D0ZdAwnevfdDbiinN50TzGE4D2fiQVLbTNnAyLRBnlbb2
ro0YuxnzGySvYEHBmLXodAWIaMwIJuCgANCovnHrTFxrdi+wKttFbt8EgZux/KkTfT2NWj/4eCOm
V1M4LZXJvpzVUGIDc5NJHrho5mnYIRrDNTY442VwZnA2YxuNq74U7rpWtc8ghpTXoEqzZaWN5boI
7ZRIGnzTPuhBcxb8WZ1SWqyYWv3E0FMlJI3uOoe9uR9yex/HNT5wvQa9hqu86cSm07oXhjLk8Ko6
xHuba4tU61eYEK+moHBprDRXoWv0JydXGPDUcbBiYM74YGJ14DuKHx+FjQg3zmF60FawFGdK5mrI
YLCQGZk3l7jJWTamNn1EX51uVZXcJvUhjUhOFOWFHk636xjUJC53lbA3xi5niOh+LKEzDmvLAZxq
tBjUnN5ka+GMUPHsIdrnHOwWph6NO6KQyqoxKz1ZkFYeFs6oFPzOoFpyW8TZqCKW+sBdxLi+ly0Q
0cqguTDpi/F6dmJ7wyszuR575VyUYbh1E9B1bIn4S8k8R2shCD6BG8tTAk3xUGxrhuyLWaM8ECHA
cLzGsaF3xWEISc/NS//W5LKb/r3BiAc73+V132+ypoj2viWcq8gYcH22ro87ir+cX6lV51+rXfiY
hiYIvdx6Duh6WQxNqq1Uw31M1DZY+W35VXEpfWpFcIQLjdU6Bj2nJJIwkn0NZ9Or6Gc5TxmIE0Rn
m3m6k/AWJWktemtX95W9Z+aoLnvAYlhmuU1ZtjFC/setnaU6mh0h4EnWD2OlHvgBWq1jOF73g2Zc
9RBP9/B22YfoqX4xzYZEQk1Pi9JQxa2zPaNOvIxBoNWVq3hMy/VzXwzWuq7M6mAZReGJotgU9aDR
MzN3G+rqn9LehiU/qksk2GY/jEwWyYHhqDJ855QgLYjM/aKJhkKy7Lrountf6FdNSX/eQhPlacLb
vcNWG0Ncm7fCpBCGsWt6p8S+z6jtrRXjIUrtQ2TYxyks3BWbj001TisLBi2fmT1TfjSz7AlR4GCq
0TELnWAZdaZ/lTukUnG2A1YPg9twGoNdFaY7yODbpOImsWHcl4M0FuOKX2iJ8xx0A99AKzpD0saa
nbsQ2ts+46xdLVUr3eGRWDl1/ZyhsQ9Foi4LkKw2YVH8lzVtz2WCCwoPNiR75YY5Np2yMS4o4+AO
4xLm4Tv8gE3zmN5T0HFm539PQwUhAIIo1tlntrP3nfkrosiNOXc7uT3Us2xlkRjmKDweSLAu475/
Di19Q8qCsX5QIpw6lybJb5xC++KS4qY0Fs6uO90YAu89YTbI6zM96mwfucdZDBbBYNYQ8FLvZ5is
OLRf52m6G+TzqCbxjnTHBYruOXOYf4BC9ceCWT5A4YDLp6ZyneXjCZr7UpsRzXyYduTAw1lsZvjo
QD2XWUnTacMI01RGVqLo1XIwWLNFF/R/JaG9ws8BuVVxVrlCoWnLDhfIw0VrUyTvYDviDc0KcezZ
ijEbf646MDzJSLY6+6oZoHrJxQPOWPotnov0rfC7m7G1eSIV2ktJYQz5ZxMdoyFVxGlwlbf10vC1
s2U4t01rrY2edEkwEqJ2pd6ueW4KCbnAI5sxP2CAwxOIKZw2EfQ/IHpVdGKFW0/QEpoQjKMz0lHa
hDudUe84158Vtd3PpnNrWeVnJ8S7AdWzyxhClG+VomDxGdWFrUfryCqpeJy8JDBWoTItAz281uvw
quj1G83PvqrQqLVaYQ9oI0kpW+H2W6cRTKbT2xhidYsbpeYntX28oBbYRl8gqSjdmq/iqXGdtao3
e91HnByrVQCSF+8PUPgKGoBhaK9DV3zmnzLWI2DtqTGIGMSY6exwWE758NzkzTJ3xCFti90sbNQH
mLY9sKWQ3hmiJZiS3HACa2HZG63tH7Iuf2orfLqYT5hLrkpGOcuirbc55lY23AWmUnejxv3noVYe
ijq+KYS68RlsR37H7w7MB8kRuzV5Ou1Nb/bX6DuHcsabKkiDR/bWGf0zLSm73ICi6atX1C84i7yL
1lk6XUpf2fEFW5SDQ9Qdp7E6PpbwMKZa6ZZAhe5BFl43dXPOG/OGbjll4agN03HT60tkzRrAfW6m
R0b4wEYrhXNscFXLhWouSIO0B602N2WJdbEdljGurWaQ8478wI73vqYVRtWKg9CM8Cx8xX8Jpii9
bZhoLWet3cO+Q4jE6UUUS4j4C5mV+7jN7J3GaA/edftomLzUQZ5D6qW+Wf1iZcRO2uozVVM7RVPP
rLewRetko2KaNOeI72VqJ9TMqo+h2ZRrV0/usrqF1zgmm0RXL3HCYS9xQQfiMVvDKtj6ibUcNAEE
mDrXvqFMlTbfpTppsjSR2sj8MgYWjO9xP8IfKQVJJbjbbW0uSt5/fAMamrl6e4WlbVWHIl8KdghJ
2zEk4SUxEkHqhfOl7/ELRSAY6FqLlHGVF0xysyYe0THm9ZjlBypjD3Vr3hUmPq26pRYRClGLERti
uNjnaFqlglTCNKNWC+o92qtZDI9NXb6ilayCGEupn46kb8HXZQqvv2+G8L+Osr7vEHEdYk0k8ui6
5ocoK3XBdd1FuThD7Ixi2BjJjUDx/vlFpLfwL+/h79tQXbUkRg4Mny6TCt9OnyKRcUA1VHEenZd6
2Azd44gipaOj/n9a9nX83+Ct+MHH+dGG99srfXA5Fj4U/tnnSppzCg2ZicK9N+8K61PcPUWF9fvJ
6D9eDqHi7x+Mb5Ns0ZK17R8+GJUkneOnRXDpxVPbHargNU9ff/67+9EnYrfMZpnL6H9LkQI7pvF7
KsMLCcl42HQ4N1Iw/lmwiWak1PZ3g+8/+URYRDi0kP8w6Bf8cGLoc0x9k9JGlygPsJiDwwo2ZfKL
z/Q9GOD9efjuIh9ElMYXrWn5XAS46KKtj/Re/W5a+q8/hrxx38g0WBQxPjLPvdTlFZMQeDl3CKS/
uMj3Q9W/f4wPd79MSFb0WRNdRoGybXISv9AqygL3SMe81Zy1rvnFFX/wvBlwBlG6mDKaaGDff6wk
cmgVInp4savrSgmWyJq2//XnD9yPrqHjEcadxHOgOh9+db6pC8vp6/iCy5LRigc+fDmk9z+/yI9+
dfR1uMAM4QsSu/7+gxRDaNtRNMbcn8ec2gNOirGE6Pq3cXcw+mox+Nc/v6J8pj6sQSxxf13xw80i
M+rWpTrFF2UUFMU+kIH6xWKgfv+bA0qGvmhL6obLJIDv64fFpykgQoWjml3iY71rd7w8r9COVuZ1
eGMu8xV2qqVY//xTfX/J3x/Bbz/Vh0uGPWYkUhHxpbcajslYcVwWhWL786v8+HeHFKHw5sTn9uFu
WbNq2W2mxBe/YlCmHhyn/cXvTv72P94dAzon0i78QrJh3z8PZaNF6tSI+GJz9J0cjd3mU2QEiyCO
f/FZfvQb+/ZKHxY4TsRFTc9ZfFGh6zjXpn9bzb9Y3n58CZQeiRgGZfzhUYvUBMb3HCSXPD+buAlG
/MRQi37xUv3RV4iH7c+rfLj1oKZDst5cJUpeUyGpIivZNoGNK2kvIqFs8xf36G8fS0NCR/EmOOgi
IxkftgqaC98sszEhtf2GylK4ANV88w8ftA+XYMz27bKd9wG/0LBKL8CFYHgE3oSn7b+5BAq+DSFC
siO+v0Q8joxgOWldmvRVzMTFol9c4G+PMp8BerLJ94TBG9jB7y/A0mkPKmUYF/Z5WWcuw3gHd32R
u2/vH+RfcqrOk/xzH8m+4Mwb/aDZXv7VP5wkSLIYNFTCLtpHOtJ7zaHFAdamT8rAL/LnXFZ3fmPy
ysxU5ynXTHCR30qyhkPh8vs/RmLnHzVG/c7Q/WvFw67iKJKvTdbc0GUy6MNzyH4vY/A21eeJwRZS
jga1kFRX7sREDcP8HBnWFckE5B90IIo8TSQqpKE5UG5037hJ6u6tAIi0GFGRGIkcQlSlXu+OiaYt
BWoTpQdHB/WJGR/SAXoUFtmjkoL401GqkIrXfmAfGxSsYhLXFoqWPeUPJpKIg9LlGA7nEQfna75L
UMJCCKyMe/UdoIVPtJ6g7ijXUANOHcVFNMOcRrtHrkFdo/BpY9YqlVLBvUnHhuATrdJ6eHHR5XwX
e2etP+kBthR0u9y3CNu6h96oTj66nluMazzA2L1K1DnwbAUFTuiAtmFuQ4pXXPQukWA6poyY4/Sq
7wjQoCOGSv+IznwJw+4qGKZlL/VGdEcd/bHWSk6GXxu6dFaZFCjDrtvPKJY+c4YIBTOO+51oXK9H
2QyDeSPi2MtQPK2yvp2aiXjgGJ0DNNHEptMIjdRssu2MZpo57UuOhiqc/ERD67FHW2Vstc/qadtV
DCrQXvHagUuEI+m7NE8bN3aISOswCmqlbGukw1UihVx1qg6VnzzrhXHjovSG4LCQIG3ABwiGmvSf
9rua4QAtIjexO+5UNGOM2PcBGrKV40KtUJV92fsSSqHZzqqrSErPlhSh0wmvYYEubb8L1NW4caRk
HYzlg6bhf8lQs/N3Xbt+17ibyR1wAb1r37TghtTzkaM8G/M8UiBGUYq+YXdNeFIduPsjJSjg3DdF
1aWoYuVNAtJjnzOfWzYVpCY1lbKZOfdeP+HjTKnuZMRMOwrDjfhGU7VNgoGYDHewjXPCUOgpDK3w
+i1zDaKFmnfMtkpQmq2jxPiYBwMjam5SoTPdRsZUYewm/OjrABDnjgN2UVYa+KvmnnSyQs9gJ6kN
2nXkTBBU46+D6bPRFNqd0PzXwtE90m7nWTPXRp1g8U0GDDn9En7Ym3TrOnH7IKj1ja/qrkVSmIxu
WdGDCKQF0EZWXNPo+An1IkLZRFb2TSp8COUw2iiNF/pAc2yoEBHKpuo8VJFTVNOXZI/xF1ewM+BU
ny37njEUPJ23oHSf8km759Xyxs8fooUozXKa9NTTSwSEMNNLz8xjcvIJM+2+VIFr1Z7uRNQbZnuC
op+Mcfra2co+dp09FEYIk4IuoSD8FM20iWRpdcKFVK2zHhuT1gnrqkh9OgTQgwJyvwi4sDk6Q48X
vMI+DzHz+KbKvojCeTfHyy6bIF/HybjzRbqJFfqi3Ll/nAuSwfSAnCPFfgn78WU0emCKI/5nmF9b
3WLiaGMwCBwMbFpFpVMJ6qbStY1faJ9bGnukFEEAnVh40DXM2KLPU0B8zhXGa+RXGfIKSM6ufRFd
7TUa1LfRVyjM8x/0QDIxGQjOWke0mc4YvRPa0mjrbjHX5V046JmnxDLvAGN0Mfr+Zz1VpMnet3m+
9DUsAYKP7sBXNEomEtN8LdGsaBHR9a+ZQvas95FdOvylUYL9eciqHeVMFj9bvycfdB4zwJET8zSM
D7ilFZI//adcUfbt4FA2JgDJRWKCLKKMxyRUboegPZh5eKdONoJVTFkYA/mFA9bHs0ZxjEhjIzQl
93WIETbKSttL7RLaZhgm+boeQLksReEbaF2tgnzdhzujjdZh2hvkJRyxoUuul6IWojHopTXlsmQ2
J5yAcK5tdUyvo6KPft8a/rsXkUap/7wXWYN4+ZE8LP/WH9sQlR2FxdveYbPBrkLmbv90hskdCltE
gxM9f8L8ZhuC1dUx2Z38zmFUHf7BP+JB5m+wW9nZAIBnFMpW858YWm1bYzv63T4EAAeZYNoxKF4B
fCaPGd9MSpIMf+IIovrko14FbdXnV+2gTdYyzvqyhJcYdfPGGWgRpGYvGD/RxEMxVMGMNDy0cQjx
tLnNwmrywoYOrKElyDEEXjJzFlWVXKPGFZ25cOMXHUVxoecMdsnmVlTkmSc4be3SSsVjMWQ3UMke
mNGryXULFuwWYtQW1WiR277UTigkUiKBnpY7dA/2FQQsETxOJOAuPvF96xKmk30xc6ehs3aQMGWr
Y5TvmcQM8zvLFtRX1C6WtmZU/fZciSaEo0DUtF+lyfCQaFRfek1SbDFzxNNWU+qrITb2Q2femIEx
gdXJPymzzGYCFirC8lVzmEpbIcJzO0fLmvwkUM2XMI8Z5ArjZHXagzWOn+i2NJf6II6iF57IjJy4
MLqxUZYk+ylwIv5iGwik4GF93VlmVvKkBeZt4gxntFfTQx78gv56l3XGm2IAjm14WS9Mp722dbge
wdhX24F/n8N/mTxNLIeLZIi2yuwOXlWxLGepc1elqrYucoKXud7isYu1LfHERd73tZcN0U4PWfFN
DO+wnzDUN0Q0adKGopAo014vtWsfd9Ny1qmDyA1tWyQT4QEHMq87jdpu6lWZ01C+KIXrOV1DtYpv
+qvEbjZZ7j4HYXHA4nhodBd3qgNgSp/dW9uHs+SSjhx98cV053WqjLvSp7K4Jj4OYs4r69naZjkg
iMYvv7YF8jRZWQQYkb0OoUvAa0LncukG1Fz65S0DtYHH69oAgr1oHcKiZixgZ9AC7LbYDgmNBaF6
45eUdJE4CEl71eYSaBxtl+QUCF98hglDoUbQ7lvuYNt0a5LU0WY0Gc5bSkUEOzd2WT+dx8p8UJv2
BOjlDj0+WUZK8ykLwptQ5sZLpYPCawnsca2+6MP6ZrL9OxhZ13PV8RUh9esRQA0WbhSRaKv9C6j0
7ZT6Ygcg+rWuROgpRplsJhNH16y66RL8e+YFZrNxOJ8jFkzznjDpOZ6KaV0QoVuWXY60CcZzURnD
ESLKlxR+C++SFC9mdGXFJa8vxT5MBWwsBcEPbjuSLl8Az1DjZ/Auw3py2zMYl8+9CJEwebIW8ZSx
Fe14D04YpGlzuOnmEqOkvZ35zSxsCf01JP63TXAxSiCwMHg6/QDceQMtGHrKTLmV/dmUHGGVO9xL
tHBaaztwCTo7FwciKow9S4KIFYkkHqr4HMEotmAVZzCLcaEKCARgOQZ4xlHmXkitVGtLoo4Jh+te
JfHHFRxkcEE9CA7lqw8hWdHTV7BDu2rQqduSEGVfaG8GVOVG4pWzLPuUSeCyBnl5kgjmCBZzAZOZ
nSzkHSx5IbFmm2rVaz12eAeDP5gowq1ewBx4gAnotBPs5DuY1hbK0GpOio3Zzy+1rj1WZBi2rgLE
pnTty9z1QF1alFOjhpFHIR3553AiQ+w3O8Vub8O8BaKFCoR6W0zEkmjggn74VFrGbZtJrGhI2Z/a
+YNXdxTXx2WZL/NIOfUdWIDE1N/6eXI9NvBXcayxy/YLzipJ7qIk0k3odsSMM/LDC1B4r4Kk9VJt
qAVQ/ME8RaPJRrKpRgrPcUPqWnUzIAHsJ8duVyqd3UkEb4cd5roN9MmLCDIykwnLq8wedlPmPyGF
j16G129FOgMcvs7TWtbxq0UbB0kimvbM3F8Hhj5trbyudkVprJNQi7yQqqS1Q6HNgvUQiHtcPdUO
tZm1AGNGEL3Lw2siSRYFjBHZI3LZC7fNXDa0eYH6O/nX2O3KNRmuXRXoxxhv47rNYmfTVBiQoRai
j2OP3HPa+5JUCszfstX3Gl7hpUm99yoZg3wb5jkZbkoIPArZxZrgfMGBlfvKkYsVse13eubLOgRn
RvjvD0Hq7n13PohozmStW00lwHxdZzLfYd86wraOgIiqRdjN0O57ZNouvOMUg+g9q+kaMHG06EJR
I6m2r1aVQVpEld+MDqb/SSVI4mj0nlEtfmkj7UIngOIlQHhRYueD3vpHPwXYX82XHoP1So8rxdN8
HBuRXZ9cM3518uwFTDkhAhu4hWUJyhZBOBW6M618K+jBJFXpQlEA6HfJc5GIS1pHt1TpFUvMahZd
b+AsaqN8S2f7awBJiMO50Xh1ZPBPAmH0hlR5LJHzFn0XnXyXCmqokL03VPRQF34CtohQfzzGwSeM
Jl40+I+WBj1Q46trp9nXOmsfkRcWZtieyp5H2WizV595+kp1UUc5n3zqCioviyjqMceIa+wZiifS
6EotqbQviuSQ1uxEDN6ppuhZwFT1baQ/xu78o+NPGRa2aQ8QkqlAIjCG5A/ZBP9C1mlYU0ZWI6ZU
2q/3VaMezJSDTel8HTgiLayh2OUVU9QmfnNEv266ot00drlqSv7rUIhP1Dgf5+CQcfqqOxvtPXl2
u/glxNaO91UB72fv4I7Kpwb/TWPVe8BANPMl3J6MaF1cNodx5nmmYB4mtWa86eSHF5pp3wK05g+z
gPcZQL06VQkPFWjVfO027Nye2IHtorFYV+x0Fnpr4bYAoNGVoM4qZ+G7wwPOh8OIBR/ZhL7AwQo3
etZi4XcfAsoQiDlXJ8XOLnITo+q88Dh+byhqzLzJ0U84Wu/rYeBU2SjE6vD/l5F7nDTf9XSruukE
I3kKGzjX0tcGvHD2sGSvLHXIFoVewtfIsgBTA1+dfNZZLOrpNusrPpqT96uQfefCSaMVDT9y91CD
9A/3wxR/DVUzWgeDc2YosCnmTQNjX3Pw5OWeOh4dkdxxpiFHbRjZkrzYhjENWBcKDsBxvOiOHG0E
L44VHQ0NaRwbQsjNqp6hQOFc0ghD8yLu6wNfHyprR5A0rfNJLW0SBnjzmnrlbJlCbTUwr/gUPN/R
y2tmFqRNlTyyhlWER0E8hH1RKMtRy5t6n4x8ZB17Te/0VJL3YrqeuDu5YkbCM/yCM/SMp89z3AQG
DU0rYyL4tol6M7sBzNiCRg/GQV6e0MsQGYVnZEnngfz/DEhxXuUOslc/Beoq1eJ7vc5vB8Ma140O
aDOuH4zINqEuqnxSGrvB/OxC23gu8/Eyyk5vxkoJUyOYXOy7mmWS0P1tDj30/4m0ZSabwROFFxse
DYv7J+8de/POnTj4h8eqVo1FSnAWH9Gpp3LcpXqchJvLGTJ+Vt3Ja1zjqMqW8rIoX3i34NOnwDyh
yLyJMCNCWn+bZcf5HONAmnpna/TdBeZIyCZv3owcJQDm0ZEOSu1LPWTMBGhPh3E7rysK1Y0qvdGS
HqsSeVgK5oct6+7RpYTdpqEaWh697F3PN1o2tRP1pLNdtrc31LgTI7Agf+P/lw3vrpo8JRUGr/Cc
lJLdTjXCyNSyBijrOv1JNDBW8pIEnRl/AVNMFkud4HZHpyJQTqZLJpzOeQOzFBQtMVdgzOmj7ymm
T4Zg11JU39rtPdXe6JVU2Dv1ZrTs2xHMOPtePGHaU8RUxm0EK2MW7ObJnndxl8JQi+/DSKCmshdc
hW0ZHVgVnoyswEk0MxIqqvgATqbwGgzyyymbr4Z+0rDxq5/LXnke4+SaYqznpHRq3CyE1yb3McUU
FdHsnQ0YAv4VF94t3/J8+58P9EA//ufqGRLL39Ne8i/+caaXeHEUMAuAuExTWfynP8/05E01StHg
iON1gej1l7Rg/0bRiyat2H8e9/8405P2Qo3SFFP9LwqqvldrURZsmq6wo5uajVFAUz6IaE03dFUG
bfisFJcar90U27+wIciZwF8zA6k64w5BuTD5hGj3Mgj37czAGuxE7+yuOzdGvI/sT0I5uzRXG1vV
vwz9CWLWNzfh8vu//G057Hvl10+vKH+ib6YUsqE8YgfVUQ9LSAw3NeirqSk0lrGgaK6HunD2fWuW
wCbZKDTW2oqnCubj6Jsr9tD2CkS39URuX9tZkg0wSUqA2vAC1p3waAIQyCVJoAQp0IvkqwtiQEp4
hWQO2CAzAWPVpFAmiAS6ZBPUklKQSV6BAbigkQQDk3kOtQlRsfGnEWq5JB3YNcwDIqz0ImsRmU0a
dMAiOMg19P0VCzvqjwJwApgQHD2+wxoJVMGYiJxYw7UP55Nji74tCvXSg2EA6rrLafVaJAAaCkAN
nS7ua0lu6POnftYpngm3vSQ7qJyOIlAPRunsGUCMi9AqhrUo6wa06nRV0Ip3a0M5Z0gLWCC/LarQ
2lpVCdAxr7YVa3N7PZcG/0eX1WNxTgPj2CqqfcqzGbR5085e1unVS6I4R4uwMfv/Y2lHuzEheOz6
J6Ekp2m2HtQUEGglZKuGDugBJ6xhKl9SUZirwTSuxtLY+9Q69Ul5bP0Br920o9PqoszVkvCaF43T
cZjGI064wmvnTFkG5nBoeuUBS+zKMHjlZmzgzXSUnOkJK36XX/KkhWhJfnZO9kqR8MIvLQXnHruY
agQqQ+uIgkU8XXESvCdezUoulGCtZSVguG5oIWtoDQDIajqSdsTe52gkjpjXD2cjdG6aDrCUSgR8
EYb1WqXh3E+jS5eL26HPMYtyW+g2WjkcWuys/WJzFFioVnyt0cLudlkHAkP1mMl51Idft13BeANE
hDUYm6Hu1wp54NaiqF5VvKIobpk4XDK/os9sBMvepkl/M07hjeWruxoonVM6n+lFXI6Exe5KRehL
cDxfc51zBT3oHFUJdAPSo0eYrvf+TRmCQ95ZXsWZf8kKtuOUYy11PVpRFQVgK7gA4bkyzBgmZQYH
zlyldk6ZnH9oGiIDcvswt1SpiBMuDgJWYsdCcT05AcIHIxDg6f66cvVPRt3QQU+1b5Xkg/SZTtsE
qvmuTqFkMOEnZSH2STPfNSXbziltkUWK27hXPDZ5PNY+QfPO0eQG+zm2nauiSomCxnBzh6aeFn4z
ZGSy2WT8+9J7f+kpWDn+80tvCaK+fv4f4unt89/fe/Lv/vneUyVMge5saj8lmIo3yzfvPRpBTXTs
P2s1/ko54/vUeE9ovJDe2dF/zrJ5JWL5MeUIWuWVQmz6H2ClGX9/916Sbz6X0JQrazdITdNi9P1b
ws3s2c2xUp/TPtJCH0RBoeyxnxv7nHKLeBlb2f0Ug6qzEVoc1B8vNjmDD4gwIUCnhdrGd6CQD4kz
3vbINZOPXlmGbIM7qeXM0bxHxf40ZNPJRuwxI4vgsl/AlGzO5TjurZLc3igFov9j78y22zbWrftE
8EBbAC4PCbCnelmibjBk2ULf93j6f5Z8nO04O8mf65Nb22pMElVfs9ZcC0d3TqbBKHdHge1O24Z1
ksGTwkcY1o8qd01VjFO2kfunxTE3fZI4rB3ZTbltdJnltqrNzNmHOs8Gi1WWKfp+ZcrtliXXXISq
rmeIAqbcgDWswjKicTq5G6NF9qx4/CJYUyZye4Zs7a1mQrIeWKyJekI+bwuGjfBY5O5NYQkHC5jh
IhbdAP10JPd0BltuXW7uWKZjxmUAOcutHgkXX4hQY+w9UWBQclt4eWO5CcxNtNisBh25I9SmsfGa
AYw9DuSvoWqCS2alWJW4LLmADS/ou28i0FHup/NrTHt/JB3AXjcYXSFVCvpFR7vTW7vxzJI0wtgy
CSZpJ3c7julRs+rh4rgDRjAMzN2mTAa6Uzv2TbI2sV0aKuOaafEdCJM0OEsJGrto8WU5xEbmAwG0
JUPYIFPmdUdIzIpxSkQIR9n4sxoHuDJa6nO1zLZAJrp7ncHeZyANkVeqWbBK20w9zyIntm5M00vZ
DDpFkC0AMef5Xdto9U0k9HjvaM1EOihug2HOyoMuanaStLPJKRhxWPlKyc3WLKB8uNmCL5MTK443
Wkq9L3T1loRHzY+isXoE6wgVLUB9/KIkbvhuOlnv52g3V2MHQyt1HPoF6K0ttRHcHjkwb+Kj1urn
DuYpTSv88/BE43NRW9TkSt1fNVEx7oKgkxTwgdmOUboEh1IXmVN1ZXZ6t6m5bBMbwketuceA4dEq
zZCxFQamEjG4hQcBFEik5sSenc/qpuyNqPIpcmyjqEhfEOm5dB3nSNjI8BkDobMXJb7aSFGDLXqJ
Zd0qzfukB8oOs4w3OXP8Xdj+70rSpN7/88P8Pv6G/+qPx7j8qt+OcWk+1bCYOGB2vmucfjvGyVSy
aFIMA94/CELq7B/HuPuJzzBOUgMhiGFYLt/wR/vifuJGoOVgJwnVH9njPzrG5a/2U7Ev2wob0yrf
yzKxzxJY/ftjnD1THullrF4bDivDIF/ktOmlDL+CMV1gGJOeVJxiiTKNgbyexoo/b3T7WsA77cku
E/BPMzioMHHX5OpCwk6j5wJDSw0Byyicc+WyImrtiybpvJmc3sNY7SybJaPEruph/0hE7QPxAOjf
XTVb1zUgQQyRlwBqK4beo0WYTg7NdYmo7qC76qaCt3vqDpEFBEsCYNMl3rU0YqsENqwW2rsxYvVh
os2kSr8kefG4QJN1ocriKibTF86sMhZPnBGfUw1fqwmJtnGVzQKZNnYpY/mfbSsXu/rI0wfkgLsn
kAY1yLYdippUmR1Iw9huYd827UD8DjTcetTZQnSzvcebxg4lMI+JmpU4CZQd0kdzpcVNsOtJ6yjN
aa9/EHfF3Vj1d3OXN48ZTN5MwnkZNB7CSH1Sc+tIMjbcHnU6hxLoO4a24lswfrtBSchhQ75ttntw
PlyL8IBn7WsLHTiEEjyzqCKRDnDw4owvqUQJZzD/MtjChoQM46J+FBI7PKoAiBVqyU4iiWcJJ1an
eZdAK3ac0a+gF/ctr1kogcbjd7hx+kE6JlycpMHATsptZ9H3HHETz6vFrNRuXzqwIzubWRZ5E0Tm
URs0NieWGQx+2xqd+5oNNUyLztI7T6RYuNhmjDMDYzjwxNeasMyAoa0r0z3nfV37jG/fiqipVxAo
dc8wFSQ1OlM1Y1S9cWnfRNBDYyMayLHY+8wBVEHaJzQY6DNCK72zl2o+Ihq4UiLCtDq94nswPCuV
6DmbzEvhTFiopuEetRFTNAVkg1lbX5kjv+vz9G3pqIQHO/scouSHIGmcOckxUrb6sSmU2E/GzvCB
Hd1McH49w013ZtRcnNTqNgZrId8KnMvcgS6qTJFQD4xfaXQo1iGb8Mnp2CfFLTs5LpxzFhJbe8kG
rwjDQ4F2yZwoMHI+L6AbrXQ5kvC6TcrqdjAS4FCwuCszhsVC+EAWBSs4T2DdVPEUSBqVxZ842vjE
KuI2DrL1bGKNHdtLYVko7WbIJoptL7HHt5ok+5iA40hhl4G0TIladofsJXGp0rVFzKaJmNqnUXRc
RHGF3AcvV/UOVKeBvzw0pDbPafNd3P1//V4x6dj+6l75n+w1//ZHBP73L/vtYgF1JBzhENWBLsWw
aR1+u1j0T8hfHFOFbCsx9/zVj4vFRtBiugZ8ehPiEEHt/7lYoOTiEHEg5pPlB1TynwWSalIS/5+5
1Ud/QKtB32ILbDSu8Ut/4Exh7cJ+Z4oUo1B0Mtck+3w6OkVWr62++SwocuukS3fFB8Qz+gB64rhi
XITGw5HiKTeqCjiLtO6heYDewlYmQ8/BaByGF1SibSyFWGYVbcIUadYoRVphhVwLohjKLVJrik3+
oeciOP3CHpiFo2Cyb3fMi9aVztZ5mJTlYDHZp4OZZWHUkxjOOkbZddRMgHuWdSzLqFkrKai01N1n
ssiqZLmly8LL+V6CcXDImsyR5VklC7WhUQi+ksUbKxTIrrKg0yXNqKHGSz+KPRJzLFn+WdSBjiwI
B1kaDhlbSUWWi60sHBGhXWmylOyoKRtqS9QM0tHr6dScqhkeR1mEdrIcRcZaY0xmh90Ddilk0Rri
/vL5YeF7MJbiBWjvwNRA6gl6VVnWOIgZoDf9XZQa9w5XcL8nipR5VCxHUxYjqUIOq+qPuZX4mGFF
H9hTwyYu0dBgVhLTbL2TxjXuMXv0UCBhpi55cTMDUeXGPxRAVWtVPzpAVst2PCi4nErgqx+NGSQo
K66+joV+F3fu5d8Jw8eEwaIV//Oi9KEHo/3tj0Wp/KofZwd0R1wlHA+GDi3Fks/mj7NDIyTDNlSH
pZaEO0pWyo+zQ3zi1MCUwlwB14Ujgz5/FKXWJ+bgTCQc6W2lktP+UVHqyKLz57ODH+xyPPE7EO5A
fDqn1M8TaJhZal3kZX+1ZCiJprh/QQYfkWzYkR4wSON19mRpQbymOT7HjTPSdY8tjflwAzVjz0Je
WbWWjuqH4CoiBo5Rn5xZD40s4uJ7VU2/DuqAK7gcUDsrDLiCUT+XCwVkoIpwnbfVdTGpT+MiXjgk
nt2alGEHqMkm+BgZKCioCO+j1YsoQ2jf7RDBFBm7nwFpv1Rz+ThEPO5l1xLkJMTnpu72xVQ8da7y
RMQTWeT2NYPA85BGJ4qml7Z0UGYgX2kM6y1zQ8fP+Y8xqwNkSJVz6LXywsEy+2ZiLHzbOV3X2bij
X36c9QrjcjduTJNpoS7d4+ZI+mWKX7oG4uKRE3Vqu+xhLEjeckIccqlzh8rja926N1RtMxph5M5q
mHR+MI5XTjU8I0l7C7ryEtT6dVsWbzjwmBGmTej3RFTuWrbbYeWi3mtXZhK+4PAZ/CpzKm8UabYa
q/Jt1NwzRXLnIQnANw9NioEGghLId1APNPvUtSlQleBUhJm3gMLZzMzM1WY8hK67C3Xrbl6G99hM
vtl582DE4Rb9+nMeogRRbX5J3iRXbSiIRwRGuprUwNVrcSuG9oxa7R2oWOlBZAGQHajrvklaRDn6
kxlad2Y3A5uM0wcz1N97Zi77mXhqpAF9vzGN/jknzLJFc4jsRYA7I9OL4UmypSa6sJpIN3rVX4Gv
QuiUkupHq2KtVJOaaUk3qk36K17Fbd1FpHSlFcVTxbsG8Xdc65ZA7C2DEomHEnHLcqCtjnFA1uqS
Y3JvoGexRF7u7MzajgWotdqs1yjqaDRSRM9qB9nBWdrEy3o+cZY9Kmtn4UM8t7yHuV6F/tgs92XY
8FMLZxMGwyZQ+/vFMQ4o+YyVrWfM42vCWsMMi9TQp29dOT07RUyItKi+qBp71qJkkDdO8KvVmB1F
o6ypkHcqmSqeYjP7VkFoCBJSNTXuiY9WiJyKxnllDM63PKlPzgTJpGI24jdutxfhzDWFIssPcyJj
avLNJOiaTyNiTqBxbU/imyplMOYC9DqfhH40EU564GHccJ99yETTdHxC/gh/pPmQkfIyICnVOwgD
vogtYyM+RKckJyJANbsKMaoLuCJaa05u3wAmRa4KVSO6MeopvMCp8Zko2eNK0kCvKqaG8Nbh6FGI
q5DEItsF3lKrCsHf1nSrZsoBnnhs+FhuDGuFxI8hjyPaeo/wP2DdEoNbAqBqZMSpzQTSjBlQcjHV
IF8N/TkdVTU+Z0UlXRVZpHkssN/UsO8T8IxzQ4MyBqWL+yM1rdonl9YOH9TOztqLHgxh4EXGglCs
VnMRvKRWHJlnVUeLC3Vp6qt/ZeXfwWMat9ufX5f7vPrWxK/ZHy9M+XW/XZgmxbZuqdxxbHoNOUX5
7cIU7JOFZnMfGkjF5Rz8x4VpfAKGzB4aIBln2seA58eFqX8SDOMJCOGG/Sjg/8mFiVD9lwtTjm8Y
+aOyBInquHJe9POFaUc1tbVSz+fJQOy80dgV2ufKJvv5XV0WAhARTatdCa4fYeqyKwWPVYHXKuEh
EmZ6F+jIRZwioN7UBpsHWuhvgJradekGr42W3sPwy0l3YZ5QL0LfAF/FWQP7+1wK8R5VTsKolymB
VpCcjArQICMvbnxCHm04w5p1Issm3ytF1tVQf9ICT4ngGU3Y9F5VjM9WAyooJLzpEcho4bGqmjeN
BWKkI5FwleUkIuauhigZAf2VOcwHnoaTU3bBEYJgukkVF3GJyxZlxeQWpE5qzZvJtSPPkBEctTGl
7OTsyqsnlsekUhWIfpVLJrTrSkzFgcXhAwGCqhfkSIWQJFU8/7Ny1STibSw4rurS1raM09+XJHlB
d0SQpjloOWkednCq2C4+IrcL0MdG0NGNct9HybcuXPSL3kRIkTmbNoPIAOBA6IrJamaUT2+BF08J
NF+MqnIwq0k9WXHRbeNIB8re9OLUQEZ3sjC5z7UMt8v8oFRWsSpNBk+kI93aAt2kGzQFB5DJVqWc
oOmkSMBMdSSze06Vkxb1AOznJrIuQxWi+VYNhm/BrHVbcplniSVrGtFcR7x3A3Tr+DxrcY3CPGRB
Wa8TvhP0fUnBBrNcI3z/gGMz45KOLonMJtl7OTQDHO34A6ldMmij7OJFCK5dZFrIpPADDpqbnnQU
61qYL/dMC7TJ+7fY/yj2TSzPf3563ZfZ638zxciv+nF2SQMu7TfYAFgWv0yg9U8MARz46oKDigr+
P2eXw/aR006Fv65Cq5G23R9nFyRlAxo7j6WJzlgehv9gkUg5/8vZZUFsYpyNfIcaiK3lLw5+08mT
xuz1+drpwuaGBJn8LkY7+Fxmpn6Y5daHj6u9cbpBPRMVEbB2YTukyT2RLTdGkdwdLYsW43woA99W
ugZHYx35oJauMhkPORhacGIz2tyC+ebrB54Xr186h7FiNe0Uxz1M+sJSp4u6nVYZKT44lSlbQfKk
OtM1NFU7veRRFB4QbyDDV7rE0wt1XrWOU63nZv7s6vWa6L7XOcjtQ8/Zv8FEMR4LNkt+UwJkI/wv
IKxTvUbNw4YsTiHtiTpdoRhBnwd+tXSNjjIPrqEOqC/5VtHom7ddwZRkWULpbb1EUxhgbh3WsUw1
Ifh1PSVFutfxn6w75vw3oRZSvM94EYxmY1bFrVXWqk92rbLtRLgclrA3DqzpbD+DXqopdbtHueJ6
kM/NbZoVpj/oerATGhPtmPzWQ53jLgjK4XZpiCytMjhNRLMuK8WCj55iVNRD9yoxrBQxJa+O0ivR
XTxW0IZiTbtuW93xZnusQOG1BzzGLywFJlwyODXR1yQ+WdqHKKyXDvk4b5gyEribyejdQGi7hLJ6
lqG8E+m8+UdMrwzsHWR070SGL95kbIkqUtjcAuLGOb1Gq3MvDOIk7NBYpdO01ckE1pnOuidTBgU3
JAYPtXZTkiCshi3JcQZBGPQJk04db5M2HMjYYSFw+zBaComFtUCXFTmGGu2bZRFX3IrxfohIvG05
+mSMnLnKc/XaJuWYjnVLlXhKSD+uILxFGsKZRQYji4AiNCChhMTkfKHgRvG4cc08ZMVCqjJe2SpV
HtkG0QyRu8wwm78hiTnXGzwQRDO7QMLJLOQKmh9rGd48BZW5KmWgc/eRPFqn5JmsdUP0b6YDupcS
ook2AVtP92P/aedxetI+tqK9XJBWclVqy6VpKNen/x7G3ycvDCr+/DB++Ba95q9/LCQl5+unw5hT
U7c4cJmVfHgNfxSSukGOOEe0xE/9b435v4UkAFuqO3jyTF3A1H/Ma34cxmwKwSpwGrsfZzHzmn9w
GKNF+PUwlpQEuV6UskYkl1L18ZP2r8iAeGT8GtcDcaOtlxjGY2hhMygKhdFoiNjNZGanDAiDhn4/
jbO2KnNd+NrgHjoLDFzFtnMTJvODo5SEwiR5RpgQAwnCRv2kr95CfdKIceoQOtFUl73iGUr/uQU4
fjdDDIA0KYJTZM4EYU22J2rdWFf20JwtHXK9FerRZrK1L13Qvqs05juSuIEOQGlaixKbRjz1d7M2
3dp4fW9rViBEbY2Op2YFmnBCROiciKkJaTxXs1th1eG3cqZ0k4S9stMgc/pJjkjD6eOvGrQBbOQD
K9AO4PROtAGi82oJVp0BIRVzpHYd6LBnp77gz2Ae7Wzc96uKH7/E9NqNrWr8FHr3xXAhPBgOz7Ex
soMLrpMyYn2i77oGJDlP8GuXGUBPw6BivDNYePJAGFpIy0VJjaiS2C7w0sR5PW8XiahuejT1PZGu
TSRIiXOUx2pp792mAfetOnsL20ozpjOeAveJmK23simvyPu0mT5HBxqTG6sLHsKBHPYR6chAidZU
5l7t3bPF7JzZsiJgAZg2+VXlczJmB7AHlynpcMi7yvsUOhJWyDgnG14sYCtVYdd7fJXxOik6uImC
l2XIiAgwojA6xTFdQFq38YtelDfOnHxOVTtfjTlry6ywJp8LGLB4WaD6adsnhjgXR0zr0tRxXIVx
j30uJj4uqz+XrNY2uYowlCY89Fp1eih56zMAxMY6HkhoKRYNgR+ix3Vo9jdVS+1Ot5/4MBjfzKp7
5uj+mrO53QSG9rUKUqxKUyTZGDrqTwdNKekDGzEZAbmyLbxEPq7bniZ+pQZmzoxPq7E6mMYeuKi7
hfecrA24dKQsOe8zyiYzbb8YUmfnArzwtaRNvV607xzBgHvVOV/z7FfrqkizTQz8F6YzysXGJQ8+
5hmBfZqthjJavECr18Q0YCObB3iHwvUiZ7o2hmCnW8VNNBXXInX2ihJven3PIiUYzy7fszW7+wpZ
61rgz01z8WS7+XVa4EMaDcxkQTIR5gCXuo7xWnfPdkbLU06UHWVSuX5rYxotXdS+XVJsyrQ663q/
bZX8sQ37fVqHpy6v8p2mtwDj5xs9G3Zmj0nUZkkOgACGa6ZD3lezS9TGV5ZgeSPU0d4ntX3S3fyK
PdA2Uwy4zC1q+zJNcXoKYA44RYF1hVq875P4pPfxScurS6ZN0PpB1K+EFjyatvXUQ9jU89TcIt13
vSnR8Kvh2/dgz8G6DW38Kz19DfkFwFGWaa1QSY4ieAIHUqzqCtbBwvxt6fg6CNxQI0HAVkm6D5bm
W10Ypq8vmUwo1HcUFQuQZIFNipcVtuaHY/i2G+F0G3E/+wSZm146NAK4r/rOjP1oxvEpjnD1TpmE
Ehe1p+bxZRHGQ4BXat3gE1zXXaagJ9buCF66aEHCVt0obnVlQg+6OOxS+y2xCNJh6QS+3g63Ddlz
QaE/DFHLxhkqjI3GOCaWHJlbfpvVjMrsWDlEIONiq6Op7dDFzY4/yJB3Ol8stzXOEVGMqZ+ZU+kt
anReClyehKtPntJk7+ESPNQV5dKsyWidOKq2U5R8bSrrOiw1xHPOuHjUlvq6EKZ6HENl2XUOXsAR
B+JSL7ezQSqAMsACSZmdTehbe13ZuUF1dN18oAptDtjvoe1oUYi2I5+RyjJxywRyX3TEzzmr4y5U
X+t2wv6rR3IYN2Dpzh+Rgp0WG9FuoSM2G8yNZIkjkDsyL0agEHS7hQ/Rmil9vELdsp1t7W3RqrMV
cmZPktXChrzWmm9dEp+7CQHJFPp2zNPZzv2aPcaldAovSBF2TGQuBKm6sztO07AD28uHAHw5J3eF
chwiupVSX06z/YCo/LyY1re046CMDQE4PGMmrhKJjDn9TEYCIPbWvW7cJdzq5viZeW2LKwtduz1i
phl09gW0Iih8B6QAS7mFif3K3dn4ZRwhWmNN6bO6EdeOQ2SiQqbNtmmb5zjV7q2CSCnq/kfN7i5J
yna/4Vygb+GjAbhC4wTRNovufEGtggrSbTb8fl+apMYu5pRf24AYGDfByFMwWbwqUnxbARY07rzz
aPJ3o+QMuJS0HWN6g+QTMCb910CWw6pdfzVAJSWJ2wI7D4i8I8NJqwQyyXCONm5JmElIXU54M2ga
nrJ6HTjWVWRDXK2quFgh+UO5Fu5m1o+Mh74YDGdXo1Lcz+USbWMleWFC82aN9hpNUr4NgnRLHcF7
EAz3msSQ1xJIDi54D4iAq7ggYRQ9i01o6TKvhaK11+5ieiHg5lRCzkG0XE9Y3+HGhyfViHNSx6t3
RylCnxX5BZ+h5is11HLcCgSFweiuQuVZlWj1BsY6p3kLcd0com2EP01ZZyT17NUudeurMsvKCPdm
rKKZIaycwBoAVHV0+reO/j7U+Ms6+nsa8Oq1+fLf84B/KqfZVlIrm3II4UIYkw6g38pp9RPlKwpp
vDlS7PDTbMP6hKKajAaUyw67TokJ+VFOM7IVuiCPgJkIs49/Ntv4g7YOGTaiOlKHmaK4jFh+X0wb
EWGHCIrNqwhifHs1Td833H8KXv0vecPEVZnMTQx4uABFbP6TP5frfcCNH1hTf9Uvlg9e6n2uzKuM
4tFquvcOdHmTNLGXm0btaUqx121319QJudhYBIUiaCix/RV2s1Na9SHpo43ZVl+VjApTd09geKZ1
26Xjaomyaw3yBDEwQ1cb1yFb1pG9LNoqXkRuYY71jVHOCyJs1dpPURuAflLPhpFHwpu72PZMM86+
1rqU9OIt8k1GA6QB8MAleBcIlDPf+mjKN51mhwj3ovqouWRbhJpzbVeI3jKneXab0PA1XcM8a5rj
TTIx5TT0sttoDUiNuSmOQxO/wGQ7MSonfirH0BKC7MiKclcU2GiaoH4IrGxrcE4jnKYWWIoXRR2t
lWZO73mqXHeTS6BGviwbgvu8sOrubW5pRSWgtHaR0Sk7djmHrlJhjfbz7ZQ6h2SZ4Iwsjad1zEts
+zXQhnHV2ckudBWvT+PXriW5o7VRqljOjnHutQIl2yoA9gf6hRSEAwbQXV5bJ7Ogumz04ZyxLxW5
4TdVvRMgy5n5up+TeOHGS7MbaglCgxeO6hiHeK13pCEkB1MxH7pMS1f6QqyFsZj3sQFNNmqnyO+d
eD9nAOKshGMuSMSWEhAMPQCU3nT9UW3WvBeE9xTdsEFRfgA1vybD48kk/2KMrCvRigtGpOs0Nu+i
HMh7H+TEDQ7naGz25TzuwynBv8siOXfHXTaMp0jP7gWJrtSS2RN68M9aYD8x2NiUjTg4i7VRpuYF
jggpWp27VYz2woLQ0+d82irz8jXNAPfb9DeB5RnpdKrGxEGVGVa4iYjS7pwW1SZBCqGwX3gKNkmc
XMIAR/jUdslGwS5nV/X7XCY7R9JijOqlb9SLoqj3rS3tuQgEh8ldq1b2ZUmD2zTXFjLrw1OaSBA6
eBeGfDZBpVTmYAXWmM+SlZrnX1wtB7NXRdDJFts6O1NbHOJYLJ5Sca1a4j5xzee+asONohN3nVXy
6UnGe1VLjkqPgVuvRwJdazJ6Fc26mxyiQ/q5z45DqFKGCKP13YzFsW4ijR9bcRXiMvBjS3xmjht6
bh04X9it4vWmm6PJ4v7l+W6GAGTQrLBCTuIhvpqaWJxqrFge5DMcQGkVrhsFZU7CveWZEZmzWa+o
freYLSz4IL0rHTmDzHv1SEgkWodZZ/XSHDuMB5VZtfuih3anGTSMml63OxBMiU9rdhJaiFEprYqt
tljbYFrID590bEVmVvllV5f6ig3NtZ2pGbe10t6SnEFYSsBFv8yfm8B4tVOURoZGHKTGDa0RnjJn
yikAUydhdqSuCIuQxqzM70uL2eNK40p/6omgGIeGtbourk1Q/Zwsa4ADHqPs3iur4mjX6E1BOvHv
x9uiN+A3g5rgjDqEdbCj2/aTAQ3Y0p2yRCENODqrmfrEnhmmmXoY3SDbFlP6YiaBtWpjnCROII4a
2SOrAHf4l2rEGrLQI4IXqsf8ARnxuBliY2vYZbw2FhArkbOkcM7i5rw46ZWhV7vUbW+1WiCsZO88
EWoAud/yOPIQAwe9Hxqi2Wfz8CiU6oFtGn7AVZ95LREZPuaT3OXM6Q+jKsqXwpRooVh5J55a9eae
sHl+HGF+cEyuyVvBPzmn9rAbkmjYkmkwbzn6o6eg5iewt3kociNGmqu6h35uErLkwqsCBjb1lOHs
yQKKVmZpP1h1CYHBTEDy5DoYqdkMAqC39YMImO8U1vK8BAXtd1+2G6sPNQrcadPNcNGgARTbcq7L
NUmn4FsGq39uKKM30nwA3oMinFuJabsJXBCIUrUxnBzhb15eZKpgMcaMeWa/b8trdbYPaT0/qlHi
DzGTFzJ3HvtMf2D+4R6neRr2pZI0XhlkuHz6BLmJql4YfIC8mcz6uRfQn6qSXTv1MkJgJADI64xn
fXK7+0C3pg2R1e466VFq/DT9u/mjk/b3S1lHyiwdOPzYjG25gJH6/p8vZz3PGQKGSXHVQd/AIbO3
xHg7Nu3mr3+M1Gz+pJb68XPQ8CPcwkrwhyKgs6WCJCJjMMvOrdAfOZVuHFJqOC4bJggub8Cc7Qby
nzIn3bV6BAiIJYNeHDmpTlaACMJNbyOiTQTrAoMWrHe7VREG38pe4N/lETAX50qoIdPP3+aj/7+v
kKXzUJqmBbntl2mjlfclur+0uBoZhYczOTz5Oiq/V9F/WiW50iH9HzUZrw9pXCZ8dcmRpVuyf3kf
WjLgZ+gPw1UVolhShLk3Sg4GNai5NwiVkNkmzwqTrluw5d7sqvvRGZmuz6i3AoP1bZJvImXpb/vI
cO+JT1z3JXQDVcPsWY5c5TocMqsMr2IlPmCC5jXXeW5ETrzQTMLinaVlryncIY3Q9e0y0r23mvCj
LE79tDPelEZHA9rQExs12nWikNdlbWyTCGICVxGlTST29aJ/i037FfcpICQGUpOdnWcizVe2PSs7
VRuTsxpV+WqZ+oi6iblK5GJG1+Lwc9Br+UM9WtwfGsnteYXRVlQde56Rfporjp3XCud66leqfo2r
kLkCvTLnfXYK1Ncev5xl7zkXL47CQM0etd2cmJeMQBm/qBjbVaJZGehdF5PSAylt6tkhINtJyXdN
R4eVa9OhV4fXFKfgG77urQqPx2P8dCbeEEhuW29iA4tCT5h5jtTqyu3x/TLDOdZ2e/7rzxzOm//y
eeCBlBYayQWWOsafn0vg3WXB33VXUAJeDbcFnFkN2ZVgHbbiPH3Bl5LC4kBCJEA1xRnjMSM786os
KyJU7Z0etueO8Ppx0c9W6TwbZhFt2tyqN32vAi2z9B7wHLoF2CVyxWji7eNS90ZW6x5uP+oRDiKV
gSdOu/o+zONprUUtITYId1cdnOGCoEKRL29NKV5d6NfrQWN81OT6o9BRAbYzJoNO8xh5Ew1NThMQ
TfGc4FgfA/2rsCeMBiPHgJvBgZoeAjc5MUJf16VxD8yJTwgsrVm/ZwBxTpPovo6tu9x2EXZ1zw4w
E8CBpeqLuqcWrAcfxsGwdiwQqUaieCrmek8TyqvCZ2JducZFM5RnLUJoWXeL4dPvb4ZFQcI8laD2
mq1KjiZGUYIs0UBFAyNSVNpYS452k/CSDC3XPNb3rHswxurKdaZ9W86v+DreaqN5LWzhWzO/J5KN
dEivy2g62YXYjKUJ1QoVd1zYa92Nb9NKSfezs/hlS1xXFnh5JZeqIqQv4WEcFPcWffh7bCuYJGbo
pX2y6ToQcehQPB2rKAv0kyDmnhwO3iWECr4ZLutRVqhpH50UDcoeVoqyJM1KiW+YPIK4Kzd6qhxz
bvFoJIdSI7Guajc1uD93bwI90Lg1s2DcdFzvRZNXXq/UKPhSZZuMznEhA8Z2cW+MWkjqj8qhu+ja
JoEFbY3ODaSaHblFx3CsTwQdUfUyP7zOqrECYGcfzHA8VpADgXbZvDdVDAdaTXZRBSKgpUvIwEoa
uQ9/oEDfeiMs34YiODpX+bQRoOwg+9rDE0Z2YKrqGfJ140+BeUqisWX/EOAR1Qd73VoMjO0kKLbj
sHgVdcOunLvWm4W9awaqELvsJoxRgw9HUPubq+1vntRfzWl65M6JW6U9pAm4C+0ZANp6GlDpjtdp
c9boWP76bPj99uv7TfHTyfCrZ0GPiJAvck6Gsvym2V+HiZhYJKrPo7n76x8kcaN/uJMIsEZAAZQU
/52803/as41tN9QJJqKrRZtDv4onZuqB/mC1YbmPSoXP3DQcGZupq1JTtbNTO9aKrQqh8RKFM/J9
162mvBM+fTsVhoN1oP/MgO26VO37jPKNrmfdtbqk5Uxe0YWbvItfisR8UqKsugt7+D9WFHXb3OqP
VqLiadL8WVNRDwfBtugM+8nV3ftqIS3JsA690e3xT5N5P++tyr0eU3KWuLZtJT2mesHDpDC3dNZT
pT3lCJLjLNiPjCOTbHJWnZW/LupsrbMxvNST2zzpYdAx3zbCv3lVfz9v+f72/fyi/qIkSYVZ4LBz
pitneomWL7PzN/lNf/f9f7k4VIWwahGm81Xs3FeJu6qNx7/5WPz1p0L8Ms5hG8nkUg/nK0u/iU3G
uZ2vEsj71z9Evgq/lkNYhhxBSapZEHJ+/9Gb7HaEt8j/wtXXevfWjTk1yWM82X/zbui//4zjAGJT
bdssP/4fe+exHDmSbdtfuXbnKIMWgzcBEJqMCGoyJzBKaK3x9W95lmKxqjOt7A1fD9qqLZnMQEQA
7sfP2Xttml+UpsqXF5qTuBjDpVKPlDGvbGr+bbYOfGk1uLH34Bbuw870houX69iL7qfVc7aaX3ii
2622+/EbVkWf7es7/vRYf7/QTw+bg7iwckKWkW49+LInr6abfpNf0bReOZjc1sqGz3lNYLRLTvjK
8athpR+L1x9fhfFPV/H57hSLz6eryAg5s9WGz/0RM9/KcgGLnS0XrI8b+ZsHw7sgP3HjHBlwb4sb
Y3sL53AzbVn33GVDrmrr0zrzHV+66LfFpj2Rk8cIy79HTHQETrAxds6uPCDgvMvXNz++dO1nN/6X
ClpS2ziryM48Gm7pEiz4Xq2rW8VHIOgjUvbjFT6rfbk5v16s+h24wMlL9kgT98kx9Nh8VgzS3gLv
/sdXpdL3/dvX+ukDNcXPP32gMWztxjK5qmjnuJG3bBka3BbgZwCLu4TUu40H139jH+ut+o1G2urH
ry9u36931efn6Mtqw1IjzW01T0d5KVfWOB4W8mmHXi5/simJVeVHr/Nl1SEPXRuGJQODAcxlGF/l
aTuaL7O2quWOVtT6x+/qn7/qP1aHr4dJCQiwZtRJz+Am5eR3XYVX/28v8OXMBwgjM82cA1RqHNSE
PqDzM2LWT74YSzyIn+4LKa/swpp50Mrq2ObpulIfl97+ybfys8/py+LWKlmbDFbSHSfxrSyZhxHd
+/En9bP38eUG68ul7cHKz8dxmLzYPOakbMLJ+vGL/OTusr6sSmYQSjPNOXaDyfR0p1ilWYc5qfes
ucW5rh4H4OI/fsl/fF9Yu1CVoiZyxPjl8/eDHFULqrjrjzqU0mSdaji7zM2PX+Mfv55Pr/HloclC
sIB1pE9HI9Hp31/l+U+6Cj97gS9L4pLmk5aU9XCUWbRpRqda9pOP6fv++KMH/8t9HMUMfYKM+5iz
gVt7oBG36SVHBG/feNEqPPVufvjxpybcfT9ca8S7/vToEPypKZ0asUc90hguWFXRs7tQAp6Vi2U3
uOfFq/iBa6wAG7v2leRedyuxq5+f6rOGUc2N3GQ1d+628KLNzy7vHzfyz0vu1zsnbkYZ3UR3VE5i
I8fkt8n0XaF4brrR/YfC3cvufPiQXzicNXfzgQSJn6xeuKB//Al9+d4HqSUzy5mpJfzBx9VGKLbp
OofMv3aO5oW26f0ndR24BR3bdbOpNj+PofvZJVhf9j1p6iW9GKvuKB1Qn/l0NpM3Y6341qF/n7bV
Kr+wNtJG+gifNA/Bzyn0k/ef3Cf/vPX+uUt8uU/SQct1IgjmY7Oe1lg63FhUdbvUux12024H5tpd
jlA9H4DV+Pm62lhnBHh+v4p2oxt9y36yUn4/mP3tUfnzcReKy8/3rS0B3uao3B/rlb4xN2TzTutl
vVyA5nFfCZVe433cVVuaeheTZ92tIPnyFXWbdH0T+6JI+K04+P+dXIAfgI/2jxav/9w9/8870Z7d
fARZ8H/+9/K5iauypQ3865/u3v7P//7qwhK/97sIlqm9JoOdQQKrYz0Q3oJPU3uNYwN5HKBtaML9
aUj4Ti5QiOIg7021DYXd8PehPURPG/Y1nTwG9pZqmv9GAwsf4S+POOcWTpI077FUaQ5h1cqXmylh
UqZaGO9OubzowWWENvzbpMioP4ymKMIzwn5jv/S1+c2M9LHZOlKBkH+cpPGJXPb23on08sZxYmOh
AdOP0GkLq3totZ4hj0hDWJkR+kg9lu7BhTCxDAnhylSImOpknm272DBKOfWDeYuK65kT1DN4Nd2N
p2uztXPY4vJGzfL4pM4MtJTUXE1DQF+p2UdmgkMKtYuHCbT1Qnl+TmsGWvWIB7enawnDF23PvNhU
K6Yt6Lu06QqLblNPuyokH3YYg22Vm9f6QEswNhU/1ay3OaBNYTd0jwfluS7qm0pTv0V2QjZH0Izr
okjod5IetYHDmHvlwACMsv06Ma2LwW4fkeytU7PILvKmPPRR2sOqwRegtxZOpSZsSMSqYHUu6fVQ
V3c1XtBLrRnohhacgFHiTG6TEww26ozVcXbGXqdNEXHjYXZRlDk4oepRM8GytYpMf01u3pe2mUkh
E2DItt9SpxHCgGwx7fzKspL1zLRH12la2aq6Bj2ORwnuIReljF442MY2Lvh/+jCR2u2U9wWKUYvx
iA2ThiilVyWNbs1SMBe6RL8gfGMXV9JVXCGyHAxmA0GOdTvEvRVS53iYWK4j07zVG7xaoWG9mWVx
WGbtupptTioymRFFYUHvH8oEvOp0IIvL6+QROlhZbLKYRirCZ0IfoAX1dXGfmG3mQwGN18oESRKB
AlEEJMSNKIdR/q712hqOvUDrU7/ZHYD5XZea+b2dG5PfpD3z18F0DS06FkCKwIWSDJHM/V0zJy/B
MBpbM2rQWevy2mrsB/Aej1YQemqjPGcQWN1JXIY8XMM/gpC+nLI0XrWxunaCMzdriTWvv8ic9LzM
5rfYdPJ1gdpj3Uxx7epO2u1kKDydyW2nGMlFqZY+Uz8uXLIfJAvyTGeMsackU+BJTbxOx/RoVPmJ
LJOD7pjnobURSw8YnENLX0ta/Q0TPlki6l3eZSTmlda+GszTHI9wYM3+IDmEIQw1G1DQ3tqJ9UJ4
xGVj9u9qkN+2nbUDXXKRDKmykwlIYMaMss0o+R5QZr5lxK2d1CVEDD5lvV8V5ok3b7rdGD3WDWA9
Rc5PaqCca0OHw5m+SFLg2aUju1aECT7X8jPAUfui0KKDlXfFA2RDpu4zBDpJLrKDlOHgNQQqHOSA
6Vl5/jwieVt1c3altMEjEuYZWigZKXAHto69XGRFd9krTNF7/Wk08+dOU4DT86KjepUALMpIvSN3
4YS/eaNr+larcEZC/bnsDZO4Kt0u1jPmal1NGeehwZ+NCOVJpx1ipSmu2ikN2v00KBCJlgKmqfDs
O7C7kMXbD31eZG5Y5mhv6jihw53J9A5brj4sytKvJl09T7O+l+RYOUY8WB7fuXEqLIoTY2j4cjpr
eljqIrxuFCU7JHpibDo+gtWYSdlWsVC9Yly1NKBgQUhUl9lF207SJPIMIl56xiS6lpLgt7D0/27T
OoeF/7xN30TP/8gfFb/1+yaNbRBqHU413CqyY7Gp/rlJC6eKzVCVn9BIFAO0350qClsx3WwqQ/BD
NobkP3ZpTCxs28zdv0vuxCz23+zSxvfe/58lH7s0Wz3/Cs+oQYQodpW/lnyqeHE8AdlZziwoNDqj
MwW17WCZ4aarpRNGiAaVVHyZZmDZmtnewrmA0LOQejhMNqPt+BIAyS1I38wrlBqnmhD7tiGEDVvb
2lm/NlED55OyHVEH5zljthGpGp3yp9ZAYi+ExOxEqxZlcWTBF+n6dwvF8YjyGEEuY1u0yPWkv6Kb
3oQYQZhzEl8kxXm/TVAwI/s/tCiaCbhBs5usJMaprIvDhamWdxYa6FGIoedGjzfRoj5n6KRVWX6M
5MFYWwGlRCXE1A1DZWhuNjoNs90TKTqsbbTXndBga8kqjZKbQIizJyHTHqrpqlCIem5RcLOGyFsi
UeSDJuTdcOJQMRVIvqXcOjla9qYKMfisMgyNQwAS0hzcNln5kVX95MtCRE5ewWUqZOVxqKarYqgy
L6osw7MmonUsdOggQID0IUwPUah3RiPtczTrPd7lSIjYC4yXyndZu9FdOujca/TuajddwfOWVr2Q
ws/5SMie/aEIkbykFldThPxLRz+foKOn/yaxcTMb7TMt92bU9guqexwPpKeI+Agblp+GMl9HoZ+g
1IdSaG5R7Om+KmT8UQtrUwm0qx6Ff5Rw/aEQ/S9C/m9W+rY3scxXwhqQt0TA4hVgsuaP1Cxkz+Pj
FlYCGU9BLE8tzTJsBmURPaL3v54aHQeLjQVi0fpNKMwJtbApdAgC/FFYFzIoeL4i7AyAbk5laQui
Dd87hodUWB9kPBAKXgjE6xdN7MQ7HBK2ZwjDhK4yinaEiSIXdooEX0Wglccici6Y5Vo7dFZIEvFg
yEn5VCd1zHrNOLqPG3/SC88Ufg2mebTlsXDUinxWsXRUxphvUyU4NJg92qK666VhU7bFZVSWa8Ix
HMaEMVVlOzgr3RyFFx/pkS0Pj4uwkwwk4WIvGeNq9hPhOClMod3hXWFFKYUnJXWGGxuTSifvaw6H
w2WAfWWWHbSDxUnB1qJib8mM5ST1+F0GjC+qcMD0BI5A7l58dUHlZCbEaUl5HCD4Rv5egzwnay1b
M7WrPDRsORNboNu5PHzAxkv9KdfQgQlHjoY1Z0LUPWLVsZKpRzVUJ14gfDxKYewiBfnh8t3ko4JF
d+0CjrAk4RgwhBuIEeu4doRDqKnAagnPEBk8CeGe+ltvdCgkKBNLbXisMRqRTJIwh0YqEWrjee4T
WO+xSXRmZ3b014RZyegLtTmoYdYdWHtqX+ReUeLXNdjXvNsZBbDwtdYjxrsbZKizm0hvlE2vYxVl
HFxg77emBuZuH07Kyi4kfXLrARXylljlGU2lZizxUSrIErtx5FzpbkankbRDP/XMCAygXI/NoqvD
Ke2qLSFsilclUNpLPdXXMc5ft5aXZ6UJr9tAG0gcm/a6XvTrRmqIs5XMg2FNsc85SkegZr7WZdkC
fTcJwEv0x1QyEb8NoMEUeTH3WsnNTHZJ6vLXac8Y5TcQbc9R0qh+Z6OuRSz3QaoswruoBBZfjKor
Q2dCF4r8eE6ny7lqfXJX6BRW0qVeNFdS0B9yu/w2xOPHAod9nIj8bJUJ/HBlZF6rTfuIQaU85q5j
Vc9xWl6bcYAoVzWilQbLg9odSaaaHIPWuZCS+SmL1I9FkflXQmhmQ06maOxDhgP+SHCS0ayCsLlO
J5YeGcgxKVxTdsgi61JOMzSWUymOabtI0xpvkuij1jGR6tyMR9NKUfIaDpYDEpZUdkzSsozFx6d4
yUyUZAJqXT6FamsVkKrbkrJKo4gGfFn5SAOs1YJ0yy0C6ZbcnMUIH9SmZWCPLJGYaGRlduqMvDg1
u5M6W8L+SA6asKtoREIz6ydOIJ+qcWWV40Vld4i+7AGllWKd4rG45CyaM7OF1FCA5cnbbdh3z6Yz
ziu8zTdzJtWrJQ+zVYBxwjOS/i7o+9bvIaeWWIgTKeUa++URHR7C8Z4iM+2gP9NDkLym7N5bx7lj
gV7LVXaR5hHZgaG2pWl6Vw/xRoqtyUP0KlLjzoNdXTtG+RKz0SHYlI+63B1QjAXeUOgBidxKQ35N
swuF8XTuxhBek5O4UZruHAMU6xAWXmKr9aYFxe3FeotQuT9TiawLtbsHQLKtUsySUAa4AXt9Imsx
H7BsCEdmGtAtC/kpntESFil6SUlSNqbKeb/jA/VaxO9y1SaubXX7vsA/WpvO3mqnO4Tl8gqNMair
3lyTUxZusLAfssIxoYXjj2p40g6hop5NhQOj1CLt6Qo53y1qBvIkCCjCtTqA/ayhFonPUMruJdKo
1vC4C3SzAQucMW6XHJIfXYuz2iDBsBVCds1yei3K8IFRzaktrFeEV6+TCXqwNR/LNHwsQwyHHeb2
IK8eZZjimt7cjIQrIOHxNBWAmJxFB7UZn3HCbXpLfXfgeIR9fLUoFsk+nXxTkBPkFpKxZq2Pfu3X
/bfsNpjY/+ey+7aJoWnNf2+OiV/7o+6GyUFPDEWkLKDQIo32j+aY9oupagZwHUAZf7bGdCp1wOkW
KkoVpJ9j0439vTXm/MKfy7INgwixm2z9K3s4BuWvrTGCuByAfKrDf7iUL31fNpTJrOs2PxcKHozL
Vu2x2s19DKqYnIlRdVgbwWsIM9prPeB6EdYuUgRvdGH20qyXeRijVYULrAnydS1sYZ0N9aDXraMs
LGOSMI8B5cBGJgxlhrCWqYjc3agKjxyxU48E785LgvLUzt2bJKxphjO+6cKsBkMU5SotLnLtDpMw
tGlOcilC1hq5NPxSmN4i2g9+J4xwYHEI2+5KYaZ+Gcj5QkU7b2TccxIuumjs0DNP4dayOnolKXuY
8NsZ9fg0YrfOOKd7CZY8zegeQ9DfG0e49RTh2wshYa6oODuEmrj6EPg8Q9ktWZxw/NlY/wB9nUrx
eLHc4QzggYt48iZV3uey8U5O30bjyWz1+KCLR7UhRHXi2UX3z992trncPPY82+VEpVOIp52n3iH0
dyzBGmmvrLuvjdqemiV+MFgoUhArvqrJrB2GeZa4WBamcZtHMSFfnUSJKvUhvYH4po21Y19Jx+X7
qiTHqjuLlcqo7XyXoGVzDbGOgYw+S8aYHWphiTekyCLdXjkkESevRKyEdZhdRnUv03+b7mhI7lVC
C9mKu71dUhbQjTtVyFzZ3Gt711SFumFN39hi/W1i3BbVnNmb1IoaPxHrtDkE08oQazehRKzTs7pt
wvE+YHnPWOZNuSccoaAJJjn1pqHAnWggQ82DjALDxJ3EfqGPy4wbudnlkoHZRZWCDQ9a4I3lcJDZ
cCKx8+CEfkmk5poghvPI1hQm7FGmmmx0Nq28ow2j4PVJF/OuAxko5+F9yzaHrFmCQK6y84k9cBC7
oc22SMomxZpa7QOresCG0fpZO95JYi/lVzPIIOyvmthoJUSdmmrSzVXKjxzDtReX1aU+O6dUx1LT
Efzr2uzg/TSMq0ls6haCaZ6VxvaTMla9gL2fNGhODlozPXcBlH+5rQLiASkWtDTBL4HaNr5DNJpx
B1JW8KxhyaLQsMlY2xQtRBZjbKrtpKiBp5XyYUZGqBcS2UNJrPkL1cuMmWA1F/XiW1Q2sch5hPdO
xuL3sof6B/v6czqJnExNvtG1vTRjxISpKVE7lVa70kQxhUV6ZesldhbrQxYVV2XpH80iPzmUYvKY
Hat5vlFFjUb0TbQyZ1Quc15fR337nOkLnMx5Z5fLXu8JP22+13wTwSF2q3uNPX+obfMtlPrDWHZX
SFYuuwFmI7Ymf6GQ1BwG6WRopi7uK9VN+lQGOU/l2XTdRyWRWZlNo+pnk/Uc1803aKgyJRnnflXU
sNNom/uuF6WmIdleRqnLqlsTdom/d6AM7miNoFpGH8uCfCBzYdqELVjJaBn2naijVQpqM5qeE1Fh
V6LW7uo2W1Wi/m51FCqwcQlBptsbTTedUfeC77PKJthsNdLpVVEYDQ9dySNhm5fEiXLKmALcqJqQ
4AVMtqTwJghwgFTOjRPQApxmG/e3Q+rEnJHGTOJzqNTrsLOzR8DCMbrQ4UJiVCP0tzzYRvJgQWZ0
zWFM1yyruheq0ctUlCaGnng9jMWeBf161kvOjXI++WwAVxVmaWhBZJfQFtpEMoXn0Gq6a5jlbWAX
+ygwdS+ts4s2Gq6IFoH9Q9UfIPhGO9ooKxr5/O4w3BhmYm+Xon9pSyYKTtUErlqokWcmNTzGRfpw
dLoTXdTEG5BkV8Vcvpgaz3adWYS55DYW3SlEehssxVGuHUbAZf0IBlJU2BTR+TzBbldxFUbIwv2S
NRvws4x1TO7WENpeeid+AKmje2NAqxQYlavwlSMJzxtv1FC2dxPZVQ5jKM8cYjJdtHHrgBtAn48V
WSsN4Ej6cBfN6dXInuh1CYCk2KByxJYQ4n6aud1sKOt9IqpJcnMuKmkZ/VSneSQRUQYzghGEPNLp
SM07o6O7U8xvRmmck7B6nxT+OULgHgU0wR0bomzMvrgg66c+cqa4ZP9HiGsVeAGUXZdVjafPqogs
kctHMp2yXbvUd5rKg58V2oM06yfmem9jndG9T+7Y7OVDbNI4YP/ftXF4suL61lnSrSa1ZJJGNO0x
+gDj0EkzMeCJFgxlykFnxo6V3Vct65XcVAkzGtS3uqwWkK72tQLgdGUIsXSBT3JVVdjnhqwPdnIz
P5vMsfk+B3WdpvbtVNAksQNpH4fhc4N1IUyh/E9JtSnrkt+3qnOZklhFjz1cYZ57rZKJc3cXP+ky
zJakNs9yb96XurkJqmzaLqH2kchgOLRB6SHXYVawJ5T6pkU2Sme2qUsCNLdfonSuEs/IORflyWyH
o6Mz1VgqvthGYtWOCHr3E2seaTkkz3KhXqa0/rwuDhIs6TBch4yPums286Iz39OMxOvldJuE5Ayj
3WK/E+T/WiUbtkyabEWH9C0KGezUdtisB4X8nDIfBr8k9LpMOTjOkvmQ29ipwjAwvLyWbqNmvKNd
iIs/drxyzIhkwBkX9nZHP6asfVWPbsjWqVdB1u36sMcMKDt3nNiZygDw09oOvgrhukRc8jzh4V1P
oZT5alrsJConHshE9ka1fanC/DyhLQ75tNhCyCaD4OGJBs9IaIRUmR+mLN1Kms0mkBMfmjrph9Xm
KOgz9XWYm4PDTk5wrPHaDtYG0GJDjoGyDwqt8J1l0ME+pg9hnrceDkjVs4lwSqQcWO2LbGPSd3Kd
sy05Rkqf7CujoS1BUtNRjctdUDf8zE6fQsmoGBkmtwqzQbfqpWsrpwuk5uVOJ513ouaCq7KAjqzK
YlV3OP9mzGkwIWvejo4J1h4bfVWW+sGuwdHYUOFTq848nrsP+HQc8UdrWtHxXMtDTyAoj27UKFdZ
WCC7mbVLzYzhzBjMWjEW3dBYQPBoKRrl5cQ63RSXk94U68bU94rdvSbMLj0l7h7qCdoiBsu7hbD4
ac5uVZ1u8oh/tLTkFxR+3PxjAb22s0af+J6Lqm3WhYyAWp7bjuUQYWFnJu8OtXE0mJigp+J9yYk+
dnBlhs2yU9XiMU4SH+/xXTUQJNJS5VkpS19Uc2dGzmhtSqx3ft1bG3lqPsyIks4qpyctp+YbEsWL
s+QRv8AO+b8fpcUzoScvSdefdL3e5zGWE0i+a6Jn2Sm1eosz+XqKlNVkYN8K6vJmap1tpTscyiXI
bMkZQ4g3xwpndo2siiBbxc1wQcbhro8rQqNkwpzahEzYOrTU9CorFvNxLmMTxaZkDPyB0VWDP9um
1xuV9N/Mol+VFjKTmv98BvXfs/85lk2H4uerREP84h+nUO0XA2StzPznNz7tn6dQ/ReiO1Xojxqg
WUXnjPj79IeoVkobg9oNsK3AJ/xxEBVnVFu2LFx4pmYg7vhX6RKcdT/J1MTQCQ6v4pB/IZP8qn8/
pn6SqeGmSdpsKUhtL6etnMYXVsgGPPzMwMnM6C8vxDshXwkQhIOHEwPh36yVEqZsRivpeDYMM92B
qbH1lbH0PAvsY6XK6UIaLQnrf3lCE3ZRp9WdpeLkq1oW/zGHqZ5Cz4VLYJDvzcblacAQoCdWPC9j
8zi2FWBbO2LIC6oXr352U/GCnlpl51LmcKxYdObsWsWRJA3k0FkskPliH+p88pxEbhhctYxpDXNL
fVKATRzWqm50wC3Jp2tT4ogsLB+2delQLxPYrD1GOolEw2TcaKp2LeUTh2rjCEhgYNmLBb7c2TUO
s6cgD8k9U+6C0CZXO2R/UqOY2IihuzLg39Nlf3Ds5l0NrW9hPiN8AWSWsnT42Yw5qgkOJsjBNfaA
rQmidtNiZvS0prnDkbWNbZ1yKIoOiENfijFK1wOEX98cZszE5VT5nEdBg6GAWCvd8k3Jc5E4l5x0
mzA5EQsrQZisBbzAUu6aNrwsMVNjlJmvrbrfkIC4Dc0QNQEZcVwozfywK3QPrO6NNDPjyTvc2Zbz
zelyQDuTD0cN9mevswAbTDRMDV8bopHU6j/smTGPbBqX0tAbO7nIC78uQaNZ81EdKc9n1PsjQLZ1
qmTnOouSNUXhZsn1S/ZuTm6KvnEGPttohNkomdRJFRwJYhO3zozpvlhAtC3tPUqbhZ0cgYDWZTft
2O9gbRC3rcmvSHNp2I7zfUZffjNpy0mdCtNto2Rwm6V5UzL1TR0z1UsZVJaZs7MMXfHScdwAQb7K
U9uHG2leWNrC4CcrXpekeowszI055bk50EJGMpJux574b6pPVQvWdqE7zYpbjOpLp12jTFH9XCSg
5deLLXUzQyjwBYpMlj3mYA417VZnJiHI/GvFHgloqZtpn2VG66oztLGA/FRdexsZ9cSGgjuwbDjT
gce/Tw0tBtw8MihwiZAy/H5SYj9N1J3G9E0Z0mNHrTfb9XNgxtdKKr3bFGdMfdqrkrvxdlYHMiTb
zpsc9swRJYeUG/mq4FRjM6r0JXz2Rgy3fmiHWCS3jE9mwkl0CqvLMJYDrwX/apOCFentBSgwf+ha
pr2d8LUjzHISb0jkc9KUl6nJI6sV6TlTjUMmSbslo6aFbhfBO5hzfMTxmznOJJCN6KKmXrmm0bSZ
aA+kC94+JJsMxKrHsVnlt9aOYc4h7aQtJjrSxuVvUEBTz8ooqOfsW6bfDGO7nfH6V7CUM6IlEkoP
dS3LWHp1snCxWY4IPJj3rOH5ccbAvwp4IOnWMnBtNxx0AAEKx5VyJAWhYVo5VpuewDZCFp6akjSE
eNbvu04mnU1K9PpWRDqGtk46GSnP0Fk+bTDnX2fyf0mUFoK5P0f1YhUVpAV0fqJtyenji2a2bTkO
BrM5n8fZs1x9E+ynm/Jyl2BfeC4eqlW607zADQ6MyXo/2fzM/8M29veXR8Gg4TRXDaK0+fmn3aIJ
emOQzH45D9ZzFewcbBPO9E2CTfLj9/lPr6PSsxDh4ozN5S/qZKdjz4qnYTkr8UXEQDjL3okxEJ7e
H7/OX3e/Xz9OPk/2QKx/wI++aNvrWq+MXolkLJ2HxjxVnBwj/eHHr6H/03f2+c18eZE+kuVWTcWH
tm7vIy9dDVv5zUYB55aXOfeYe92skO6t1e3d0fYz9zhcxuv7dhWsrpL96G4JJL3ofP6iX6753+r+
x9enig/z6z0lcqUs2nT0to0v15f1EJ+LWVbOnIOOwZW8ki+Vh5BOoyd5PZLe/ZOymbxjvR63+Kfz
A93nK84N69H9TXz832GGzo33nwvJm7hNRaTT3+tI8Xt/1JGKmGYI3BZaXwqov04zLJIR6Dk7IuLy
U9KQLupIyi3xFMHo+l5i/jbQQEVEg0XMICj7sJA41r9RESEg+8ttJFREqg0ITBPFqsmlfFERocgF
D9GY5XlqZKaFop2h09ByF7ocYHKw9syA/Xp5JCBTdEjkLKcHZcZWustEYyVGW3hJmQqET9Pqm4QO
8BYeV3sc06B6qzqBSRKNniizZovBKxVORbq55uYoWs4tqQGnOoGlIMkmHCtwJDbMCQUMdBEUx5SU
nTcbpPY8ZeAYFYVOehhRX9hmfkdPyyAn0GKuR3jNZddG1g6XfMmJrpfStWLM5T3IBrYLrVXfYedk
jwYc3G1otOQNVkH7PGiOTJSYHZMQ5owbKxkb9LlDdTWKrmPPRATsUeUPo6IPp0gq9OG1JFdNPyi0
2GZIL2Xag/3peuldD50kOlJb9jV6nLZoTpbIbrNCaoebKHEYWbMOkr3MRFXk9zgSLUU51CM6OGU2
2lbhZgNMHZ/QpgyQu1Sg/Yn7bH5JBrXOV+rorGEfTU/mKCDrQBGJcpvMYh1GprGfe3O+6cZyedYM
g+M/vEgZ1zwlVxwqDt2gIXzhToo9uViW56CNlncznh7poK2LMN5LVtn6uYJAYzRogUvVSO/FVvp5
k8KyYX7bzRepKEuNzqGknvJSykhDDWOgDx2QWwZdqITS+oFQ5GxHMvSdxrR5W0k1WFIZKa9hN8A2
kta8saMq33VS59xVcm0eJ4duOZGXqEYRmdMubeUcKU3mvEjk++y1rEMZPOWnxFYkv+mGaTNIUjsh
mqzrzp+CuPqwpLLdQcUvrjnKtYgeyKwKGeL6i0MbYEKjcmGhtrzEDpXAHLVKeJnWfNGmS/m09JN0
4OYVB4tiPBHGETzaSz7eFaJP1ZdTfCPFU3WORIerAHeDWJmhATryVldgoDpRh/rNaP2QeC6aRkiR
t+rALBlojJ5pe2satavZbGzypUpTea9EV7AW4fUOg2qktJjavy9B/12LDYqN/7wWP/Uvz39fh8Xv
fFqHWVLFgVkwiTQh2fxjqqz8YsLegVKkwUT5jvz+7TyvOfzEASxkycTKgCuncPt9sGz/4gjTBdRF
UYro/447rsl/LTdYhy1LswiOI1+OKhHWxl9rtKwjn2YqJ/nUJeUjQjpjY6aadFBhptGQViqSDMZy
23MyOQqh8roshU6eAMemJBJlLJjPxLpjXDSAnpEHpkDJRnMzjP1NZk/VZbNIXjXA0e7sV44VjKjy
cQssP/AXc9w5gb2OrUr2K4LG+hZkaOEIVvOo341Fs9XjqLitw7AnXLJ6NQF3lH111yh6xdSB06UZ
1q/Z7KR+2dLPrsdxOxFQz8SijIorWWMqnOhMTDXzECC9W3UjB498lLDCKwL6k9VkA3TPVh++Brk9
rtW5kFfhXNU7NGgieka67jI7OzvwHAGWRyT5akSfBbNl+UHMbAUkL2teMMOF1inKHO2tjc2ryKiP
dseRvYrSx1jVbrvS4WSdqO+0GKZVsIR35LasYjIgerR0tBWUbVA7b6TjFYBaImhliEVlVg5TfcqL
8JAszq2SIFMzFjE0V+XbykrIU+dL6NCde1lAh5tl7HnuW7iRVvvImg+oEDAJMhaEd7p8BoOrgD2M
r2K8JOj4AC3t55k+xkyWrEymrEy2rL3Eh0GEzWpJe40WEJ4urUJ3aWgbW6T7JPC9XWI9fYuhHhYG
iU2HtEuLEXOXtenWLpt8FRetfXLUat5kha26g5nsyLR0sDPStKgH2XUWK7ySxAhwiY1XB8XTsZ7V
j4yIBciuJtkSUaI6xywigQLRT+oGKQAlYBbpuiDRax+m5SnCvYCSxj6NCAk802QdD/8ve+fVGze2
puu/0jj3FJgDcM4GprJiKTrdEGWpzJwzf/15lkJbodpuozQYXUz1xd62LBa5uMIX3jDQwo10DTwa
xn2lesaml9IVGMtJHeikzU1GWcdAAKanHE5n4puZ+5+iKGqmZYMUE3D3Gdwjxs1jcGPSbnqb4ycL
a2XFzb4nnksmp+lH9GYvFDv/ofvIpPmIlBe9PU0js5zKdakdYjaElWdy1NcGOjbaelCiNfZ2VI1i
iuVyFn6WO/fGSKRqhaItMpGSdYNNKFp3inri5io6WTb9ZPSaQ6If+TIZ6iMKRMsiCi+DwJubTfwV
2cjvmKpkWCuBqR7onNhl1MxKAQ7N5JSGFINr6NIRUvCw8mQQHw1lDzoC1olcKLc2SpWzqh4+wyci
0FIQFahGSEX1iNQcsm6RO8oAwOSzLu6++4z13BRVstSETZKpsH7S/NTJKpqh2SIkyoHQ497CnYG6
IrrOcVdMqX1kuII06MRFBdr1iBCmg3FXd8ZpVwALT+zwpHDpRAR5gpuHqqK6VX2zw+I4wTRcicZP
CpqF3B+KxroxcTrntOzTeMYNz7yx7RDUihBn6QkRR/mycrRvQ+3kawKbeBoABTySokE6zBJE9lOi
wDYqrnTCJT+PLm0zNaZ5Qt9yomtudehaXGUsfWOVWPocqVJSYU2KUXeH3iHTbIf8BrKQet9Eyqxo
CoUeMBtdxCk1OAwFsGZBMTWeuX4M5sHrL0LQ4hPXkG+BvD9S0//3nNVIAP75nL3a3JbwHNM6e3va
it98ftoKuTk65xY2SqKw/uy0tU1qsE8/4beeTlv7wNJExgOI6ylX+nnaAkbUSV8MW+C7/uy0Rf74
ddaD4xKHukWKBcGRpOLlaauFbVqNWY8+NkkM0IEA/cUWfcWcOlBi9fWikqKKMpaht1+7MDnG/gh5
MNmmeINRwdQdPNRIUlu59DxzDqAoobmODpcpB9KxXI8bw1VHNNzqbWcW1dwKUW/KY/dKayTzNG1j
fzK0WrHI+7Y4I1iZh57/CR/JeSenwSJw7CMcM4/AO/+I+uFT5ydHlh6ti7icUXlZOYGPtEiYENwn
Wo6iKU50EOpg/Mo68HQH9TvdMLehxeFtSt+iVtp2rY/1mpDhx7Ckx+QyuYM6gYeHLFFgbJsZBKhh
0glLvNZBWoN2vqipK8hhtvWkpcU8w/z8k59kF6rJ3pdxGlgDLbWiQYnVKyFsUk48NHPtsqjMUy12
tyPg7yEF95l3oHAi1DXNxYhGblJoE5dtyk+N69YAEyeHPwYPsG8Qqxd2if010CEZAf/qJpPA6w4N
cKEm9uNFX2NZUDgoOZdkO4lXoxxKhLKqbBkTCo6pOfbN1mTMMGjBfWmcVm7ozCUa3dhiequIEucE
usCyaaRQKBKqs16Ns0k4IEyvBFSmjUzSTkuAJrQEUXyLiLpQWwe6U/UIHUqZvGx6kWBQoS21OgDx
GxqrxmVH/5R6kuWdqtWYfA4BxxChJAWC7XE7wjsxu0nbBx0tU/tH5fir3iebrEU7IIGEd1q7deV8
K8Gr3yVxRjPFUWK8ZXUFqdEKgz5LRh6vGh2iLyKjRa53FKBGNbixO/tTWQc9cRzSzEGfTI02D9ad
Hqqo8TYlgZR97aTdoZYYS8AkzTJGeRqDQ+VGalwFqmiHrydgEcJEeGnsxKTOlZoCqHXoXjKWWtWe
9sjxXzMD6AnoJE/4KfTnIE8qoPddfu0V7feKauCxFan4joT+Nld8VDr0AdstRzmT7MytJ3LDSSMZ
6Kg5dbMqG7dcqaUZXxVmgR9VZqXXkYpXbq5gc9Lq+XVm17O6NhH7wqQMKUFjRaobobkshYJRTB84
G9adMBSDM9RPE2EyZgRqd1yTAy6GwAWnNMgbPKKmhd99sgciVU3YlQELDmee7mD62+sS/iFO9y0K
wZukY+HOArtOl32eRbeRZlSruOlI2Av7KOr8ftUKuzSkmoXI7IgJmyns1DphrIaQtn1qt8NZBUh1
4gBzmaKBy8pMWtQBZLuf1WpanUo22PAKZ8oJ4ec4/9+8714pX/tl3odS/l8LRBBvg+p215H0PAFU
od8pFqw8wwI9J1K5v48kDQdTDgQU6kn/aPj+PJIg3av3DdCfv/V0JFkH1O1AnWMD6CimTMb2B8ZT
bw8krFB1LJVFMVDWxYH5vERvxLSVQ7cc1yNACdslmqofKgP/qAIrrvCiXsxVZbJfTlYH/OH9kfis
CcCUNfM+15R11UsIzy+MGMqDcde2q2cBwfnbZsfLJ6E4/+p7qIU+fxJMJfKipM21NgDMKOVJZ939
+gsE0PuXT/KqzQCAL1UbnydRe8xV9RvL+ZGx5hxp7TQtOFJ5WrVf82bVBOc1VHQl2Ib+wvPO1Qw3
wSuvE6aqx6bhzW103D39ogmvOhA8PRz5X9+pQizzyzt9HWYEklsDDmMsNPJNUtn8c9MGU8R31x24
cejONKKoYKnUDGm+msEDzeAf3/l9J+T1S1ewszKBJYBcFxoUz19GCoiqbmVrWINdpV6g4Ax9Eumq
hmJ+rhe5aKGnzWFo20cl/Rqj6S6VuDMpJwBha2VpnJZ4lUzUvJFb4VGDLHjdlMs4QdNAO+pcmRhJ
lULlptcS2laRE6IrAuk+DTGcQmk7b9ho24Im9kBncYDGuW7NYJ54INQxU23McVn2znminrtjuHCb
L6L04FXXlWef0gielJE5a1NuoMsOqWxOLVDrQ5jPIuM6yyGNmdgRjSCrA7qsjdKcWHIyF+KgxZcK
hCWQQooRKaLl+kUYnoZ9smxTqKUJOMVco4eYOde1jmdVaEzCFrlfI/D0mR7AhJXtBIRUFH+tUaJM
EnJXB5XoWeTpv1FResviZd95tvBF6+D5G+oCpwrrvhrX8lJbuYfjSf1ZWwIKX8PmPalXyNvO7RlI
8YWG6tFRgppM/1U6jBb1Ul6adJzC36gDv2krvVq+ol/wbJvQ47jBcZ4pm0WHuCxg0gC4t1gU8m+2
IzH1X8/M59vRqw3PDhIayD7fA/w+vu7vCm+Ko7quzkz3N4tAeVlae9iRni8Cwel49kgO91VqDpQD
X5uG5xF4h34KI7+r5qEz9dbd7x5t1w5IhVGjsuU4NiKQL78PEcvesmJNXXc0mtPxeyud/3pf2bUB
Pv+CV2NHkmClraeq66qdCbRfJ01RL/jNC/rdl7zaZZ0eC7HB5kuc9ngsjmrzWjW//fo5dh1Jz5/j
1fY4cFaXJWrRa6Hw3McdQJNLJzxzQLzff9F7Z+unAYLSVfaj/r/iyrdZPpSB59f/efnH6uHP3jYT
6j8v/jC/VwK6aLblcLmtgIw/RQTiX/7bHz7C0q6HHD2hzV2C3XdQ1WVwW3O8kHpDoPqpKiRENv85
Xb9uwEkm6Xb37z0l66gRCZ0DhIhU5FDvJQv+jozkA9QFFOBsqoAvPGtRarbwdgfSpqj3hpzilH4W
GWmKkCQgLrpvVv5JZGTeSwG/2SoovysqPU/W1Kv1q7RGmQBWSNYjgh2agmhOm2GAiJTHSHVw0RqQ
TkJkPnSh92GAC5EbZRkgBOI30mEahzMHgZBUoS2OYAiIs02EgIhb4ZaLoEg/KiceAiOjb5aTSGiO
+Jb3tUKEBHpiNDeRJaG8gTLgvVKJ0CwZFZg/idAxiSOfmpvQNskQOWmae7WT5By8HKUo0dMaLYig
ToTuirHQkErxYa7kQjsld8IvSH8L7jY2ZwalLrWBqY++drCGc49IDiosBiTr6SiUWQKh0WIM9kmN
aIuGeAtMku2gj6eV7nxHV/Ual8SMSoC3zJB9MQ1RRGzNNbrYR7FQhnF840ZDKmbM6m+dby4qoSFT
Yn886Rz7HLDTcZxk6xC5GdA7ixypbwCnKNGEFoVmpZQ+O0KlJhvzmYxsjV+OFOoQssGMsj5MjRja
s1C5QeAlQaPE+dZbybmBEI6O0MFZXlzImbZIgJTjT7fGKWLRaP3lgJBOH4ZoQiCtoyk+yFvpS6u7
nykQLcyG0qsj1Hi0OPkeDM1NLnR6EqHYo/Th2SA0fIqouZB7Fw6G0Pcp9EPzXvCnFto/mlABAqy4
cIUuUCIUgoamvfKHcM7/p8YiVIRq5IQabsPFX3oaCaUhUuulEVBqL20sCKAnF0KVKAwl0PVCqSgT
mkUD4kWBDYu8c++IocJJIOSNMvNSQvBrSr3hxBEKSI3QQvJzSG74FV5KyCQZYa2fGEI5qS/Ca4LP
WxuSdeomFwnceSBOnzxHxu1RNSBB8FCrXCgyOZJLUJX13hSRioUmdJsCywUmGCDsGTS0OZOVMUZL
WUcdUdXiOU418JeRa7ANI5/pQhlKtvIvGVJRjgITmUPXnxZCRwqVBzLfXqlI9EGkAZPEmLYHDm4q
Tn46DuVNgSiVmzewS2Tg3lkgIXTX2/YM65ZmEiNnJWd9jFtltGgQugoQvDIQvkqFApYltLAkBVWs
ROhjpUIpyxnAd2eIZ+WIaNmIaWlG580GYzyTG/fObSVlpiG85eT2ZYMQV6fBNVZc99CKJDS6mPTE
yPaiF/pdpVDyAn9aofSPulcodL6kcdh4wAmnMKfAVzKikxpZsLpFtR+ZMGUQemFCOcxBQiwY1WQO
BhGFHUXIi7XojFGs3tRCd6xvr6OYCklvn1MTx2JRSJR1KlwGDdUymuLQNtAx88d64Q+tiQNS0WF8
i4c2UCsYONKw4b0OR3plzLM8hxhO0XOmSvpW7avTWJZOe7mm92QP6RyD9U02Bqshr40pLsEDryvI
JzSULTy9IJzgmHSVWPhsFFWtLF0cx0Ep0vbq2jiddQ0zkL//ocY9MHND+IvhzwO7RrqEgbitEqaE
biYBKHvrJi+Lsyr2sVdS9G2eY9stdYsqhBckqbEObtBSF6aCJ6w8lieugi84skmzhBE/LlIeGmGR
dtrU6VedUtUCZhjKJoHtwEmFnABQc+UilLECiLopzCBbOmyNcEkWBYXPKRbrp2PtryuUSiaGhWP5
EGhXVFc7krDsvKjkZVjq1znWWNiTXClegUfqaKNJnVkbD6P03PSPVB5u1gUyEl5ycyOZozJ18R+c
x5gZQepkUkeV+7U1x69lDWeu0r2VF0urPFSaOe7KuFrVzVVuKwlaYLxfnDBmNlzTaWeJXDCB/ljG
bBX5NPOdNRvd0iv8BAWy6npwu0+RWn8uC1vDwKD5rDujjBdsp8B2U/3jETlcKki+MR18ap+ZB/gh
VrTDsgqvUlNbjjmGIG6kfO0idBqcOCQDB19pO5E60XIkNEv1U2tedNXR6H7pYL762gUMSiC55ico
IjeBlvBq0nppptmZigYhhsBKtZJDc6uw0QNSdc4hZbG0oRqvJAPWg2WOwTzG8IfWsD7LnO6kyuPL
Fniw1cdsv8EwHwdFCKgd+3jXARZpPls1/D65qI+K+qw10WsxGuDDlneuIwoyizMnWKpFGU6NMvis
DOMyjsvwBJoktptSeeoMlrRohyZaaHUfTkbowPQ/4ZAZrsjMvCMDlvC0Mm1/nCiZB3lwaDR1hYTO
lozAP+3SGvgRXBXD+hzSNVpS37QC8vVxOAPwh1B6xXu2BkRsPLueB8igZOxfR249OmtFK1FcGfFn
dataP2wt/ywufdvGv2XANrrvVfZju5hzeISAabAEMJRTNTcO2Y2OTJepg/IiqhtwPiXwup/oiLND
tJhZ6JW0gkJypuuVt0p9easN8pYmwHeOHOFO068GGeKXbcEoknl07rHSlGwW9fFtD/x2Ynj+UpXp
Z0KDZHvwzC94/bXLQcGbrcMNlK5WBkNrXJitFEzxQD/2GOz8O1Ixiu5eItGwkiS0iIPSWms5khlB
kwByjuUbhp9TXIm3eR8etXTCFnnRX5SVuQztqpohUJ8u0l6O0FECYY6KuUAnd1/SukeqI74y9GFm
xsZN4tCELwCkmmN02OnmArMqVCkUfPuynvw9v7Yy/ZbN9bx2uhTsOlMgMItLRSoXbHDKstPBijlK
hQiPSgGdXnpqUr6nT7HG7HXAcM5vqAhHw7zsa+ZD58Uz3xx9Os3VPOlpieQmBfogUzcjNehJDIAb
exM2Z9s8I8j9Upb5CZY/FlwxaQ7MdIpDCG35EFKmelkW7TErd4U2pkzO7ws3cKE5E592CkdtpJwE
bn3sxtlnI1e+dG7EGZFanyu1BzoPjYs0HCo4pSvyfO9TMsjpVKH1OAZHpV6eQqpc4CcDbzGwgRXk
nNGSedPk7ekIRJx07HusG0cFEHhe+3CCuFazGsoBklRvniaKDfA8YSOU/KVsBDBcDX0VZepJJ4/H
TalpU8/AbdAczc9hlyTnmgtRHYYqjhIdEjGtj/tYi2E7wj4qVPQkxeWrokNqj+WqwiJ8Vsrhd6sj
hrH75tzKsXBxkI9cogBdnSQFTmiF1h3HIRKPGc3zKHalpQN/jJjTrVlcRoxx2rVZS0eg+pKl6WeH
DtGW8O7TQnMy0hF6FMB+73xsuc2Eqmr1Mv/6yOmYkLD+53TsZBPtSMXE7zylYqp6oMHmMXUhIoeb
K6nO36kYmnMIzim0UzUSDp0fPfVNnQPDprb3d0f1WSpmH5imhWEVBW9TkylG/EkqRnr3omojUEr3
BWqR9lFRBDf6srThwJ7V5CI11lEbe8eSlxTuVU8mBnVbDSI2AXAfgwW5BbsWIoM4PtRLolkD38JV
hDDoYTKoyWkHEyLCG8WWF72gk+sWKZGWKCe2AeugCwMyMTw4JSc0Tq0RdkIfkxMkgDO8Olo4o701
QkB47UDwCNt7TKam7x2nfXccpvFCsltao2rYXMJ/OVTb3vwW9wh+VaGP06cSLmM5W41avuxU77JQ
0mYmm8MIk5veb5qUq3pUzuDiby23uQg0e00H6FC1rasAWz+whl8kz86PUzc7LnyoQr4eHOLU+iVG
RhWk6lWiGjeERP2ERJZGbKTlV0rlfaVFdqjZ+TyU3a+aE29E/ZomcEG0Vrcd7CBwSribTUi5YeOX
gIyszDkuNEK1qFSPoyo+K2KVoy/0TotE35R+va7H9AdMHlAZdTYdM7pYg5sfJVZkgY2oVxy1M2JL
NmXVAuyD63OkhjcWLQBMIgeiDOmLXfoXQ6dDvKpDaLMpUE6rGufO4KMggu5srrjwU8GdoV/xNRq8
ZZRJ2L1p5bjwhhjGTu7fVnS5qCYrxixVhqWJA1zsOdoysdWzNKee19UxBhll+Sl3fX2ulT/Aqsor
MzIdNKWQDfZARpF4/JB6gjes7OhzA2fCNhLSilVc26UtnUgYeUVGCQW1Wjkid6UCMEX1zZoaHn1B
WOnDtyEdj2xPv7OMioY62Mypko1fdSBVhqd/6+XxorCl67YkAMvdkmPe/wGZDBuoLnLm0J3OEmtY
RfT5kYxVUP5vum1vwziGaA3/NfcWodrcDhCRJ5qhLaw2uh2AadM/LnM6rSSU31sYgSc9XG9Bc+0R
YYTAgFieMehLnt9cJYNQz3CNAJhTm5TAoWvbgtySsBvMZNVKnXkBeGVCQ5IJmkIM4tCaUaQIEF6T
wT+5EWlNmgNNG1p5PbIYLgZkXZdkRx0qBBVFkU490rRQm4JHJgnmd0bEeQG2evDVezmbE5sgImwU
kPkjhR4t5LD+MLEkA42TLDiy7X5cWq3RYcUe1EQ2qAvIbbvAfJNk1VsXLck1m9SphhYv1l3OxVBZ
3qyKw7PCJLRQlc9gWocragvR11QJaQ8USXWuKf1McUvEJ2smZGlqiCWCiW31up70aa5NNIU1a+OW
sExUTIOtFD6U0jXtWaLrkJVwf0Eg9ZQWM7LGqTppCpQiEV4DNRxU38tGQncmB+OmlYfo3mrgH+wj
pOqMI8VDCiwj+p+odlp+U60CWYbU7uaNRwWBUj+9Ch9Ub0B9Y4EDYjId6xHjNUX9EiaJu3Aq/i35
pb2Evc+uFGHdlyWg/yoplJegmWBqq+L9uibGg7p7jPbJktDlLGBFATRujkK6xH7HU8vUgBQvO1YG
LNYSjI0yJ8Z3ciwxiXZwjvJJTjW74Q3hpZFXVPhDf1gkKTY9RkDPObRgvtvGse3B5e5yElgj+iq3
YC+k6mqM2ha6TZlM8COep2CyqqZE0qZJKKxYJQjwfGU21Q9Pc/2ZQR1vlkN/59/FExUP3+Q6qcL4
BCWQc6DjqBrogTNPMqOceIW8om7xeQBq3un5cePa2z5TlQl+tEd11METV/olTcer/5aK7X9DhPAY
xOys2FL6fei9iZ+eZ8imXGdvyrr/6h/9+kJ/VAIWpqEvYo77G7svQv/yOvGGUnJzR5EZmDO9QQIP
g/1VfDjW4wzk/8OPJQUpXMMQLBaVqIPvejZG/zQKv37At9Xxt9f55c2/roOLzuaeg2AdAOMGrkYF
/P7Do74YBMrkjgnZTLXkh1H6oEMhutB7DoV5YMuqQUT5OB/ASrwcCpuOgWOizcZM+ZDzQTDi9xwE
m1DcQrvKpr/34ulV+YB+iEoY7jxNlA85Bsrr3tCfbwzGgWbd7wsCQMBnx5oAlwltXtAT/+cH4Xmf
yzAcpu0fzwHe9c990TpQ2fYg4D286F2PT99MRXeQ5SA+H2EQdnQJhQr5H48E13k2FGLF0x9UQc3e
f8RPXxwRdAoRo+AUocv7Pz8Tdg3C69z8z5eDfSBmO2xNIlvxeXNOqgdQD/BuUT7svrj/OUlJwdEA
//5TsMA5afExDIuN80POBOXhxl6Fcn8UMZkHbHk0xXV2mfvPq+XAIJj8jIDpQ2yMO5bDG2Dlny8H
68C6l1RFIWfnIFDNgqEOpkD7qBvj47G1z0xwDlREsSBQg3wUH7balxujwqYBhxCDlg+6HATYdL/T
AXEjVFVYD2J3FB8m/ctBQDIJ5VXLRPboY+4J6v57gk20AMEfhaCHz+tBYE9AdxW2vfD7+pgb496n
A/IEgl8LqYZJ9XoKKHBZYPc8js8HHQOhWrLfagAaZSFcjdjK40Tgdb8cCgYJbBSBwkNY/VGTavkh
itlndzShdClAutC8efi8GgoRLNgG/z12Tj5gZWH/sNE8MC0gdFj+/eMRQVtFB+L2UXfHxx1rn5lA
jUmV0ax7uzEQNMNgh9r3UZ/+MZrf5+lNakcoyFJeepgCrxNpagqySepAIvkh90VRCNp7X7QoK+ns
/2gq3H9eH5DEiyoxNVHChxwDmH3vMQbQiZA7Rm7i/rMjhQRwCw1JJJcfM0jYf0N0DggGsTGhhHb/
4X2/PCBVxDVwOAXo8lEHYf8oQT+QDVXVaPTvngkK8SQQa53e/f0gfdQoQYAU9gyYtAPHlg1Y3w/T
4W2dzaIOKYRWrI+5OyLwt3cORdQI01DVKRk8jMKbRFIQGB2aNEKk9UPuDNr+ZUY6D4YqmlH/UFeh
E6VjwUyG8VF3BuHZvt9yIJtGPBjrRcGeEJ83qZR8gGwbFYXHCv8HDJofpug+ERNLXjax/3lKp98c
lDL9OuSX4K186O1RKE3tNx80jXSRbBEBwYf58HooFAIr/EFBrX/UM0LZ/4xQGQT8U4kbdm+PinEA
e5pMk56d+HzUoZD3LzRRRxKdFkrwD0OxI3yC6o3qg2CTfsiTQt0/kLYPqKSJZfHYm3tzXFJ3tcRs
UR8WzUeNHIRG/J77g458AVJ0tvYYTr8eCvYHqHPANT/sGOx/XNgHYFPRwqcHef95k1uKQ1X8Rzv7
I28PjwibfU5O6JzioMAO72F7YCd8mV1p7B+oQSN4+EG3B23/FJPjQiHN5sh49fQsBqDQNqvlMcT8
qGOwdy0eWJeDaCV16Mfi65s1gZYw+yfSwx/1nBAymPttjjQkdFrV2KM/LIa3/TmAC/xYp+Ty72fC
v4i4/4YBTv0gvrtHCeIC/Ywb/tt/8AShe3uBZzTwe5jLi38piOMP134AyYk//+clj/wewPfsp0+A
vvtvevz9x0d8++UvvuzpuZ7+chVsy015i+biPVH98UYFi+P//Z//ivmfu81zkA47lPZQWvx5N29J
73/PgF9fHbPM7euLiwjp6e92M+r/3cWTzV1WPl3oJ/1eRJl73/mkqXe60XAo7n3t6SbetLyS6ula
z+6dMGH/6yMwUL15pYw6Uc07XDyty81f06yqd30Fm9beX/E7N6D7WbzHxJnHf82yksnzdK/Pxp/9
Zu/7X5TbKt11cY69vS++jLdp+nSdZzdOGLn3tVdN8j2L7+qnS/28vNBv2fvyh0m+LYNN/HSpZ5d/
jyV7iMLdjku/x4o93pY7xlxUevYelOMg9XZsBAIOtfe1f8Ft23cNnWyqartrTAgO9r/vrPrrv1Jv
G293jcx7LNHTzR0b8NOtPpuI77FETzdYau+49nssUXFteOQ7bl2g7fce+dNtepfdBrt2L5EEvcP1
y9vt3dOFfo67gCDtf/GMe3+6zrNrv8cyPc12jsl7rFIuXW/L7bDjzt/jND3b5Ltmy3us07Ntu3kb
O9J4eY8lukZC0tsRO4rkce+pch5vbrc7YkdRA3uHizfJruBO6MztffHLgNCxCu52jIxo+u19/d+q
Se97cgh50Mk2DXbKVb/HUn34gjLdlHc7NzJR3HuHYUr/mgVbb0fEIRL3d7n+70RU3+NNHGWbotl1
WmnvsYbFqzhpguqv9fegyneN1XssZvEtp5t6u+v677GeuX69+WuyKb9vdsUM+nss64fvmMa7v+F9
FrZ4Cvwaxqfp+fOI1N/j+L3yNztzQv1dFjU1jJ2D/y6L+deuYXuvsyze7IoeRLt8/42CwCTZccDr
77J+600aVCgfVE93+mzOvMvSFWWWHeew/h7r9nrrb3YNjfBa3Hvcr4nxUX18utLPcTHeY7FeN+wE
O454Acfc/9Z/rUC573T/xA02u9aq8R5r9WsW79jnhT7l3uPyC8OqX4/JrrLs34Tst8XaJ6L1rl97
WYsW/+I23m7K//x/AAAA//8=</cx:binary>
              </cx:geoCache>
            </cx:geography>
          </cx:layoutPr>
          <cx:valueColors>
            <cx:minColor>
              <a:schemeClr val="bg2">
                <a:lumMod val="90000"/>
              </a:schemeClr>
            </cx:minColor>
            <cx:midColor>
              <a:srgbClr val="2DFF8C"/>
            </cx:midColor>
            <cx:maxColor>
              <a:srgbClr val="00B050"/>
            </cx:maxColor>
          </cx:valueColors>
          <cx:valueColorPositions count="3"/>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 /></Relationships>
</file>

<file path=xl/drawings/_rels/drawing2.xml.rels><?xml version="1.0" encoding="UTF-8" standalone="yes"?>
<Relationships xmlns="http://schemas.openxmlformats.org/package/2006/relationships"><Relationship Id="rId8" Type="http://schemas.openxmlformats.org/officeDocument/2006/relationships/image" Target="../media/image4.png" /><Relationship Id="rId3" Type="http://schemas.openxmlformats.org/officeDocument/2006/relationships/chart" Target="../charts/chart2.xml" /><Relationship Id="rId7" Type="http://schemas.openxmlformats.org/officeDocument/2006/relationships/chart" Target="../charts/chart6.xml" /><Relationship Id="rId2" Type="http://schemas.openxmlformats.org/officeDocument/2006/relationships/image" Target="../media/image3.emf" /><Relationship Id="rId1" Type="http://schemas.openxmlformats.org/officeDocument/2006/relationships/chart" Target="../charts/chart1.xml" /><Relationship Id="rId6" Type="http://schemas.openxmlformats.org/officeDocument/2006/relationships/chart" Target="../charts/chart5.xml" /><Relationship Id="rId5" Type="http://schemas.openxmlformats.org/officeDocument/2006/relationships/chart" Target="../charts/chart4.xml" /><Relationship Id="rId10" Type="http://schemas.microsoft.com/office/2014/relationships/chartEx" Target="../charts/chartEx2.xml" /><Relationship Id="rId4" Type="http://schemas.openxmlformats.org/officeDocument/2006/relationships/chart" Target="../charts/chart3.xml" /><Relationship Id="rId9" Type="http://schemas.microsoft.com/office/2014/relationships/chartEx" Target="../charts/chartEx1.xml" /></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 /></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13</xdr:col>
          <xdr:colOff>662608</xdr:colOff>
          <xdr:row>30</xdr:row>
          <xdr:rowOff>331304</xdr:rowOff>
        </xdr:from>
        <xdr:to>
          <xdr:col>16</xdr:col>
          <xdr:colOff>149124</xdr:colOff>
          <xdr:row>34</xdr:row>
          <xdr:rowOff>113527</xdr:rowOff>
        </xdr:to>
        <xdr:pic>
          <xdr:nvPicPr>
            <xdr:cNvPr id="11" name="Picture 10">
              <a:extLst>
                <a:ext uri="{FF2B5EF4-FFF2-40B4-BE49-F238E27FC236}">
                  <a16:creationId xmlns:a16="http://schemas.microsoft.com/office/drawing/2014/main" id="{3DF17084-7DCA-400F-8A9B-BAA386EBC6B0}"/>
                </a:ext>
              </a:extLst>
            </xdr:cNvPr>
            <xdr:cNvPicPr>
              <a:picLocks noChangeAspect="1" noChangeArrowheads="1"/>
              <a:extLst>
                <a:ext uri="{84589F7E-364E-4C9E-8A38-B11213B215E9}">
                  <a14:cameraTool cellRange="$H$30:$M$35" spid="_x0000_s4165"/>
                </a:ext>
              </a:extLst>
            </xdr:cNvPicPr>
          </xdr:nvPicPr>
          <xdr:blipFill>
            <a:blip xmlns:r="http://schemas.openxmlformats.org/officeDocument/2006/relationships" r:embed="rId1"/>
            <a:srcRect/>
            <a:stretch>
              <a:fillRect/>
            </a:stretch>
          </xdr:blipFill>
          <xdr:spPr bwMode="auto">
            <a:xfrm>
              <a:off x="13450956" y="5797826"/>
              <a:ext cx="3417992" cy="115161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130969</xdr:colOff>
      <xdr:row>0</xdr:row>
      <xdr:rowOff>0</xdr:rowOff>
    </xdr:from>
    <xdr:to>
      <xdr:col>27</xdr:col>
      <xdr:colOff>285751</xdr:colOff>
      <xdr:row>42</xdr:row>
      <xdr:rowOff>140677</xdr:rowOff>
    </xdr:to>
    <xdr:sp macro="" textlink="">
      <xdr:nvSpPr>
        <xdr:cNvPr id="5" name="Rectangle 4">
          <a:extLst>
            <a:ext uri="{FF2B5EF4-FFF2-40B4-BE49-F238E27FC236}">
              <a16:creationId xmlns:a16="http://schemas.microsoft.com/office/drawing/2014/main" id="{2BE56532-E3B4-48F1-AE68-8E7082171AA1}"/>
            </a:ext>
          </a:extLst>
        </xdr:cNvPr>
        <xdr:cNvSpPr/>
      </xdr:nvSpPr>
      <xdr:spPr>
        <a:xfrm>
          <a:off x="1821657" y="0"/>
          <a:ext cx="16097250" cy="7641615"/>
        </a:xfrm>
        <a:prstGeom prst="rect">
          <a:avLst/>
        </a:prstGeom>
        <a:solidFill>
          <a:schemeClr val="bg2">
            <a:lumMod val="50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0</xdr:col>
      <xdr:colOff>8660</xdr:colOff>
      <xdr:row>0</xdr:row>
      <xdr:rowOff>8658</xdr:rowOff>
    </xdr:from>
    <xdr:to>
      <xdr:col>3</xdr:col>
      <xdr:colOff>93785</xdr:colOff>
      <xdr:row>42</xdr:row>
      <xdr:rowOff>128953</xdr:rowOff>
    </xdr:to>
    <xdr:sp macro="" textlink="">
      <xdr:nvSpPr>
        <xdr:cNvPr id="4" name="Rectangle 3">
          <a:extLst>
            <a:ext uri="{FF2B5EF4-FFF2-40B4-BE49-F238E27FC236}">
              <a16:creationId xmlns:a16="http://schemas.microsoft.com/office/drawing/2014/main" id="{95FAEDD9-E687-4014-8AB5-051DC70C9A69}"/>
            </a:ext>
          </a:extLst>
        </xdr:cNvPr>
        <xdr:cNvSpPr/>
      </xdr:nvSpPr>
      <xdr:spPr>
        <a:xfrm>
          <a:off x="8660" y="8658"/>
          <a:ext cx="1775813" cy="7621233"/>
        </a:xfrm>
        <a:prstGeom prst="rect">
          <a:avLst/>
        </a:prstGeom>
        <a:solidFill>
          <a:schemeClr val="bg2">
            <a:lumMod val="25000"/>
          </a:schemeClr>
        </a:solidFill>
        <a:effectLst>
          <a:outerShdw blurRad="50800" dist="38100" algn="l" rotWithShape="0">
            <a:prstClr val="black">
              <a:alpha val="40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NG" sz="1100">
            <a:solidFill>
              <a:schemeClr val="bg1"/>
            </a:solidFill>
          </a:endParaRPr>
        </a:p>
      </xdr:txBody>
    </xdr:sp>
    <xdr:clientData/>
  </xdr:twoCellAnchor>
  <xdr:twoCellAnchor>
    <xdr:from>
      <xdr:col>0</xdr:col>
      <xdr:colOff>175053</xdr:colOff>
      <xdr:row>4</xdr:row>
      <xdr:rowOff>0</xdr:rowOff>
    </xdr:from>
    <xdr:to>
      <xdr:col>2</xdr:col>
      <xdr:colOff>1929</xdr:colOff>
      <xdr:row>6</xdr:row>
      <xdr:rowOff>130967</xdr:rowOff>
    </xdr:to>
    <xdr:sp macro="" textlink="Workings!G4">
      <xdr:nvSpPr>
        <xdr:cNvPr id="6" name="TextBox 5">
          <a:extLst>
            <a:ext uri="{FF2B5EF4-FFF2-40B4-BE49-F238E27FC236}">
              <a16:creationId xmlns:a16="http://schemas.microsoft.com/office/drawing/2014/main" id="{A60CAD34-B294-4129-AA56-A9C1A89E7AE5}"/>
            </a:ext>
          </a:extLst>
        </xdr:cNvPr>
        <xdr:cNvSpPr txBox="1"/>
      </xdr:nvSpPr>
      <xdr:spPr>
        <a:xfrm>
          <a:off x="175053" y="700216"/>
          <a:ext cx="1309687" cy="481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3F8AD0-5C2A-43A0-9F29-38E8B715A53B}" type="TxLink">
            <a:rPr lang="en-US" sz="1800" b="0" i="0" u="none" strike="noStrike">
              <a:solidFill>
                <a:schemeClr val="bg1">
                  <a:lumMod val="95000"/>
                </a:schemeClr>
              </a:solidFill>
              <a:latin typeface="Aptos Narrow"/>
            </a:rPr>
            <a:pPr/>
            <a:t>2,400</a:t>
          </a:fld>
          <a:endParaRPr lang="en-NG" sz="1800">
            <a:solidFill>
              <a:schemeClr val="bg1">
                <a:lumMod val="95000"/>
              </a:schemeClr>
            </a:solidFill>
          </a:endParaRPr>
        </a:p>
      </xdr:txBody>
    </xdr:sp>
    <xdr:clientData/>
  </xdr:twoCellAnchor>
  <xdr:twoCellAnchor>
    <xdr:from>
      <xdr:col>0</xdr:col>
      <xdr:colOff>175053</xdr:colOff>
      <xdr:row>14</xdr:row>
      <xdr:rowOff>23813</xdr:rowOff>
    </xdr:from>
    <xdr:to>
      <xdr:col>1</xdr:col>
      <xdr:colOff>909204</xdr:colOff>
      <xdr:row>16</xdr:row>
      <xdr:rowOff>0</xdr:rowOff>
    </xdr:to>
    <xdr:sp macro="" textlink="Workings!K4">
      <xdr:nvSpPr>
        <xdr:cNvPr id="8" name="TextBox 7">
          <a:extLst>
            <a:ext uri="{FF2B5EF4-FFF2-40B4-BE49-F238E27FC236}">
              <a16:creationId xmlns:a16="http://schemas.microsoft.com/office/drawing/2014/main" id="{DB32FAB3-64EC-4E1B-A054-283419541EA5}"/>
            </a:ext>
          </a:extLst>
        </xdr:cNvPr>
        <xdr:cNvSpPr txBox="1"/>
      </xdr:nvSpPr>
      <xdr:spPr>
        <a:xfrm>
          <a:off x="175053" y="2474570"/>
          <a:ext cx="909205" cy="326295"/>
        </a:xfrm>
        <a:prstGeom prst="rect">
          <a:avLst/>
        </a:prstGeom>
        <a:noFill/>
        <a:ln>
          <a:no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5177A45D-044B-472E-AFDA-F8158CBDF7C1}" type="TxLink">
            <a:rPr lang="en-US" sz="1800">
              <a:solidFill>
                <a:schemeClr val="lt1"/>
              </a:solidFill>
              <a:latin typeface="+mn-lt"/>
              <a:ea typeface="+mn-ea"/>
              <a:cs typeface="+mn-cs"/>
            </a:rPr>
            <a:pPr marL="0" indent="0" algn="l"/>
            <a:t>4.0</a:t>
          </a:fld>
          <a:endParaRPr lang="en-NG" sz="1800">
            <a:solidFill>
              <a:schemeClr val="lt1"/>
            </a:solidFill>
            <a:latin typeface="+mn-lt"/>
            <a:ea typeface="+mn-ea"/>
            <a:cs typeface="+mn-cs"/>
          </a:endParaRPr>
        </a:p>
      </xdr:txBody>
    </xdr:sp>
    <xdr:clientData/>
  </xdr:twoCellAnchor>
  <xdr:twoCellAnchor>
    <xdr:from>
      <xdr:col>0</xdr:col>
      <xdr:colOff>175053</xdr:colOff>
      <xdr:row>11</xdr:row>
      <xdr:rowOff>31752</xdr:rowOff>
    </xdr:from>
    <xdr:to>
      <xdr:col>1</xdr:col>
      <xdr:colOff>1007937</xdr:colOff>
      <xdr:row>14</xdr:row>
      <xdr:rowOff>0</xdr:rowOff>
    </xdr:to>
    <xdr:sp macro="" textlink="Workings!I4">
      <xdr:nvSpPr>
        <xdr:cNvPr id="9" name="TextBox 8">
          <a:extLst>
            <a:ext uri="{FF2B5EF4-FFF2-40B4-BE49-F238E27FC236}">
              <a16:creationId xmlns:a16="http://schemas.microsoft.com/office/drawing/2014/main" id="{E3FEF706-8BCD-402F-B0BE-4462603A1E50}"/>
            </a:ext>
          </a:extLst>
        </xdr:cNvPr>
        <xdr:cNvSpPr txBox="1"/>
      </xdr:nvSpPr>
      <xdr:spPr>
        <a:xfrm>
          <a:off x="175053" y="1957347"/>
          <a:ext cx="1007938" cy="493410"/>
        </a:xfrm>
        <a:prstGeom prst="rect">
          <a:avLst/>
        </a:prstGeom>
        <a:noFill/>
        <a:ln>
          <a:no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D9BA5955-B9B6-4F40-801F-6B9C151ACEC5}" type="TxLink">
            <a:rPr lang="en-US" sz="1800">
              <a:solidFill>
                <a:schemeClr val="lt1"/>
              </a:solidFill>
              <a:latin typeface="+mn-lt"/>
              <a:ea typeface="+mn-ea"/>
              <a:cs typeface="+mn-cs"/>
            </a:rPr>
            <a:pPr marL="0" indent="0" algn="l"/>
            <a:t>$649.0k</a:t>
          </a:fld>
          <a:endParaRPr lang="en-NG" sz="1800">
            <a:solidFill>
              <a:schemeClr val="lt1"/>
            </a:solidFill>
            <a:latin typeface="+mn-lt"/>
            <a:ea typeface="+mn-ea"/>
            <a:cs typeface="+mn-cs"/>
          </a:endParaRPr>
        </a:p>
      </xdr:txBody>
    </xdr:sp>
    <xdr:clientData/>
  </xdr:twoCellAnchor>
  <xdr:twoCellAnchor>
    <xdr:from>
      <xdr:col>0</xdr:col>
      <xdr:colOff>175053</xdr:colOff>
      <xdr:row>17</xdr:row>
      <xdr:rowOff>23812</xdr:rowOff>
    </xdr:from>
    <xdr:to>
      <xdr:col>1</xdr:col>
      <xdr:colOff>813954</xdr:colOff>
      <xdr:row>19</xdr:row>
      <xdr:rowOff>0</xdr:rowOff>
    </xdr:to>
    <xdr:sp macro="" textlink="Workings!L4">
      <xdr:nvSpPr>
        <xdr:cNvPr id="10" name="TextBox 9">
          <a:extLst>
            <a:ext uri="{FF2B5EF4-FFF2-40B4-BE49-F238E27FC236}">
              <a16:creationId xmlns:a16="http://schemas.microsoft.com/office/drawing/2014/main" id="{62EBA322-E9AA-40E3-860A-6F308B7DCE84}"/>
            </a:ext>
          </a:extLst>
        </xdr:cNvPr>
        <xdr:cNvSpPr txBox="1"/>
      </xdr:nvSpPr>
      <xdr:spPr>
        <a:xfrm>
          <a:off x="175053" y="2999731"/>
          <a:ext cx="813955" cy="326296"/>
        </a:xfrm>
        <a:prstGeom prst="rect">
          <a:avLst/>
        </a:prstGeom>
        <a:noFill/>
        <a:ln>
          <a:no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80517BA2-8448-4B9F-A835-0B7FCB4F9E2C}" type="TxLink">
            <a:rPr lang="en-US" sz="1800">
              <a:solidFill>
                <a:schemeClr val="lt1"/>
              </a:solidFill>
              <a:latin typeface="+mn-lt"/>
              <a:ea typeface="+mn-ea"/>
              <a:cs typeface="+mn-cs"/>
            </a:rPr>
            <a:pPr marL="0" indent="0" algn="l"/>
            <a:t>2.3</a:t>
          </a:fld>
          <a:endParaRPr lang="en-NG" sz="1800">
            <a:solidFill>
              <a:schemeClr val="lt1"/>
            </a:solidFill>
            <a:latin typeface="+mn-lt"/>
            <a:ea typeface="+mn-ea"/>
            <a:cs typeface="+mn-cs"/>
          </a:endParaRPr>
        </a:p>
      </xdr:txBody>
    </xdr:sp>
    <xdr:clientData/>
  </xdr:twoCellAnchor>
  <xdr:twoCellAnchor>
    <xdr:from>
      <xdr:col>0</xdr:col>
      <xdr:colOff>175053</xdr:colOff>
      <xdr:row>7</xdr:row>
      <xdr:rowOff>83345</xdr:rowOff>
    </xdr:from>
    <xdr:to>
      <xdr:col>1</xdr:col>
      <xdr:colOff>1030432</xdr:colOff>
      <xdr:row>9</xdr:row>
      <xdr:rowOff>1</xdr:rowOff>
    </xdr:to>
    <xdr:sp macro="" textlink="Workings!H4">
      <xdr:nvSpPr>
        <xdr:cNvPr id="11" name="TextBox 10">
          <a:extLst>
            <a:ext uri="{FF2B5EF4-FFF2-40B4-BE49-F238E27FC236}">
              <a16:creationId xmlns:a16="http://schemas.microsoft.com/office/drawing/2014/main" id="{A67467BD-E175-4F27-A44D-4CC9B130A3B9}"/>
            </a:ext>
          </a:extLst>
        </xdr:cNvPr>
        <xdr:cNvSpPr txBox="1"/>
      </xdr:nvSpPr>
      <xdr:spPr>
        <a:xfrm>
          <a:off x="175053" y="1308723"/>
          <a:ext cx="1030433" cy="266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A1B6DA2-7FC2-4D42-A7E8-8DC9F515A815}" type="TxLink">
            <a:rPr lang="en-US" sz="1800" b="0" i="0" u="none" strike="noStrike">
              <a:solidFill>
                <a:schemeClr val="bg1">
                  <a:lumMod val="95000"/>
                </a:schemeClr>
              </a:solidFill>
              <a:latin typeface="Aptos Narrow"/>
              <a:ea typeface="+mn-ea"/>
              <a:cs typeface="+mn-cs"/>
            </a:rPr>
            <a:pPr marL="0" indent="0"/>
            <a:t>11,997</a:t>
          </a:fld>
          <a:endParaRPr lang="en-NG" sz="1800" b="0" i="0" u="none" strike="noStrike">
            <a:solidFill>
              <a:schemeClr val="bg1">
                <a:lumMod val="95000"/>
              </a:schemeClr>
            </a:solidFill>
            <a:latin typeface="Aptos Narrow"/>
            <a:ea typeface="+mn-ea"/>
            <a:cs typeface="+mn-cs"/>
          </a:endParaRPr>
        </a:p>
      </xdr:txBody>
    </xdr:sp>
    <xdr:clientData/>
  </xdr:twoCellAnchor>
  <xdr:twoCellAnchor>
    <xdr:from>
      <xdr:col>0</xdr:col>
      <xdr:colOff>155865</xdr:colOff>
      <xdr:row>2</xdr:row>
      <xdr:rowOff>164522</xdr:rowOff>
    </xdr:from>
    <xdr:to>
      <xdr:col>1</xdr:col>
      <xdr:colOff>969819</xdr:colOff>
      <xdr:row>5</xdr:row>
      <xdr:rowOff>0</xdr:rowOff>
    </xdr:to>
    <xdr:sp macro="" textlink="">
      <xdr:nvSpPr>
        <xdr:cNvPr id="12" name="TextBox 11">
          <a:extLst>
            <a:ext uri="{FF2B5EF4-FFF2-40B4-BE49-F238E27FC236}">
              <a16:creationId xmlns:a16="http://schemas.microsoft.com/office/drawing/2014/main" id="{6C84945E-C79C-4A89-89B7-A1491F0402BB}"/>
            </a:ext>
          </a:extLst>
        </xdr:cNvPr>
        <xdr:cNvSpPr txBox="1"/>
      </xdr:nvSpPr>
      <xdr:spPr>
        <a:xfrm>
          <a:off x="155865" y="521710"/>
          <a:ext cx="992548" cy="371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🛒Orders</a:t>
          </a:r>
          <a:endParaRPr lang="en-NG" sz="1100">
            <a:solidFill>
              <a:schemeClr val="bg1"/>
            </a:solidFill>
          </a:endParaRPr>
        </a:p>
      </xdr:txBody>
    </xdr:sp>
    <xdr:clientData/>
  </xdr:twoCellAnchor>
  <xdr:twoCellAnchor>
    <xdr:from>
      <xdr:col>0</xdr:col>
      <xdr:colOff>155864</xdr:colOff>
      <xdr:row>6</xdr:row>
      <xdr:rowOff>35718</xdr:rowOff>
    </xdr:from>
    <xdr:to>
      <xdr:col>1</xdr:col>
      <xdr:colOff>937845</xdr:colOff>
      <xdr:row>8</xdr:row>
      <xdr:rowOff>0</xdr:rowOff>
    </xdr:to>
    <xdr:sp macro="" textlink="">
      <xdr:nvSpPr>
        <xdr:cNvPr id="14" name="TextBox 13">
          <a:extLst>
            <a:ext uri="{FF2B5EF4-FFF2-40B4-BE49-F238E27FC236}">
              <a16:creationId xmlns:a16="http://schemas.microsoft.com/office/drawing/2014/main" id="{139D1E0E-FAC8-4E1B-AD88-A424369DEC63}"/>
            </a:ext>
          </a:extLst>
        </xdr:cNvPr>
        <xdr:cNvSpPr txBox="1"/>
      </xdr:nvSpPr>
      <xdr:spPr>
        <a:xfrm>
          <a:off x="155864" y="1107281"/>
          <a:ext cx="960575" cy="32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t>
          </a:r>
          <a:r>
            <a:rPr lang="en-US"/>
            <a:t> </a:t>
          </a:r>
          <a:r>
            <a:rPr lang="en-US" sz="1100">
              <a:solidFill>
                <a:schemeClr val="bg1"/>
              </a:solidFill>
            </a:rPr>
            <a:t>Quantity</a:t>
          </a:r>
          <a:endParaRPr lang="en-NG" sz="1100">
            <a:solidFill>
              <a:schemeClr val="bg1"/>
            </a:solidFill>
          </a:endParaRPr>
        </a:p>
      </xdr:txBody>
    </xdr:sp>
    <xdr:clientData/>
  </xdr:twoCellAnchor>
  <xdr:twoCellAnchor>
    <xdr:from>
      <xdr:col>1</xdr:col>
      <xdr:colOff>0</xdr:colOff>
      <xdr:row>9</xdr:row>
      <xdr:rowOff>115457</xdr:rowOff>
    </xdr:from>
    <xdr:to>
      <xdr:col>1</xdr:col>
      <xdr:colOff>1309686</xdr:colOff>
      <xdr:row>12</xdr:row>
      <xdr:rowOff>0</xdr:rowOff>
    </xdr:to>
    <xdr:sp macro="" textlink="">
      <xdr:nvSpPr>
        <xdr:cNvPr id="16" name="TextBox 15">
          <a:extLst>
            <a:ext uri="{FF2B5EF4-FFF2-40B4-BE49-F238E27FC236}">
              <a16:creationId xmlns:a16="http://schemas.microsoft.com/office/drawing/2014/main" id="{AB822557-3ED5-4E2B-984C-04BB9091C5FD}"/>
            </a:ext>
          </a:extLst>
        </xdr:cNvPr>
        <xdr:cNvSpPr txBox="1"/>
      </xdr:nvSpPr>
      <xdr:spPr>
        <a:xfrm>
          <a:off x="178594" y="1722801"/>
          <a:ext cx="1309686" cy="420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a:solidFill>
                <a:schemeClr val="bg1"/>
              </a:solidFill>
            </a:rPr>
            <a:t>Amount</a:t>
          </a:r>
          <a:endParaRPr lang="en-NG" sz="1100">
            <a:solidFill>
              <a:schemeClr val="bg1"/>
            </a:solidFill>
          </a:endParaRPr>
        </a:p>
      </xdr:txBody>
    </xdr:sp>
    <xdr:clientData/>
  </xdr:twoCellAnchor>
  <xdr:twoCellAnchor>
    <xdr:from>
      <xdr:col>0</xdr:col>
      <xdr:colOff>155865</xdr:colOff>
      <xdr:row>13</xdr:row>
      <xdr:rowOff>51957</xdr:rowOff>
    </xdr:from>
    <xdr:to>
      <xdr:col>1</xdr:col>
      <xdr:colOff>1065069</xdr:colOff>
      <xdr:row>14</xdr:row>
      <xdr:rowOff>164525</xdr:rowOff>
    </xdr:to>
    <xdr:sp macro="" textlink="">
      <xdr:nvSpPr>
        <xdr:cNvPr id="18" name="TextBox 17">
          <a:extLst>
            <a:ext uri="{FF2B5EF4-FFF2-40B4-BE49-F238E27FC236}">
              <a16:creationId xmlns:a16="http://schemas.microsoft.com/office/drawing/2014/main" id="{1C9AFF2B-FF01-4EF8-BF66-7B7716D66A61}"/>
            </a:ext>
          </a:extLst>
        </xdr:cNvPr>
        <xdr:cNvSpPr txBox="1"/>
      </xdr:nvSpPr>
      <xdr:spPr>
        <a:xfrm>
          <a:off x="155865" y="2303321"/>
          <a:ext cx="1082386"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a:solidFill>
                <a:schemeClr val="bg1"/>
              </a:solidFill>
            </a:rPr>
            <a:t>Avg.Rating</a:t>
          </a:r>
          <a:endParaRPr lang="en-NG" sz="1100">
            <a:solidFill>
              <a:schemeClr val="bg1"/>
            </a:solidFill>
          </a:endParaRPr>
        </a:p>
      </xdr:txBody>
    </xdr:sp>
    <xdr:clientData/>
  </xdr:twoCellAnchor>
  <xdr:twoCellAnchor>
    <xdr:from>
      <xdr:col>1</xdr:col>
      <xdr:colOff>0</xdr:colOff>
      <xdr:row>16</xdr:row>
      <xdr:rowOff>40411</xdr:rowOff>
    </xdr:from>
    <xdr:to>
      <xdr:col>2</xdr:col>
      <xdr:colOff>0</xdr:colOff>
      <xdr:row>18</xdr:row>
      <xdr:rowOff>0</xdr:rowOff>
    </xdr:to>
    <xdr:sp macro="" textlink="">
      <xdr:nvSpPr>
        <xdr:cNvPr id="19" name="TextBox 18">
          <a:extLst>
            <a:ext uri="{FF2B5EF4-FFF2-40B4-BE49-F238E27FC236}">
              <a16:creationId xmlns:a16="http://schemas.microsoft.com/office/drawing/2014/main" id="{1B391295-8A09-47A5-A30A-A57FBACE027A}"/>
            </a:ext>
          </a:extLst>
        </xdr:cNvPr>
        <xdr:cNvSpPr txBox="1"/>
      </xdr:nvSpPr>
      <xdr:spPr>
        <a:xfrm>
          <a:off x="178594" y="2897911"/>
          <a:ext cx="1309687" cy="316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a:solidFill>
                <a:schemeClr val="bg1"/>
              </a:solidFill>
            </a:rPr>
            <a:t>Avg.Days</a:t>
          </a:r>
          <a:endParaRPr lang="en-NG" sz="1100">
            <a:solidFill>
              <a:schemeClr val="bg1"/>
            </a:solidFill>
          </a:endParaRPr>
        </a:p>
      </xdr:txBody>
    </xdr:sp>
    <xdr:clientData/>
  </xdr:twoCellAnchor>
  <xdr:twoCellAnchor>
    <xdr:from>
      <xdr:col>3</xdr:col>
      <xdr:colOff>233581</xdr:colOff>
      <xdr:row>1</xdr:row>
      <xdr:rowOff>83345</xdr:rowOff>
    </xdr:from>
    <xdr:to>
      <xdr:col>11</xdr:col>
      <xdr:colOff>151451</xdr:colOff>
      <xdr:row>14</xdr:row>
      <xdr:rowOff>164989</xdr:rowOff>
    </xdr:to>
    <xdr:graphicFrame macro="">
      <xdr:nvGraphicFramePr>
        <xdr:cNvPr id="7" name="Chart 3">
          <a:extLst>
            <a:ext uri="{FF2B5EF4-FFF2-40B4-BE49-F238E27FC236}">
              <a16:creationId xmlns:a16="http://schemas.microsoft.com/office/drawing/2014/main" id="{EE19CC42-8E3C-4D31-95C3-9B56293E69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502920</xdr:colOff>
      <xdr:row>1</xdr:row>
      <xdr:rowOff>83345</xdr:rowOff>
    </xdr:from>
    <xdr:to>
      <xdr:col>19</xdr:col>
      <xdr:colOff>261938</xdr:colOff>
      <xdr:row>15</xdr:row>
      <xdr:rowOff>27279</xdr:rowOff>
    </xdr:to>
    <xdr:sp macro="" textlink="">
      <xdr:nvSpPr>
        <xdr:cNvPr id="13" name="Rectangle 12">
          <a:extLst>
            <a:ext uri="{FF2B5EF4-FFF2-40B4-BE49-F238E27FC236}">
              <a16:creationId xmlns:a16="http://schemas.microsoft.com/office/drawing/2014/main" id="{B75682C2-F61E-4EB8-A331-B8670AD7364F}"/>
            </a:ext>
          </a:extLst>
        </xdr:cNvPr>
        <xdr:cNvSpPr/>
      </xdr:nvSpPr>
      <xdr:spPr>
        <a:xfrm>
          <a:off x="7469777" y="260238"/>
          <a:ext cx="5093018" cy="2420434"/>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13</xdr:col>
      <xdr:colOff>70736</xdr:colOff>
      <xdr:row>3</xdr:row>
      <xdr:rowOff>79737</xdr:rowOff>
    </xdr:from>
    <xdr:to>
      <xdr:col>17</xdr:col>
      <xdr:colOff>651453</xdr:colOff>
      <xdr:row>14</xdr:row>
      <xdr:rowOff>62595</xdr:rowOff>
    </xdr:to>
    <xdr:pic>
      <xdr:nvPicPr>
        <xdr:cNvPr id="33" name="Picture 32">
          <a:extLst>
            <a:ext uri="{FF2B5EF4-FFF2-40B4-BE49-F238E27FC236}">
              <a16:creationId xmlns:a16="http://schemas.microsoft.com/office/drawing/2014/main" id="{8C7CF212-FF11-41E3-9FBD-5E2D050C95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52736" y="595931"/>
          <a:ext cx="3284588" cy="18755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0</xdr:colOff>
      <xdr:row>1</xdr:row>
      <xdr:rowOff>83345</xdr:rowOff>
    </xdr:from>
    <xdr:to>
      <xdr:col>27</xdr:col>
      <xdr:colOff>125692</xdr:colOff>
      <xdr:row>15</xdr:row>
      <xdr:rowOff>29495</xdr:rowOff>
    </xdr:to>
    <xdr:graphicFrame macro="">
      <xdr:nvGraphicFramePr>
        <xdr:cNvPr id="15" name="Chart 11">
          <a:extLst>
            <a:ext uri="{FF2B5EF4-FFF2-40B4-BE49-F238E27FC236}">
              <a16:creationId xmlns:a16="http://schemas.microsoft.com/office/drawing/2014/main" id="{CBB9236E-1DAA-45B4-93D3-D4DE3A3B73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233581</xdr:colOff>
      <xdr:row>16</xdr:row>
      <xdr:rowOff>20594</xdr:rowOff>
    </xdr:from>
    <xdr:to>
      <xdr:col>11</xdr:col>
      <xdr:colOff>130969</xdr:colOff>
      <xdr:row>41</xdr:row>
      <xdr:rowOff>138545</xdr:rowOff>
    </xdr:to>
    <xdr:graphicFrame macro="">
      <xdr:nvGraphicFramePr>
        <xdr:cNvPr id="34" name="Chart 14">
          <a:extLst>
            <a:ext uri="{FF2B5EF4-FFF2-40B4-BE49-F238E27FC236}">
              <a16:creationId xmlns:a16="http://schemas.microsoft.com/office/drawing/2014/main" id="{0FC3B1FB-97F8-4328-9A61-EF6B1E2582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322385</xdr:colOff>
      <xdr:row>32</xdr:row>
      <xdr:rowOff>87923</xdr:rowOff>
    </xdr:from>
    <xdr:to>
      <xdr:col>9</xdr:col>
      <xdr:colOff>110436</xdr:colOff>
      <xdr:row>40</xdr:row>
      <xdr:rowOff>105842</xdr:rowOff>
    </xdr:to>
    <xdr:graphicFrame macro="">
      <xdr:nvGraphicFramePr>
        <xdr:cNvPr id="40" name="Chart 16">
          <a:extLst>
            <a:ext uri="{FF2B5EF4-FFF2-40B4-BE49-F238E27FC236}">
              <a16:creationId xmlns:a16="http://schemas.microsoft.com/office/drawing/2014/main" id="{19DB133D-FEF1-4881-8424-82963EC3C1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14942</xdr:colOff>
      <xdr:row>16</xdr:row>
      <xdr:rowOff>17241</xdr:rowOff>
    </xdr:from>
    <xdr:to>
      <xdr:col>27</xdr:col>
      <xdr:colOff>125693</xdr:colOff>
      <xdr:row>27</xdr:row>
      <xdr:rowOff>70963</xdr:rowOff>
    </xdr:to>
    <xdr:graphicFrame macro="">
      <xdr:nvGraphicFramePr>
        <xdr:cNvPr id="2" name="Chart 22">
          <a:extLst>
            <a:ext uri="{FF2B5EF4-FFF2-40B4-BE49-F238E27FC236}">
              <a16:creationId xmlns:a16="http://schemas.microsoft.com/office/drawing/2014/main" id="{FF02C034-B8D3-4CF0-AA88-BE658D2E3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0</xdr:colOff>
      <xdr:row>27</xdr:row>
      <xdr:rowOff>122824</xdr:rowOff>
    </xdr:from>
    <xdr:to>
      <xdr:col>27</xdr:col>
      <xdr:colOff>125692</xdr:colOff>
      <xdr:row>41</xdr:row>
      <xdr:rowOff>95251</xdr:rowOff>
    </xdr:to>
    <xdr:graphicFrame macro="">
      <xdr:nvGraphicFramePr>
        <xdr:cNvPr id="3" name="Chart 23">
          <a:extLst>
            <a:ext uri="{FF2B5EF4-FFF2-40B4-BE49-F238E27FC236}">
              <a16:creationId xmlns:a16="http://schemas.microsoft.com/office/drawing/2014/main" id="{92C9A8FF-FA65-49E1-98F4-971EF87DD3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117231</xdr:colOff>
      <xdr:row>20</xdr:row>
      <xdr:rowOff>35170</xdr:rowOff>
    </xdr:from>
    <xdr:to>
      <xdr:col>2</xdr:col>
      <xdr:colOff>119063</xdr:colOff>
      <xdr:row>28</xdr:row>
      <xdr:rowOff>59531</xdr:rowOff>
    </xdr:to>
    <mc:AlternateContent xmlns:mc="http://schemas.openxmlformats.org/markup-compatibility/2006" xmlns:a14="http://schemas.microsoft.com/office/drawing/2010/main">
      <mc:Choice Requires="a14">
        <xdr:graphicFrame macro="">
          <xdr:nvGraphicFramePr>
            <xdr:cNvPr id="24" name="Gender Value">
              <a:extLst>
                <a:ext uri="{FF2B5EF4-FFF2-40B4-BE49-F238E27FC236}">
                  <a16:creationId xmlns:a16="http://schemas.microsoft.com/office/drawing/2014/main" id="{406B74D7-4FA7-4A0E-94C8-3DA41E08CC51}"/>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17231" y="3607045"/>
              <a:ext cx="1490113" cy="14531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83344</xdr:colOff>
      <xdr:row>29</xdr:row>
      <xdr:rowOff>11905</xdr:rowOff>
    </xdr:from>
    <xdr:to>
      <xdr:col>2</xdr:col>
      <xdr:colOff>142875</xdr:colOff>
      <xdr:row>41</xdr:row>
      <xdr:rowOff>113270</xdr:rowOff>
    </xdr:to>
    <mc:AlternateContent xmlns:mc="http://schemas.openxmlformats.org/markup-compatibility/2006" xmlns:a14="http://schemas.microsoft.com/office/drawing/2010/main">
      <mc:Choice Requires="a14">
        <xdr:graphicFrame macro="">
          <xdr:nvGraphicFramePr>
            <xdr:cNvPr id="25" name="Order Mode">
              <a:extLst>
                <a:ext uri="{FF2B5EF4-FFF2-40B4-BE49-F238E27FC236}">
                  <a16:creationId xmlns:a16="http://schemas.microsoft.com/office/drawing/2014/main" id="{A08C5D92-6B6E-40F1-BBFB-F36B9AD3AF60}"/>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83344" y="5191124"/>
              <a:ext cx="1547812" cy="19645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59881</xdr:colOff>
      <xdr:row>0</xdr:row>
      <xdr:rowOff>71718</xdr:rowOff>
    </xdr:from>
    <xdr:to>
      <xdr:col>1</xdr:col>
      <xdr:colOff>1147413</xdr:colOff>
      <xdr:row>2</xdr:row>
      <xdr:rowOff>8965</xdr:rowOff>
    </xdr:to>
    <xdr:pic>
      <xdr:nvPicPr>
        <xdr:cNvPr id="26" name="Picture 25">
          <a:extLst>
            <a:ext uri="{FF2B5EF4-FFF2-40B4-BE49-F238E27FC236}">
              <a16:creationId xmlns:a16="http://schemas.microsoft.com/office/drawing/2014/main" id="{07C4C405-B06B-49AB-ABAB-E5C00C349AC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239175" y="71718"/>
          <a:ext cx="1087532" cy="295835"/>
        </a:xfrm>
        <a:prstGeom prst="rect">
          <a:avLst/>
        </a:prstGeom>
        <a:solidFill>
          <a:schemeClr val="tx2">
            <a:lumMod val="90000"/>
            <a:lumOff val="10000"/>
          </a:schemeClr>
        </a:solidFill>
      </xdr:spPr>
    </xdr:pic>
    <xdr:clientData/>
  </xdr:twoCellAnchor>
  <xdr:twoCellAnchor>
    <xdr:from>
      <xdr:col>11</xdr:col>
      <xdr:colOff>515764</xdr:colOff>
      <xdr:row>16</xdr:row>
      <xdr:rowOff>36960</xdr:rowOff>
    </xdr:from>
    <xdr:to>
      <xdr:col>19</xdr:col>
      <xdr:colOff>258536</xdr:colOff>
      <xdr:row>41</xdr:row>
      <xdr:rowOff>107156</xdr:rowOff>
    </xdr:to>
    <mc:AlternateContent xmlns:mc="http://schemas.openxmlformats.org/markup-compatibility/2006">
      <mc:Choice xmlns:cx4="http://schemas.microsoft.com/office/drawing/2016/5/10/chartex" Requires="cx4">
        <xdr:graphicFrame macro="">
          <xdr:nvGraphicFramePr>
            <xdr:cNvPr id="20" name="Chart 56">
              <a:extLst>
                <a:ext uri="{FF2B5EF4-FFF2-40B4-BE49-F238E27FC236}">
                  <a16:creationId xmlns:a16="http://schemas.microsoft.com/office/drawing/2014/main" id="{B0B94E7F-8A3C-4A8C-B67E-AE6ABFD50E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571500</xdr:colOff>
      <xdr:row>25</xdr:row>
      <xdr:rowOff>108398</xdr:rowOff>
    </xdr:from>
    <xdr:to>
      <xdr:col>19</xdr:col>
      <xdr:colOff>146538</xdr:colOff>
      <xdr:row>33</xdr:row>
      <xdr:rowOff>119063</xdr:rowOff>
    </xdr:to>
    <mc:AlternateContent xmlns:mc="http://schemas.openxmlformats.org/markup-compatibility/2006">
      <mc:Choice xmlns:cx4="http://schemas.microsoft.com/office/drawing/2016/5/10/chartex" Requires="cx4">
        <xdr:graphicFrame macro="">
          <xdr:nvGraphicFramePr>
            <xdr:cNvPr id="21" name="Chart 57">
              <a:extLst>
                <a:ext uri="{FF2B5EF4-FFF2-40B4-BE49-F238E27FC236}">
                  <a16:creationId xmlns:a16="http://schemas.microsoft.com/office/drawing/2014/main" id="{252CCC67-520D-42FC-82D8-F55C585EE7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551447</xdr:colOff>
      <xdr:row>2</xdr:row>
      <xdr:rowOff>8861</xdr:rowOff>
    </xdr:from>
    <xdr:to>
      <xdr:col>17</xdr:col>
      <xdr:colOff>444500</xdr:colOff>
      <xdr:row>3</xdr:row>
      <xdr:rowOff>116417</xdr:rowOff>
    </xdr:to>
    <xdr:sp macro="" textlink="">
      <xdr:nvSpPr>
        <xdr:cNvPr id="17" name="TextBox 16">
          <a:extLst>
            <a:ext uri="{FF2B5EF4-FFF2-40B4-BE49-F238E27FC236}">
              <a16:creationId xmlns:a16="http://schemas.microsoft.com/office/drawing/2014/main" id="{B2A1D577-8BCA-4E7D-88A8-503FE416858C}"/>
            </a:ext>
          </a:extLst>
        </xdr:cNvPr>
        <xdr:cNvSpPr txBox="1"/>
      </xdr:nvSpPr>
      <xdr:spPr>
        <a:xfrm>
          <a:off x="8859364" y="368694"/>
          <a:ext cx="2560053" cy="287473"/>
        </a:xfrm>
        <a:prstGeom prst="rect">
          <a:avLst/>
        </a:prstGeom>
        <a:solidFill>
          <a:srgbClr val="F9843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Customer</a:t>
          </a:r>
          <a:r>
            <a:rPr lang="en-US" sz="1400" baseline="0"/>
            <a:t> Purchasing Preference</a:t>
          </a:r>
          <a:endParaRPr lang="en-US" sz="1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viour Micheal" refreshedDate="46061.757275694443" createdVersion="7" refreshedVersion="7" minRefreshableVersion="3" recordCount="2400" xr:uid="{8276A148-0A04-4A96-8A32-5C7D3C1DD7D2}">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6"/>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Ship Date" numFmtId="15">
      <sharedItems containsSemiMixedTypes="0" containsNonDate="0" containsDate="1" containsString="0" minDate="2025-01-02T00:00:00" maxDate="2025-04-11T00:00:00" count="96">
        <d v="2025-01-06T00:00:00"/>
        <d v="2025-01-03T00:00:00"/>
        <d v="2025-01-04T00:00:00"/>
        <d v="2025-01-02T00:00:00"/>
        <d v="2025-01-07T00:00:00"/>
        <d v="2025-01-05T00:00:00"/>
        <d v="2025-01-08T00:00:00"/>
        <d v="2025-01-11T00:00:00"/>
        <d v="2025-01-09T00:00:00"/>
        <d v="2025-01-10T00:00:00"/>
        <d v="2025-01-17T00:00:00"/>
        <d v="2025-01-15T00:00:00"/>
        <d v="2025-01-12T00:00:00"/>
        <d v="2025-01-18T00:00:00"/>
        <d v="2025-01-13T00:00:00"/>
        <d v="2025-01-16T00:00:00"/>
        <d v="2025-01-14T00:00:00"/>
        <d v="2025-01-25T00:00:00"/>
        <d v="2025-01-19T00:00:00"/>
        <d v="2025-01-26T00:00:00"/>
        <d v="2025-01-21T00:00:00"/>
        <d v="2025-01-20T00:00:00"/>
        <d v="2025-01-27T00:00:00"/>
        <d v="2025-01-23T00:00:00"/>
        <d v="2025-01-22T00:00:00"/>
        <d v="2025-01-24T00:00:00"/>
        <d v="2025-01-30T00:00:00"/>
        <d v="2025-01-31T00:00:00"/>
        <d v="2025-01-29T00:00:00"/>
        <d v="2025-01-28T00:00:00"/>
        <d v="2025-02-01T00:00:00"/>
        <d v="2025-02-07T00:00:00"/>
        <d v="2025-02-04T00:00:00"/>
        <d v="2025-02-02T00:00:00"/>
        <d v="2025-02-03T00:00:00"/>
        <d v="2025-02-09T00:00:00"/>
        <d v="2025-02-05T00:00:00"/>
        <d v="2025-02-10T00:00:00"/>
        <d v="2025-02-06T00:00:00"/>
        <d v="2025-02-08T00:00:00"/>
        <d v="2025-02-11T00:00:00"/>
        <d v="2025-02-16T00:00:00"/>
        <d v="2025-02-14T00:00:00"/>
        <d v="2025-02-17T00:00:00"/>
        <d v="2025-02-12T00:00:00"/>
        <d v="2025-02-13T00:00:00"/>
        <d v="2025-02-19T00:00:00"/>
        <d v="2025-02-21T00:00:00"/>
        <d v="2025-02-15T00:00:00"/>
        <d v="2025-02-20T00:00:00"/>
        <d v="2025-02-18T00:00:00"/>
        <d v="2025-02-25T00:00:00"/>
        <d v="2025-02-26T00:00:00"/>
        <d v="2025-02-27T00:00:00"/>
        <d v="2025-02-24T00:00:00"/>
        <d v="2025-02-23T00:00:00"/>
        <d v="2025-02-22T00:00:00"/>
        <d v="2025-03-02T00:00:00"/>
        <d v="2025-02-28T00:00:00"/>
        <d v="2025-03-01T00:00:00"/>
        <d v="2025-03-09T00:00:00"/>
        <d v="2025-03-04T00:00:00"/>
        <d v="2025-03-03T00:00:00"/>
        <d v="2025-03-05T00:00:00"/>
        <d v="2025-03-13T00:00:00"/>
        <d v="2025-03-10T00:00:00"/>
        <d v="2025-03-06T00:00:00"/>
        <d v="2025-03-14T00:00:00"/>
        <d v="2025-03-07T00:00:00"/>
        <d v="2025-03-16T00:00:00"/>
        <d v="2025-03-08T00:00:00"/>
        <d v="2025-03-11T00:00:00"/>
        <d v="2025-03-15T00:00:00"/>
        <d v="2025-03-18T00:00:00"/>
        <d v="2025-03-12T00:00:00"/>
        <d v="2025-03-21T00:00:00"/>
        <d v="2025-03-17T00:00:00"/>
        <d v="2025-03-24T00:00:00"/>
        <d v="2025-03-20T00:00:00"/>
        <d v="2025-03-23T00:00:00"/>
        <d v="2025-03-22T00:00:00"/>
        <d v="2025-03-26T00:00:00"/>
        <d v="2025-03-25T00:00:00"/>
        <d v="2025-03-19T00:00:00"/>
        <d v="2025-04-01T00:00:00"/>
        <d v="2025-04-03T00:00:00"/>
        <d v="2025-03-28T00:00:00"/>
        <d v="2025-03-27T00:00:00"/>
        <d v="2025-03-31T00:00:00"/>
        <d v="2025-03-30T00:00:00"/>
        <d v="2025-03-29T00:00:00"/>
        <d v="2025-04-09T00:00:00"/>
        <d v="2025-04-02T00:00:00"/>
        <d v="2025-04-05T00:00:00"/>
        <d v="2025-04-10T00:00:00"/>
        <d v="2025-04-04T00:00:00"/>
      </sharedItems>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Column1" numFmtId="0">
      <sharedItems count="58">
        <s v="Alpine "/>
        <s v="Contra Costa "/>
        <s v="Fresno "/>
        <s v="Los Angeles "/>
        <s v="Nevada "/>
        <s v="Placer "/>
        <s v="Sacramento "/>
        <s v="San Bernardino "/>
        <s v="San Diego "/>
        <s v="San Mateo "/>
        <s v="Santa Barbara "/>
        <s v="Santa Clara "/>
        <s v="Tehama "/>
        <s v="Ventura "/>
        <s v="Calaveras "/>
        <s v="Inyo "/>
        <s v="Napa "/>
        <s v="San Francisco"/>
        <s v="Sonoma "/>
        <s v="Stanislaus "/>
        <s v="Tulare "/>
        <s v="Alameda "/>
        <s v="Kern "/>
        <s v="Riverside "/>
        <s v="Merced "/>
        <s v="Orange "/>
        <s v="San Joaquin "/>
        <s v="Glenn "/>
        <s v="Yolo "/>
        <s v="Mendocino "/>
        <s v="Siskiyou "/>
        <s v="Sutter "/>
        <s v="Santa Cruz "/>
        <s v="Imperial "/>
        <s v="Kings "/>
        <s v="Plumas "/>
        <s v="San Benito "/>
        <s v="Madera "/>
        <s v="Solano "/>
        <s v="Modoc "/>
        <s v="Mariposa "/>
        <s v="San Luis Obispo "/>
        <s v="El Dorado "/>
        <s v="Marin "/>
        <s v="Humboldt "/>
        <s v="Trinity "/>
        <s v="Amador "/>
        <s v="Mono "/>
        <s v="Sierra "/>
        <s v="Monterey "/>
        <s v="Lake "/>
        <s v="Butte "/>
        <s v="Tuolumne "/>
        <s v="Shasta "/>
        <s v="Colusa "/>
        <s v="Lassen "/>
        <s v="Yuba "/>
        <s v="Del Norte "/>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Months"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4063757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x v="0"/>
    <x v="0"/>
    <x v="0"/>
    <x v="0"/>
    <x v="0"/>
    <x v="0"/>
    <x v="0"/>
    <x v="0"/>
    <x v="0"/>
    <x v="0"/>
  </r>
  <r>
    <x v="1"/>
    <x v="1"/>
    <x v="1"/>
    <n v="30.6"/>
    <n v="61.2"/>
    <x v="0"/>
    <x v="1"/>
    <x v="1"/>
    <x v="0"/>
    <x v="0"/>
    <x v="0"/>
    <x v="1"/>
    <x v="1"/>
    <x v="0"/>
    <x v="1"/>
    <x v="1"/>
  </r>
  <r>
    <x v="2"/>
    <x v="2"/>
    <x v="2"/>
    <n v="109.4"/>
    <n v="328.20000000000005"/>
    <x v="0"/>
    <x v="2"/>
    <x v="2"/>
    <x v="0"/>
    <x v="1"/>
    <x v="0"/>
    <x v="2"/>
    <x v="2"/>
    <x v="0"/>
    <x v="2"/>
    <x v="2"/>
  </r>
  <r>
    <x v="3"/>
    <x v="3"/>
    <x v="3"/>
    <n v="37.700000000000003"/>
    <n v="263.90000000000003"/>
    <x v="0"/>
    <x v="3"/>
    <x v="2"/>
    <x v="0"/>
    <x v="0"/>
    <x v="0"/>
    <x v="2"/>
    <x v="3"/>
    <x v="0"/>
    <x v="2"/>
    <x v="2"/>
  </r>
  <r>
    <x v="4"/>
    <x v="4"/>
    <x v="2"/>
    <n v="56.7"/>
    <n v="170.10000000000002"/>
    <x v="0"/>
    <x v="2"/>
    <x v="2"/>
    <x v="0"/>
    <x v="2"/>
    <x v="0"/>
    <x v="3"/>
    <x v="2"/>
    <x v="0"/>
    <x v="2"/>
    <x v="3"/>
  </r>
  <r>
    <x v="5"/>
    <x v="1"/>
    <x v="4"/>
    <n v="83.5"/>
    <n v="1002"/>
    <x v="0"/>
    <x v="2"/>
    <x v="1"/>
    <x v="1"/>
    <x v="0"/>
    <x v="0"/>
    <x v="3"/>
    <x v="2"/>
    <x v="0"/>
    <x v="1"/>
    <x v="3"/>
  </r>
  <r>
    <x v="6"/>
    <x v="5"/>
    <x v="0"/>
    <n v="55.3"/>
    <n v="55.3"/>
    <x v="0"/>
    <x v="3"/>
    <x v="2"/>
    <x v="0"/>
    <x v="0"/>
    <x v="0"/>
    <x v="3"/>
    <x v="3"/>
    <x v="0"/>
    <x v="2"/>
    <x v="3"/>
  </r>
  <r>
    <x v="7"/>
    <x v="6"/>
    <x v="1"/>
    <n v="40.299999999999997"/>
    <n v="80.599999999999994"/>
    <x v="0"/>
    <x v="3"/>
    <x v="1"/>
    <x v="2"/>
    <x v="2"/>
    <x v="0"/>
    <x v="3"/>
    <x v="3"/>
    <x v="0"/>
    <x v="1"/>
    <x v="3"/>
  </r>
  <r>
    <x v="8"/>
    <x v="7"/>
    <x v="5"/>
    <n v="35.700000000000003"/>
    <n v="392.70000000000005"/>
    <x v="0"/>
    <x v="3"/>
    <x v="2"/>
    <x v="0"/>
    <x v="0"/>
    <x v="0"/>
    <x v="3"/>
    <x v="3"/>
    <x v="0"/>
    <x v="2"/>
    <x v="3"/>
  </r>
  <r>
    <x v="9"/>
    <x v="8"/>
    <x v="3"/>
    <n v="22.4"/>
    <n v="156.79999999999998"/>
    <x v="0"/>
    <x v="2"/>
    <x v="1"/>
    <x v="0"/>
    <x v="1"/>
    <x v="0"/>
    <x v="3"/>
    <x v="2"/>
    <x v="0"/>
    <x v="1"/>
    <x v="3"/>
  </r>
  <r>
    <x v="10"/>
    <x v="9"/>
    <x v="1"/>
    <n v="54.4"/>
    <n v="108.8"/>
    <x v="0"/>
    <x v="4"/>
    <x v="2"/>
    <x v="0"/>
    <x v="0"/>
    <x v="0"/>
    <x v="3"/>
    <x v="4"/>
    <x v="0"/>
    <x v="2"/>
    <x v="3"/>
  </r>
  <r>
    <x v="11"/>
    <x v="9"/>
    <x v="1"/>
    <n v="49"/>
    <n v="98"/>
    <x v="0"/>
    <x v="1"/>
    <x v="2"/>
    <x v="2"/>
    <x v="1"/>
    <x v="0"/>
    <x v="3"/>
    <x v="1"/>
    <x v="0"/>
    <x v="2"/>
    <x v="3"/>
  </r>
  <r>
    <x v="12"/>
    <x v="5"/>
    <x v="3"/>
    <n v="118.6"/>
    <n v="830.19999999999993"/>
    <x v="0"/>
    <x v="5"/>
    <x v="2"/>
    <x v="1"/>
    <x v="0"/>
    <x v="0"/>
    <x v="4"/>
    <x v="5"/>
    <x v="0"/>
    <x v="2"/>
    <x v="4"/>
  </r>
  <r>
    <x v="13"/>
    <x v="6"/>
    <x v="6"/>
    <n v="88.4"/>
    <n v="2386.8000000000002"/>
    <x v="0"/>
    <x v="6"/>
    <x v="1"/>
    <x v="3"/>
    <x v="0"/>
    <x v="0"/>
    <x v="5"/>
    <x v="6"/>
    <x v="0"/>
    <x v="1"/>
    <x v="5"/>
  </r>
  <r>
    <x v="14"/>
    <x v="10"/>
    <x v="0"/>
    <n v="66.7"/>
    <n v="66.7"/>
    <x v="0"/>
    <x v="2"/>
    <x v="1"/>
    <x v="0"/>
    <x v="0"/>
    <x v="0"/>
    <x v="6"/>
    <x v="2"/>
    <x v="0"/>
    <x v="1"/>
    <x v="6"/>
  </r>
  <r>
    <x v="15"/>
    <x v="9"/>
    <x v="7"/>
    <n v="30.9"/>
    <n v="309"/>
    <x v="0"/>
    <x v="3"/>
    <x v="1"/>
    <x v="1"/>
    <x v="2"/>
    <x v="0"/>
    <x v="6"/>
    <x v="3"/>
    <x v="0"/>
    <x v="1"/>
    <x v="6"/>
  </r>
  <r>
    <x v="16"/>
    <x v="4"/>
    <x v="2"/>
    <n v="31.1"/>
    <n v="93.300000000000011"/>
    <x v="0"/>
    <x v="3"/>
    <x v="2"/>
    <x v="0"/>
    <x v="1"/>
    <x v="0"/>
    <x v="6"/>
    <x v="3"/>
    <x v="0"/>
    <x v="2"/>
    <x v="6"/>
  </r>
  <r>
    <x v="17"/>
    <x v="7"/>
    <x v="2"/>
    <n v="36.6"/>
    <n v="109.80000000000001"/>
    <x v="0"/>
    <x v="2"/>
    <x v="2"/>
    <x v="0"/>
    <x v="0"/>
    <x v="0"/>
    <x v="7"/>
    <x v="2"/>
    <x v="0"/>
    <x v="2"/>
    <x v="7"/>
  </r>
  <r>
    <x v="18"/>
    <x v="6"/>
    <x v="8"/>
    <n v="51.1"/>
    <n v="408.8"/>
    <x v="0"/>
    <x v="2"/>
    <x v="2"/>
    <x v="2"/>
    <x v="3"/>
    <x v="0"/>
    <x v="7"/>
    <x v="2"/>
    <x v="0"/>
    <x v="2"/>
    <x v="7"/>
  </r>
  <r>
    <x v="19"/>
    <x v="9"/>
    <x v="0"/>
    <n v="25.2"/>
    <n v="25.2"/>
    <x v="0"/>
    <x v="3"/>
    <x v="2"/>
    <x v="1"/>
    <x v="2"/>
    <x v="0"/>
    <x v="8"/>
    <x v="3"/>
    <x v="0"/>
    <x v="2"/>
    <x v="8"/>
  </r>
  <r>
    <x v="20"/>
    <x v="9"/>
    <x v="9"/>
    <n v="43.8"/>
    <n v="219"/>
    <x v="0"/>
    <x v="2"/>
    <x v="2"/>
    <x v="2"/>
    <x v="0"/>
    <x v="0"/>
    <x v="8"/>
    <x v="2"/>
    <x v="0"/>
    <x v="2"/>
    <x v="8"/>
  </r>
  <r>
    <x v="21"/>
    <x v="8"/>
    <x v="4"/>
    <n v="46.7"/>
    <n v="560.40000000000009"/>
    <x v="0"/>
    <x v="3"/>
    <x v="2"/>
    <x v="1"/>
    <x v="1"/>
    <x v="0"/>
    <x v="8"/>
    <x v="3"/>
    <x v="0"/>
    <x v="2"/>
    <x v="8"/>
  </r>
  <r>
    <x v="22"/>
    <x v="3"/>
    <x v="10"/>
    <n v="79.900000000000006"/>
    <n v="1518.1000000000001"/>
    <x v="0"/>
    <x v="3"/>
    <x v="1"/>
    <x v="0"/>
    <x v="2"/>
    <x v="0"/>
    <x v="8"/>
    <x v="3"/>
    <x v="0"/>
    <x v="1"/>
    <x v="8"/>
  </r>
  <r>
    <x v="23"/>
    <x v="11"/>
    <x v="8"/>
    <n v="26.4"/>
    <n v="211.2"/>
    <x v="0"/>
    <x v="3"/>
    <x v="2"/>
    <x v="3"/>
    <x v="0"/>
    <x v="0"/>
    <x v="8"/>
    <x v="3"/>
    <x v="0"/>
    <x v="2"/>
    <x v="8"/>
  </r>
  <r>
    <x v="24"/>
    <x v="12"/>
    <x v="8"/>
    <n v="88.8"/>
    <n v="710.4"/>
    <x v="0"/>
    <x v="3"/>
    <x v="2"/>
    <x v="4"/>
    <x v="0"/>
    <x v="0"/>
    <x v="8"/>
    <x v="3"/>
    <x v="0"/>
    <x v="2"/>
    <x v="8"/>
  </r>
  <r>
    <x v="25"/>
    <x v="0"/>
    <x v="7"/>
    <n v="17.5"/>
    <n v="175"/>
    <x v="0"/>
    <x v="3"/>
    <x v="2"/>
    <x v="2"/>
    <x v="0"/>
    <x v="0"/>
    <x v="9"/>
    <x v="3"/>
    <x v="0"/>
    <x v="2"/>
    <x v="9"/>
  </r>
  <r>
    <x v="26"/>
    <x v="1"/>
    <x v="11"/>
    <n v="38.700000000000003"/>
    <n v="348.3"/>
    <x v="0"/>
    <x v="2"/>
    <x v="1"/>
    <x v="1"/>
    <x v="0"/>
    <x v="0"/>
    <x v="10"/>
    <x v="2"/>
    <x v="0"/>
    <x v="1"/>
    <x v="10"/>
  </r>
  <r>
    <x v="27"/>
    <x v="13"/>
    <x v="12"/>
    <n v="57.2"/>
    <n v="228.8"/>
    <x v="0"/>
    <x v="1"/>
    <x v="0"/>
    <x v="1"/>
    <x v="2"/>
    <x v="0"/>
    <x v="11"/>
    <x v="1"/>
    <x v="0"/>
    <x v="0"/>
    <x v="11"/>
  </r>
  <r>
    <x v="28"/>
    <x v="6"/>
    <x v="9"/>
    <n v="50.9"/>
    <n v="254.5"/>
    <x v="0"/>
    <x v="4"/>
    <x v="0"/>
    <x v="1"/>
    <x v="2"/>
    <x v="0"/>
    <x v="12"/>
    <x v="4"/>
    <x v="0"/>
    <x v="0"/>
    <x v="12"/>
  </r>
  <r>
    <x v="29"/>
    <x v="14"/>
    <x v="3"/>
    <n v="41"/>
    <n v="287"/>
    <x v="0"/>
    <x v="5"/>
    <x v="2"/>
    <x v="1"/>
    <x v="0"/>
    <x v="0"/>
    <x v="13"/>
    <x v="5"/>
    <x v="0"/>
    <x v="2"/>
    <x v="13"/>
  </r>
  <r>
    <x v="30"/>
    <x v="8"/>
    <x v="3"/>
    <n v="19.100000000000001"/>
    <n v="133.70000000000002"/>
    <x v="0"/>
    <x v="5"/>
    <x v="1"/>
    <x v="0"/>
    <x v="2"/>
    <x v="0"/>
    <x v="14"/>
    <x v="5"/>
    <x v="0"/>
    <x v="1"/>
    <x v="14"/>
  </r>
  <r>
    <x v="31"/>
    <x v="2"/>
    <x v="9"/>
    <n v="166.1"/>
    <n v="830.5"/>
    <x v="0"/>
    <x v="2"/>
    <x v="1"/>
    <x v="0"/>
    <x v="0"/>
    <x v="0"/>
    <x v="15"/>
    <x v="2"/>
    <x v="0"/>
    <x v="1"/>
    <x v="15"/>
  </r>
  <r>
    <x v="32"/>
    <x v="4"/>
    <x v="2"/>
    <n v="29.9"/>
    <n v="89.699999999999989"/>
    <x v="0"/>
    <x v="3"/>
    <x v="1"/>
    <x v="3"/>
    <x v="0"/>
    <x v="0"/>
    <x v="3"/>
    <x v="3"/>
    <x v="0"/>
    <x v="1"/>
    <x v="3"/>
  </r>
  <r>
    <x v="33"/>
    <x v="10"/>
    <x v="13"/>
    <n v="21.7"/>
    <n v="130.19999999999999"/>
    <x v="0"/>
    <x v="1"/>
    <x v="3"/>
    <x v="2"/>
    <x v="2"/>
    <x v="0"/>
    <x v="3"/>
    <x v="1"/>
    <x v="0"/>
    <x v="3"/>
    <x v="3"/>
  </r>
  <r>
    <x v="34"/>
    <x v="11"/>
    <x v="1"/>
    <n v="32"/>
    <n v="64"/>
    <x v="0"/>
    <x v="2"/>
    <x v="1"/>
    <x v="0"/>
    <x v="2"/>
    <x v="0"/>
    <x v="3"/>
    <x v="2"/>
    <x v="0"/>
    <x v="1"/>
    <x v="3"/>
  </r>
  <r>
    <x v="35"/>
    <x v="8"/>
    <x v="1"/>
    <n v="15.8"/>
    <n v="31.6"/>
    <x v="0"/>
    <x v="3"/>
    <x v="1"/>
    <x v="4"/>
    <x v="2"/>
    <x v="0"/>
    <x v="3"/>
    <x v="3"/>
    <x v="0"/>
    <x v="1"/>
    <x v="3"/>
  </r>
  <r>
    <x v="36"/>
    <x v="2"/>
    <x v="14"/>
    <n v="203.1"/>
    <n v="3452.7"/>
    <x v="0"/>
    <x v="5"/>
    <x v="1"/>
    <x v="3"/>
    <x v="1"/>
    <x v="0"/>
    <x v="3"/>
    <x v="5"/>
    <x v="0"/>
    <x v="1"/>
    <x v="3"/>
  </r>
  <r>
    <x v="37"/>
    <x v="7"/>
    <x v="15"/>
    <n v="39"/>
    <n v="507"/>
    <x v="0"/>
    <x v="4"/>
    <x v="1"/>
    <x v="0"/>
    <x v="2"/>
    <x v="0"/>
    <x v="3"/>
    <x v="4"/>
    <x v="0"/>
    <x v="1"/>
    <x v="3"/>
  </r>
  <r>
    <x v="38"/>
    <x v="10"/>
    <x v="0"/>
    <n v="26.5"/>
    <n v="26.5"/>
    <x v="1"/>
    <x v="1"/>
    <x v="1"/>
    <x v="2"/>
    <x v="0"/>
    <x v="0"/>
    <x v="3"/>
    <x v="3"/>
    <x v="0"/>
    <x v="1"/>
    <x v="3"/>
  </r>
  <r>
    <x v="39"/>
    <x v="5"/>
    <x v="0"/>
    <n v="43.1"/>
    <n v="43.1"/>
    <x v="1"/>
    <x v="1"/>
    <x v="2"/>
    <x v="2"/>
    <x v="1"/>
    <x v="0"/>
    <x v="3"/>
    <x v="3"/>
    <x v="0"/>
    <x v="2"/>
    <x v="3"/>
  </r>
  <r>
    <x v="40"/>
    <x v="1"/>
    <x v="2"/>
    <n v="139"/>
    <n v="417"/>
    <x v="1"/>
    <x v="1"/>
    <x v="2"/>
    <x v="4"/>
    <x v="2"/>
    <x v="0"/>
    <x v="3"/>
    <x v="3"/>
    <x v="0"/>
    <x v="2"/>
    <x v="3"/>
  </r>
  <r>
    <x v="41"/>
    <x v="12"/>
    <x v="0"/>
    <n v="80.7"/>
    <n v="80.7"/>
    <x v="1"/>
    <x v="1"/>
    <x v="1"/>
    <x v="0"/>
    <x v="2"/>
    <x v="0"/>
    <x v="16"/>
    <x v="3"/>
    <x v="0"/>
    <x v="1"/>
    <x v="16"/>
  </r>
  <r>
    <x v="42"/>
    <x v="4"/>
    <x v="1"/>
    <n v="54.5"/>
    <n v="109"/>
    <x v="1"/>
    <x v="2"/>
    <x v="1"/>
    <x v="1"/>
    <x v="1"/>
    <x v="0"/>
    <x v="6"/>
    <x v="1"/>
    <x v="0"/>
    <x v="1"/>
    <x v="6"/>
  </r>
  <r>
    <x v="43"/>
    <x v="6"/>
    <x v="2"/>
    <n v="68.599999999999994"/>
    <n v="205.79999999999998"/>
    <x v="1"/>
    <x v="3"/>
    <x v="2"/>
    <x v="0"/>
    <x v="1"/>
    <x v="0"/>
    <x v="8"/>
    <x v="7"/>
    <x v="0"/>
    <x v="2"/>
    <x v="8"/>
  </r>
  <r>
    <x v="44"/>
    <x v="2"/>
    <x v="12"/>
    <n v="135.9"/>
    <n v="543.6"/>
    <x v="1"/>
    <x v="1"/>
    <x v="2"/>
    <x v="2"/>
    <x v="2"/>
    <x v="0"/>
    <x v="8"/>
    <x v="3"/>
    <x v="0"/>
    <x v="2"/>
    <x v="8"/>
  </r>
  <r>
    <x v="45"/>
    <x v="2"/>
    <x v="12"/>
    <n v="70.900000000000006"/>
    <n v="283.60000000000002"/>
    <x v="1"/>
    <x v="1"/>
    <x v="2"/>
    <x v="0"/>
    <x v="0"/>
    <x v="0"/>
    <x v="17"/>
    <x v="3"/>
    <x v="0"/>
    <x v="2"/>
    <x v="17"/>
  </r>
  <r>
    <x v="46"/>
    <x v="1"/>
    <x v="9"/>
    <n v="63.7"/>
    <n v="318.5"/>
    <x v="1"/>
    <x v="1"/>
    <x v="1"/>
    <x v="1"/>
    <x v="1"/>
    <x v="0"/>
    <x v="9"/>
    <x v="3"/>
    <x v="0"/>
    <x v="1"/>
    <x v="9"/>
  </r>
  <r>
    <x v="47"/>
    <x v="13"/>
    <x v="0"/>
    <n v="29.7"/>
    <n v="29.7"/>
    <x v="1"/>
    <x v="2"/>
    <x v="2"/>
    <x v="1"/>
    <x v="0"/>
    <x v="0"/>
    <x v="11"/>
    <x v="1"/>
    <x v="0"/>
    <x v="2"/>
    <x v="11"/>
  </r>
  <r>
    <x v="48"/>
    <x v="4"/>
    <x v="2"/>
    <n v="26.8"/>
    <n v="80.400000000000006"/>
    <x v="1"/>
    <x v="7"/>
    <x v="2"/>
    <x v="1"/>
    <x v="2"/>
    <x v="0"/>
    <x v="11"/>
    <x v="8"/>
    <x v="0"/>
    <x v="2"/>
    <x v="11"/>
  </r>
  <r>
    <x v="49"/>
    <x v="14"/>
    <x v="0"/>
    <n v="27"/>
    <n v="27"/>
    <x v="1"/>
    <x v="2"/>
    <x v="2"/>
    <x v="0"/>
    <x v="0"/>
    <x v="0"/>
    <x v="18"/>
    <x v="1"/>
    <x v="0"/>
    <x v="2"/>
    <x v="18"/>
  </r>
  <r>
    <x v="50"/>
    <x v="8"/>
    <x v="0"/>
    <n v="41.4"/>
    <n v="41.4"/>
    <x v="1"/>
    <x v="1"/>
    <x v="1"/>
    <x v="1"/>
    <x v="2"/>
    <x v="0"/>
    <x v="19"/>
    <x v="3"/>
    <x v="0"/>
    <x v="1"/>
    <x v="19"/>
  </r>
  <r>
    <x v="51"/>
    <x v="8"/>
    <x v="1"/>
    <n v="24.3"/>
    <n v="48.6"/>
    <x v="1"/>
    <x v="5"/>
    <x v="2"/>
    <x v="1"/>
    <x v="0"/>
    <x v="0"/>
    <x v="19"/>
    <x v="2"/>
    <x v="0"/>
    <x v="2"/>
    <x v="19"/>
  </r>
  <r>
    <x v="52"/>
    <x v="8"/>
    <x v="2"/>
    <n v="41.7"/>
    <n v="125.10000000000001"/>
    <x v="1"/>
    <x v="2"/>
    <x v="1"/>
    <x v="0"/>
    <x v="2"/>
    <x v="0"/>
    <x v="20"/>
    <x v="1"/>
    <x v="0"/>
    <x v="1"/>
    <x v="20"/>
  </r>
  <r>
    <x v="53"/>
    <x v="0"/>
    <x v="1"/>
    <n v="18"/>
    <n v="36"/>
    <x v="1"/>
    <x v="1"/>
    <x v="2"/>
    <x v="0"/>
    <x v="2"/>
    <x v="0"/>
    <x v="21"/>
    <x v="3"/>
    <x v="0"/>
    <x v="2"/>
    <x v="21"/>
  </r>
  <r>
    <x v="54"/>
    <x v="7"/>
    <x v="2"/>
    <n v="91.3"/>
    <n v="273.89999999999998"/>
    <x v="1"/>
    <x v="5"/>
    <x v="1"/>
    <x v="2"/>
    <x v="2"/>
    <x v="0"/>
    <x v="3"/>
    <x v="2"/>
    <x v="0"/>
    <x v="1"/>
    <x v="3"/>
  </r>
  <r>
    <x v="55"/>
    <x v="8"/>
    <x v="8"/>
    <n v="19.3"/>
    <n v="154.4"/>
    <x v="1"/>
    <x v="1"/>
    <x v="1"/>
    <x v="0"/>
    <x v="0"/>
    <x v="0"/>
    <x v="3"/>
    <x v="3"/>
    <x v="0"/>
    <x v="1"/>
    <x v="3"/>
  </r>
  <r>
    <x v="56"/>
    <x v="12"/>
    <x v="15"/>
    <n v="63.2"/>
    <n v="821.6"/>
    <x v="1"/>
    <x v="1"/>
    <x v="2"/>
    <x v="0"/>
    <x v="0"/>
    <x v="0"/>
    <x v="3"/>
    <x v="3"/>
    <x v="0"/>
    <x v="2"/>
    <x v="3"/>
  </r>
  <r>
    <x v="57"/>
    <x v="10"/>
    <x v="11"/>
    <n v="33.299999999999997"/>
    <n v="299.7"/>
    <x v="2"/>
    <x v="7"/>
    <x v="2"/>
    <x v="0"/>
    <x v="2"/>
    <x v="0"/>
    <x v="3"/>
    <x v="9"/>
    <x v="0"/>
    <x v="2"/>
    <x v="3"/>
  </r>
  <r>
    <x v="58"/>
    <x v="7"/>
    <x v="1"/>
    <n v="64.2"/>
    <n v="128.4"/>
    <x v="2"/>
    <x v="2"/>
    <x v="1"/>
    <x v="0"/>
    <x v="2"/>
    <x v="0"/>
    <x v="3"/>
    <x v="3"/>
    <x v="0"/>
    <x v="1"/>
    <x v="3"/>
  </r>
  <r>
    <x v="59"/>
    <x v="9"/>
    <x v="2"/>
    <n v="23.1"/>
    <n v="69.300000000000011"/>
    <x v="2"/>
    <x v="0"/>
    <x v="2"/>
    <x v="1"/>
    <x v="2"/>
    <x v="0"/>
    <x v="3"/>
    <x v="2"/>
    <x v="0"/>
    <x v="2"/>
    <x v="3"/>
  </r>
  <r>
    <x v="60"/>
    <x v="15"/>
    <x v="1"/>
    <n v="71.099999999999994"/>
    <n v="142.19999999999999"/>
    <x v="2"/>
    <x v="5"/>
    <x v="2"/>
    <x v="3"/>
    <x v="1"/>
    <x v="0"/>
    <x v="3"/>
    <x v="1"/>
    <x v="0"/>
    <x v="2"/>
    <x v="3"/>
  </r>
  <r>
    <x v="61"/>
    <x v="0"/>
    <x v="1"/>
    <n v="11.5"/>
    <n v="23"/>
    <x v="2"/>
    <x v="2"/>
    <x v="2"/>
    <x v="0"/>
    <x v="0"/>
    <x v="0"/>
    <x v="3"/>
    <x v="3"/>
    <x v="0"/>
    <x v="2"/>
    <x v="3"/>
  </r>
  <r>
    <x v="62"/>
    <x v="15"/>
    <x v="10"/>
    <n v="69.2"/>
    <n v="1314.8"/>
    <x v="2"/>
    <x v="6"/>
    <x v="2"/>
    <x v="0"/>
    <x v="0"/>
    <x v="0"/>
    <x v="3"/>
    <x v="0"/>
    <x v="0"/>
    <x v="2"/>
    <x v="3"/>
  </r>
  <r>
    <x v="63"/>
    <x v="0"/>
    <x v="0"/>
    <n v="26.8"/>
    <n v="26.8"/>
    <x v="2"/>
    <x v="2"/>
    <x v="1"/>
    <x v="2"/>
    <x v="4"/>
    <x v="0"/>
    <x v="3"/>
    <x v="3"/>
    <x v="0"/>
    <x v="1"/>
    <x v="3"/>
  </r>
  <r>
    <x v="64"/>
    <x v="16"/>
    <x v="2"/>
    <n v="31.2"/>
    <n v="93.6"/>
    <x v="2"/>
    <x v="0"/>
    <x v="2"/>
    <x v="0"/>
    <x v="0"/>
    <x v="0"/>
    <x v="3"/>
    <x v="2"/>
    <x v="0"/>
    <x v="2"/>
    <x v="3"/>
  </r>
  <r>
    <x v="65"/>
    <x v="12"/>
    <x v="1"/>
    <n v="113.2"/>
    <n v="226.4"/>
    <x v="2"/>
    <x v="2"/>
    <x v="2"/>
    <x v="4"/>
    <x v="0"/>
    <x v="0"/>
    <x v="3"/>
    <x v="3"/>
    <x v="0"/>
    <x v="2"/>
    <x v="3"/>
  </r>
  <r>
    <x v="66"/>
    <x v="10"/>
    <x v="8"/>
    <n v="21"/>
    <n v="168"/>
    <x v="2"/>
    <x v="2"/>
    <x v="1"/>
    <x v="0"/>
    <x v="0"/>
    <x v="0"/>
    <x v="6"/>
    <x v="3"/>
    <x v="0"/>
    <x v="1"/>
    <x v="6"/>
  </r>
  <r>
    <x v="67"/>
    <x v="1"/>
    <x v="1"/>
    <n v="89.1"/>
    <n v="178.2"/>
    <x v="2"/>
    <x v="2"/>
    <x v="2"/>
    <x v="2"/>
    <x v="2"/>
    <x v="0"/>
    <x v="6"/>
    <x v="3"/>
    <x v="0"/>
    <x v="2"/>
    <x v="6"/>
  </r>
  <r>
    <x v="68"/>
    <x v="1"/>
    <x v="0"/>
    <n v="97.7"/>
    <n v="97.7"/>
    <x v="2"/>
    <x v="5"/>
    <x v="2"/>
    <x v="0"/>
    <x v="1"/>
    <x v="0"/>
    <x v="6"/>
    <x v="1"/>
    <x v="0"/>
    <x v="2"/>
    <x v="6"/>
  </r>
  <r>
    <x v="69"/>
    <x v="15"/>
    <x v="12"/>
    <n v="97.7"/>
    <n v="390.8"/>
    <x v="2"/>
    <x v="5"/>
    <x v="1"/>
    <x v="3"/>
    <x v="0"/>
    <x v="0"/>
    <x v="6"/>
    <x v="1"/>
    <x v="0"/>
    <x v="1"/>
    <x v="6"/>
  </r>
  <r>
    <x v="70"/>
    <x v="17"/>
    <x v="2"/>
    <n v="47.4"/>
    <n v="142.19999999999999"/>
    <x v="2"/>
    <x v="0"/>
    <x v="1"/>
    <x v="3"/>
    <x v="2"/>
    <x v="0"/>
    <x v="8"/>
    <x v="2"/>
    <x v="0"/>
    <x v="1"/>
    <x v="8"/>
  </r>
  <r>
    <x v="71"/>
    <x v="7"/>
    <x v="0"/>
    <n v="89.6"/>
    <n v="89.6"/>
    <x v="2"/>
    <x v="0"/>
    <x v="2"/>
    <x v="0"/>
    <x v="2"/>
    <x v="0"/>
    <x v="8"/>
    <x v="2"/>
    <x v="0"/>
    <x v="2"/>
    <x v="8"/>
  </r>
  <r>
    <x v="72"/>
    <x v="10"/>
    <x v="16"/>
    <n v="28.4"/>
    <n v="511.2"/>
    <x v="2"/>
    <x v="0"/>
    <x v="2"/>
    <x v="3"/>
    <x v="2"/>
    <x v="0"/>
    <x v="17"/>
    <x v="2"/>
    <x v="0"/>
    <x v="2"/>
    <x v="17"/>
  </r>
  <r>
    <x v="73"/>
    <x v="0"/>
    <x v="1"/>
    <n v="17.899999999999999"/>
    <n v="35.799999999999997"/>
    <x v="2"/>
    <x v="2"/>
    <x v="2"/>
    <x v="0"/>
    <x v="2"/>
    <x v="0"/>
    <x v="9"/>
    <x v="3"/>
    <x v="0"/>
    <x v="2"/>
    <x v="9"/>
  </r>
  <r>
    <x v="74"/>
    <x v="9"/>
    <x v="1"/>
    <n v="48.4"/>
    <n v="96.8"/>
    <x v="2"/>
    <x v="0"/>
    <x v="1"/>
    <x v="1"/>
    <x v="0"/>
    <x v="0"/>
    <x v="9"/>
    <x v="2"/>
    <x v="0"/>
    <x v="1"/>
    <x v="9"/>
  </r>
  <r>
    <x v="75"/>
    <x v="12"/>
    <x v="12"/>
    <n v="44.4"/>
    <n v="177.6"/>
    <x v="2"/>
    <x v="2"/>
    <x v="3"/>
    <x v="1"/>
    <x v="1"/>
    <x v="0"/>
    <x v="11"/>
    <x v="3"/>
    <x v="0"/>
    <x v="3"/>
    <x v="11"/>
  </r>
  <r>
    <x v="76"/>
    <x v="2"/>
    <x v="8"/>
    <n v="103.7"/>
    <n v="829.6"/>
    <x v="2"/>
    <x v="2"/>
    <x v="2"/>
    <x v="0"/>
    <x v="1"/>
    <x v="0"/>
    <x v="19"/>
    <x v="3"/>
    <x v="0"/>
    <x v="2"/>
    <x v="19"/>
  </r>
  <r>
    <x v="77"/>
    <x v="5"/>
    <x v="12"/>
    <n v="58.6"/>
    <n v="234.4"/>
    <x v="2"/>
    <x v="5"/>
    <x v="1"/>
    <x v="3"/>
    <x v="0"/>
    <x v="0"/>
    <x v="19"/>
    <x v="1"/>
    <x v="0"/>
    <x v="1"/>
    <x v="19"/>
  </r>
  <r>
    <x v="78"/>
    <x v="9"/>
    <x v="12"/>
    <n v="54.8"/>
    <n v="219.2"/>
    <x v="2"/>
    <x v="4"/>
    <x v="2"/>
    <x v="2"/>
    <x v="1"/>
    <x v="0"/>
    <x v="13"/>
    <x v="5"/>
    <x v="0"/>
    <x v="2"/>
    <x v="13"/>
  </r>
  <r>
    <x v="79"/>
    <x v="12"/>
    <x v="2"/>
    <n v="78.8"/>
    <n v="236.39999999999998"/>
    <x v="2"/>
    <x v="8"/>
    <x v="2"/>
    <x v="4"/>
    <x v="1"/>
    <x v="0"/>
    <x v="21"/>
    <x v="4"/>
    <x v="0"/>
    <x v="2"/>
    <x v="21"/>
  </r>
  <r>
    <x v="80"/>
    <x v="18"/>
    <x v="9"/>
    <n v="36.799999999999997"/>
    <n v="184"/>
    <x v="2"/>
    <x v="0"/>
    <x v="1"/>
    <x v="4"/>
    <x v="1"/>
    <x v="0"/>
    <x v="22"/>
    <x v="2"/>
    <x v="0"/>
    <x v="1"/>
    <x v="22"/>
  </r>
  <r>
    <x v="81"/>
    <x v="6"/>
    <x v="13"/>
    <n v="50.6"/>
    <n v="303.60000000000002"/>
    <x v="2"/>
    <x v="5"/>
    <x v="2"/>
    <x v="3"/>
    <x v="0"/>
    <x v="0"/>
    <x v="3"/>
    <x v="1"/>
    <x v="0"/>
    <x v="2"/>
    <x v="3"/>
  </r>
  <r>
    <x v="82"/>
    <x v="15"/>
    <x v="2"/>
    <n v="36.799999999999997"/>
    <n v="110.39999999999999"/>
    <x v="2"/>
    <x v="1"/>
    <x v="1"/>
    <x v="2"/>
    <x v="1"/>
    <x v="0"/>
    <x v="3"/>
    <x v="7"/>
    <x v="0"/>
    <x v="1"/>
    <x v="3"/>
  </r>
  <r>
    <x v="83"/>
    <x v="8"/>
    <x v="11"/>
    <n v="41.8"/>
    <n v="376.2"/>
    <x v="3"/>
    <x v="9"/>
    <x v="2"/>
    <x v="3"/>
    <x v="0"/>
    <x v="0"/>
    <x v="3"/>
    <x v="4"/>
    <x v="0"/>
    <x v="2"/>
    <x v="3"/>
  </r>
  <r>
    <x v="84"/>
    <x v="18"/>
    <x v="0"/>
    <n v="77.3"/>
    <n v="77.3"/>
    <x v="3"/>
    <x v="5"/>
    <x v="1"/>
    <x v="4"/>
    <x v="4"/>
    <x v="0"/>
    <x v="3"/>
    <x v="3"/>
    <x v="0"/>
    <x v="1"/>
    <x v="3"/>
  </r>
  <r>
    <x v="85"/>
    <x v="8"/>
    <x v="12"/>
    <n v="19.8"/>
    <n v="79.2"/>
    <x v="3"/>
    <x v="9"/>
    <x v="1"/>
    <x v="1"/>
    <x v="2"/>
    <x v="0"/>
    <x v="3"/>
    <x v="4"/>
    <x v="0"/>
    <x v="1"/>
    <x v="3"/>
  </r>
  <r>
    <x v="86"/>
    <x v="13"/>
    <x v="12"/>
    <n v="15.5"/>
    <n v="62"/>
    <x v="3"/>
    <x v="5"/>
    <x v="2"/>
    <x v="1"/>
    <x v="2"/>
    <x v="0"/>
    <x v="3"/>
    <x v="3"/>
    <x v="0"/>
    <x v="2"/>
    <x v="3"/>
  </r>
  <r>
    <x v="87"/>
    <x v="12"/>
    <x v="0"/>
    <n v="46.8"/>
    <n v="46.8"/>
    <x v="3"/>
    <x v="6"/>
    <x v="1"/>
    <x v="0"/>
    <x v="2"/>
    <x v="0"/>
    <x v="3"/>
    <x v="5"/>
    <x v="0"/>
    <x v="1"/>
    <x v="3"/>
  </r>
  <r>
    <x v="88"/>
    <x v="9"/>
    <x v="11"/>
    <n v="28.6"/>
    <n v="257.40000000000003"/>
    <x v="3"/>
    <x v="6"/>
    <x v="1"/>
    <x v="0"/>
    <x v="2"/>
    <x v="0"/>
    <x v="3"/>
    <x v="5"/>
    <x v="0"/>
    <x v="1"/>
    <x v="3"/>
  </r>
  <r>
    <x v="89"/>
    <x v="2"/>
    <x v="0"/>
    <n v="97.7"/>
    <n v="97.7"/>
    <x v="3"/>
    <x v="4"/>
    <x v="2"/>
    <x v="1"/>
    <x v="0"/>
    <x v="0"/>
    <x v="3"/>
    <x v="2"/>
    <x v="0"/>
    <x v="2"/>
    <x v="3"/>
  </r>
  <r>
    <x v="90"/>
    <x v="9"/>
    <x v="9"/>
    <n v="54.7"/>
    <n v="273.5"/>
    <x v="3"/>
    <x v="4"/>
    <x v="0"/>
    <x v="0"/>
    <x v="2"/>
    <x v="0"/>
    <x v="23"/>
    <x v="2"/>
    <x v="0"/>
    <x v="0"/>
    <x v="23"/>
  </r>
  <r>
    <x v="91"/>
    <x v="2"/>
    <x v="13"/>
    <n v="130.5"/>
    <n v="783"/>
    <x v="3"/>
    <x v="0"/>
    <x v="2"/>
    <x v="0"/>
    <x v="1"/>
    <x v="0"/>
    <x v="23"/>
    <x v="1"/>
    <x v="0"/>
    <x v="2"/>
    <x v="23"/>
  </r>
  <r>
    <x v="92"/>
    <x v="11"/>
    <x v="1"/>
    <n v="50.4"/>
    <n v="100.8"/>
    <x v="3"/>
    <x v="0"/>
    <x v="1"/>
    <x v="2"/>
    <x v="2"/>
    <x v="0"/>
    <x v="6"/>
    <x v="1"/>
    <x v="0"/>
    <x v="1"/>
    <x v="6"/>
  </r>
  <r>
    <x v="93"/>
    <x v="6"/>
    <x v="15"/>
    <n v="61.5"/>
    <n v="799.5"/>
    <x v="3"/>
    <x v="5"/>
    <x v="0"/>
    <x v="3"/>
    <x v="1"/>
    <x v="0"/>
    <x v="11"/>
    <x v="3"/>
    <x v="0"/>
    <x v="0"/>
    <x v="11"/>
  </r>
  <r>
    <x v="94"/>
    <x v="9"/>
    <x v="12"/>
    <n v="30.1"/>
    <n v="120.4"/>
    <x v="3"/>
    <x v="5"/>
    <x v="2"/>
    <x v="0"/>
    <x v="2"/>
    <x v="0"/>
    <x v="21"/>
    <x v="3"/>
    <x v="0"/>
    <x v="2"/>
    <x v="21"/>
  </r>
  <r>
    <x v="95"/>
    <x v="2"/>
    <x v="9"/>
    <n v="74.8"/>
    <n v="374"/>
    <x v="3"/>
    <x v="5"/>
    <x v="2"/>
    <x v="1"/>
    <x v="0"/>
    <x v="0"/>
    <x v="1"/>
    <x v="3"/>
    <x v="0"/>
    <x v="2"/>
    <x v="1"/>
  </r>
  <r>
    <x v="96"/>
    <x v="16"/>
    <x v="2"/>
    <n v="64.900000000000006"/>
    <n v="194.70000000000002"/>
    <x v="3"/>
    <x v="7"/>
    <x v="1"/>
    <x v="0"/>
    <x v="0"/>
    <x v="0"/>
    <x v="2"/>
    <x v="6"/>
    <x v="0"/>
    <x v="1"/>
    <x v="2"/>
  </r>
  <r>
    <x v="97"/>
    <x v="9"/>
    <x v="1"/>
    <n v="50.5"/>
    <n v="101"/>
    <x v="3"/>
    <x v="0"/>
    <x v="1"/>
    <x v="1"/>
    <x v="0"/>
    <x v="0"/>
    <x v="22"/>
    <x v="1"/>
    <x v="0"/>
    <x v="1"/>
    <x v="22"/>
  </r>
  <r>
    <x v="98"/>
    <x v="11"/>
    <x v="3"/>
    <n v="63"/>
    <n v="441"/>
    <x v="3"/>
    <x v="4"/>
    <x v="1"/>
    <x v="3"/>
    <x v="2"/>
    <x v="0"/>
    <x v="3"/>
    <x v="2"/>
    <x v="0"/>
    <x v="1"/>
    <x v="3"/>
  </r>
  <r>
    <x v="99"/>
    <x v="2"/>
    <x v="2"/>
    <n v="93.6"/>
    <n v="280.79999999999995"/>
    <x v="3"/>
    <x v="10"/>
    <x v="2"/>
    <x v="0"/>
    <x v="2"/>
    <x v="0"/>
    <x v="3"/>
    <x v="10"/>
    <x v="0"/>
    <x v="2"/>
    <x v="3"/>
  </r>
  <r>
    <x v="100"/>
    <x v="5"/>
    <x v="17"/>
    <n v="41.4"/>
    <n v="1242"/>
    <x v="3"/>
    <x v="6"/>
    <x v="1"/>
    <x v="2"/>
    <x v="2"/>
    <x v="0"/>
    <x v="3"/>
    <x v="5"/>
    <x v="0"/>
    <x v="1"/>
    <x v="3"/>
  </r>
  <r>
    <x v="101"/>
    <x v="2"/>
    <x v="1"/>
    <n v="160"/>
    <n v="320"/>
    <x v="4"/>
    <x v="0"/>
    <x v="1"/>
    <x v="2"/>
    <x v="2"/>
    <x v="0"/>
    <x v="5"/>
    <x v="3"/>
    <x v="1"/>
    <x v="1"/>
    <x v="5"/>
  </r>
  <r>
    <x v="102"/>
    <x v="19"/>
    <x v="5"/>
    <n v="10.5"/>
    <n v="115.5"/>
    <x v="4"/>
    <x v="6"/>
    <x v="2"/>
    <x v="4"/>
    <x v="0"/>
    <x v="0"/>
    <x v="8"/>
    <x v="2"/>
    <x v="1"/>
    <x v="2"/>
    <x v="8"/>
  </r>
  <r>
    <x v="103"/>
    <x v="10"/>
    <x v="1"/>
    <n v="53"/>
    <n v="106"/>
    <x v="4"/>
    <x v="5"/>
    <x v="1"/>
    <x v="2"/>
    <x v="4"/>
    <x v="0"/>
    <x v="17"/>
    <x v="7"/>
    <x v="1"/>
    <x v="1"/>
    <x v="17"/>
  </r>
  <r>
    <x v="104"/>
    <x v="8"/>
    <x v="2"/>
    <n v="18.5"/>
    <n v="55.5"/>
    <x v="4"/>
    <x v="9"/>
    <x v="2"/>
    <x v="1"/>
    <x v="2"/>
    <x v="0"/>
    <x v="11"/>
    <x v="0"/>
    <x v="1"/>
    <x v="2"/>
    <x v="11"/>
  </r>
  <r>
    <x v="105"/>
    <x v="16"/>
    <x v="2"/>
    <n v="84.5"/>
    <n v="253.5"/>
    <x v="4"/>
    <x v="4"/>
    <x v="2"/>
    <x v="4"/>
    <x v="1"/>
    <x v="0"/>
    <x v="13"/>
    <x v="1"/>
    <x v="1"/>
    <x v="2"/>
    <x v="13"/>
  </r>
  <r>
    <x v="106"/>
    <x v="15"/>
    <x v="3"/>
    <n v="31.2"/>
    <n v="218.4"/>
    <x v="4"/>
    <x v="5"/>
    <x v="2"/>
    <x v="2"/>
    <x v="2"/>
    <x v="0"/>
    <x v="3"/>
    <x v="7"/>
    <x v="1"/>
    <x v="2"/>
    <x v="3"/>
  </r>
  <r>
    <x v="107"/>
    <x v="8"/>
    <x v="16"/>
    <n v="32.6"/>
    <n v="586.80000000000007"/>
    <x v="4"/>
    <x v="0"/>
    <x v="1"/>
    <x v="1"/>
    <x v="1"/>
    <x v="0"/>
    <x v="3"/>
    <x v="3"/>
    <x v="1"/>
    <x v="1"/>
    <x v="3"/>
  </r>
  <r>
    <x v="108"/>
    <x v="10"/>
    <x v="12"/>
    <n v="45.4"/>
    <n v="181.6"/>
    <x v="4"/>
    <x v="4"/>
    <x v="1"/>
    <x v="1"/>
    <x v="0"/>
    <x v="0"/>
    <x v="3"/>
    <x v="1"/>
    <x v="1"/>
    <x v="1"/>
    <x v="3"/>
  </r>
  <r>
    <x v="109"/>
    <x v="2"/>
    <x v="4"/>
    <n v="120"/>
    <n v="1440"/>
    <x v="4"/>
    <x v="0"/>
    <x v="2"/>
    <x v="2"/>
    <x v="4"/>
    <x v="0"/>
    <x v="3"/>
    <x v="3"/>
    <x v="1"/>
    <x v="2"/>
    <x v="3"/>
  </r>
  <r>
    <x v="110"/>
    <x v="0"/>
    <x v="12"/>
    <n v="18.899999999999999"/>
    <n v="75.599999999999994"/>
    <x v="4"/>
    <x v="4"/>
    <x v="1"/>
    <x v="0"/>
    <x v="2"/>
    <x v="0"/>
    <x v="3"/>
    <x v="1"/>
    <x v="1"/>
    <x v="1"/>
    <x v="3"/>
  </r>
  <r>
    <x v="111"/>
    <x v="4"/>
    <x v="0"/>
    <n v="32"/>
    <n v="32"/>
    <x v="4"/>
    <x v="4"/>
    <x v="2"/>
    <x v="4"/>
    <x v="0"/>
    <x v="0"/>
    <x v="3"/>
    <x v="1"/>
    <x v="1"/>
    <x v="2"/>
    <x v="3"/>
  </r>
  <r>
    <x v="112"/>
    <x v="7"/>
    <x v="1"/>
    <n v="37.299999999999997"/>
    <n v="74.599999999999994"/>
    <x v="4"/>
    <x v="0"/>
    <x v="1"/>
    <x v="2"/>
    <x v="0"/>
    <x v="0"/>
    <x v="3"/>
    <x v="3"/>
    <x v="1"/>
    <x v="1"/>
    <x v="3"/>
  </r>
  <r>
    <x v="113"/>
    <x v="18"/>
    <x v="0"/>
    <n v="119.8"/>
    <n v="119.8"/>
    <x v="4"/>
    <x v="0"/>
    <x v="1"/>
    <x v="1"/>
    <x v="1"/>
    <x v="0"/>
    <x v="3"/>
    <x v="3"/>
    <x v="1"/>
    <x v="1"/>
    <x v="3"/>
  </r>
  <r>
    <x v="114"/>
    <x v="10"/>
    <x v="1"/>
    <n v="26.4"/>
    <n v="52.8"/>
    <x v="4"/>
    <x v="6"/>
    <x v="1"/>
    <x v="2"/>
    <x v="0"/>
    <x v="0"/>
    <x v="3"/>
    <x v="2"/>
    <x v="1"/>
    <x v="1"/>
    <x v="3"/>
  </r>
  <r>
    <x v="115"/>
    <x v="6"/>
    <x v="13"/>
    <n v="76.5"/>
    <n v="459"/>
    <x v="4"/>
    <x v="0"/>
    <x v="2"/>
    <x v="1"/>
    <x v="1"/>
    <x v="0"/>
    <x v="3"/>
    <x v="3"/>
    <x v="1"/>
    <x v="2"/>
    <x v="3"/>
  </r>
  <r>
    <x v="116"/>
    <x v="4"/>
    <x v="7"/>
    <n v="45.7"/>
    <n v="457"/>
    <x v="4"/>
    <x v="0"/>
    <x v="2"/>
    <x v="2"/>
    <x v="0"/>
    <x v="0"/>
    <x v="24"/>
    <x v="3"/>
    <x v="1"/>
    <x v="2"/>
    <x v="24"/>
  </r>
  <r>
    <x v="117"/>
    <x v="1"/>
    <x v="4"/>
    <n v="92.6"/>
    <n v="1111.1999999999998"/>
    <x v="4"/>
    <x v="4"/>
    <x v="2"/>
    <x v="2"/>
    <x v="0"/>
    <x v="0"/>
    <x v="25"/>
    <x v="1"/>
    <x v="1"/>
    <x v="2"/>
    <x v="25"/>
  </r>
  <r>
    <x v="118"/>
    <x v="6"/>
    <x v="13"/>
    <n v="60.1"/>
    <n v="360.6"/>
    <x v="4"/>
    <x v="0"/>
    <x v="1"/>
    <x v="1"/>
    <x v="0"/>
    <x v="0"/>
    <x v="23"/>
    <x v="3"/>
    <x v="1"/>
    <x v="1"/>
    <x v="23"/>
  </r>
  <r>
    <x v="119"/>
    <x v="1"/>
    <x v="2"/>
    <n v="73"/>
    <n v="219"/>
    <x v="4"/>
    <x v="0"/>
    <x v="2"/>
    <x v="3"/>
    <x v="1"/>
    <x v="0"/>
    <x v="6"/>
    <x v="3"/>
    <x v="1"/>
    <x v="2"/>
    <x v="6"/>
  </r>
  <r>
    <x v="120"/>
    <x v="6"/>
    <x v="2"/>
    <n v="44.3"/>
    <n v="132.89999999999998"/>
    <x v="4"/>
    <x v="8"/>
    <x v="0"/>
    <x v="2"/>
    <x v="2"/>
    <x v="0"/>
    <x v="6"/>
    <x v="5"/>
    <x v="1"/>
    <x v="0"/>
    <x v="6"/>
  </r>
  <r>
    <x v="121"/>
    <x v="6"/>
    <x v="2"/>
    <n v="63.3"/>
    <n v="189.89999999999998"/>
    <x v="4"/>
    <x v="0"/>
    <x v="1"/>
    <x v="2"/>
    <x v="0"/>
    <x v="0"/>
    <x v="6"/>
    <x v="3"/>
    <x v="1"/>
    <x v="1"/>
    <x v="6"/>
  </r>
  <r>
    <x v="122"/>
    <x v="12"/>
    <x v="0"/>
    <n v="66.8"/>
    <n v="66.8"/>
    <x v="4"/>
    <x v="0"/>
    <x v="2"/>
    <x v="1"/>
    <x v="0"/>
    <x v="0"/>
    <x v="6"/>
    <x v="3"/>
    <x v="1"/>
    <x v="2"/>
    <x v="6"/>
  </r>
  <r>
    <x v="123"/>
    <x v="2"/>
    <x v="1"/>
    <n v="59.7"/>
    <n v="119.4"/>
    <x v="4"/>
    <x v="0"/>
    <x v="2"/>
    <x v="0"/>
    <x v="0"/>
    <x v="0"/>
    <x v="7"/>
    <x v="3"/>
    <x v="1"/>
    <x v="2"/>
    <x v="7"/>
  </r>
  <r>
    <x v="124"/>
    <x v="1"/>
    <x v="13"/>
    <n v="92"/>
    <n v="552"/>
    <x v="4"/>
    <x v="4"/>
    <x v="1"/>
    <x v="0"/>
    <x v="4"/>
    <x v="0"/>
    <x v="7"/>
    <x v="1"/>
    <x v="1"/>
    <x v="1"/>
    <x v="7"/>
  </r>
  <r>
    <x v="125"/>
    <x v="7"/>
    <x v="1"/>
    <n v="87.6"/>
    <n v="175.2"/>
    <x v="4"/>
    <x v="4"/>
    <x v="1"/>
    <x v="1"/>
    <x v="1"/>
    <x v="0"/>
    <x v="8"/>
    <x v="1"/>
    <x v="1"/>
    <x v="1"/>
    <x v="8"/>
  </r>
  <r>
    <x v="126"/>
    <x v="6"/>
    <x v="2"/>
    <n v="84.5"/>
    <n v="253.5"/>
    <x v="4"/>
    <x v="0"/>
    <x v="2"/>
    <x v="1"/>
    <x v="1"/>
    <x v="0"/>
    <x v="8"/>
    <x v="3"/>
    <x v="1"/>
    <x v="2"/>
    <x v="8"/>
  </r>
  <r>
    <x v="127"/>
    <x v="1"/>
    <x v="1"/>
    <n v="116.3"/>
    <n v="232.6"/>
    <x v="5"/>
    <x v="6"/>
    <x v="1"/>
    <x v="2"/>
    <x v="2"/>
    <x v="0"/>
    <x v="8"/>
    <x v="1"/>
    <x v="1"/>
    <x v="1"/>
    <x v="8"/>
  </r>
  <r>
    <x v="128"/>
    <x v="6"/>
    <x v="9"/>
    <n v="52.7"/>
    <n v="263.5"/>
    <x v="5"/>
    <x v="9"/>
    <x v="1"/>
    <x v="0"/>
    <x v="0"/>
    <x v="0"/>
    <x v="8"/>
    <x v="5"/>
    <x v="1"/>
    <x v="1"/>
    <x v="8"/>
  </r>
  <r>
    <x v="129"/>
    <x v="16"/>
    <x v="2"/>
    <n v="34.200000000000003"/>
    <n v="102.60000000000001"/>
    <x v="5"/>
    <x v="4"/>
    <x v="1"/>
    <x v="0"/>
    <x v="2"/>
    <x v="0"/>
    <x v="26"/>
    <x v="3"/>
    <x v="1"/>
    <x v="1"/>
    <x v="26"/>
  </r>
  <r>
    <x v="130"/>
    <x v="9"/>
    <x v="0"/>
    <n v="23.3"/>
    <n v="23.3"/>
    <x v="5"/>
    <x v="11"/>
    <x v="3"/>
    <x v="2"/>
    <x v="2"/>
    <x v="0"/>
    <x v="9"/>
    <x v="8"/>
    <x v="1"/>
    <x v="3"/>
    <x v="9"/>
  </r>
  <r>
    <x v="131"/>
    <x v="0"/>
    <x v="18"/>
    <n v="25.9"/>
    <n v="673.4"/>
    <x v="5"/>
    <x v="8"/>
    <x v="2"/>
    <x v="4"/>
    <x v="1"/>
    <x v="0"/>
    <x v="9"/>
    <x v="2"/>
    <x v="1"/>
    <x v="2"/>
    <x v="9"/>
  </r>
  <r>
    <x v="132"/>
    <x v="6"/>
    <x v="19"/>
    <n v="54.9"/>
    <n v="1592.1"/>
    <x v="5"/>
    <x v="4"/>
    <x v="1"/>
    <x v="1"/>
    <x v="2"/>
    <x v="0"/>
    <x v="9"/>
    <x v="3"/>
    <x v="1"/>
    <x v="1"/>
    <x v="9"/>
  </r>
  <r>
    <x v="133"/>
    <x v="5"/>
    <x v="2"/>
    <n v="75.8"/>
    <n v="227.39999999999998"/>
    <x v="5"/>
    <x v="7"/>
    <x v="3"/>
    <x v="1"/>
    <x v="0"/>
    <x v="0"/>
    <x v="18"/>
    <x v="0"/>
    <x v="1"/>
    <x v="3"/>
    <x v="18"/>
  </r>
  <r>
    <x v="134"/>
    <x v="1"/>
    <x v="11"/>
    <n v="44.9"/>
    <n v="404.09999999999997"/>
    <x v="5"/>
    <x v="8"/>
    <x v="2"/>
    <x v="2"/>
    <x v="2"/>
    <x v="0"/>
    <x v="2"/>
    <x v="2"/>
    <x v="1"/>
    <x v="2"/>
    <x v="2"/>
  </r>
  <r>
    <x v="135"/>
    <x v="11"/>
    <x v="1"/>
    <n v="48.8"/>
    <n v="97.6"/>
    <x v="5"/>
    <x v="6"/>
    <x v="2"/>
    <x v="3"/>
    <x v="0"/>
    <x v="0"/>
    <x v="27"/>
    <x v="1"/>
    <x v="1"/>
    <x v="2"/>
    <x v="27"/>
  </r>
  <r>
    <x v="136"/>
    <x v="15"/>
    <x v="0"/>
    <n v="20.3"/>
    <n v="20.3"/>
    <x v="5"/>
    <x v="4"/>
    <x v="2"/>
    <x v="0"/>
    <x v="2"/>
    <x v="0"/>
    <x v="22"/>
    <x v="3"/>
    <x v="1"/>
    <x v="2"/>
    <x v="22"/>
  </r>
  <r>
    <x v="137"/>
    <x v="5"/>
    <x v="3"/>
    <n v="36.4"/>
    <n v="254.79999999999998"/>
    <x v="5"/>
    <x v="8"/>
    <x v="2"/>
    <x v="0"/>
    <x v="1"/>
    <x v="0"/>
    <x v="3"/>
    <x v="2"/>
    <x v="1"/>
    <x v="2"/>
    <x v="3"/>
  </r>
  <r>
    <x v="138"/>
    <x v="0"/>
    <x v="0"/>
    <n v="19"/>
    <n v="19"/>
    <x v="5"/>
    <x v="7"/>
    <x v="2"/>
    <x v="1"/>
    <x v="2"/>
    <x v="0"/>
    <x v="3"/>
    <x v="0"/>
    <x v="1"/>
    <x v="2"/>
    <x v="3"/>
  </r>
  <r>
    <x v="139"/>
    <x v="8"/>
    <x v="0"/>
    <n v="17.8"/>
    <n v="17.8"/>
    <x v="5"/>
    <x v="0"/>
    <x v="1"/>
    <x v="0"/>
    <x v="0"/>
    <x v="0"/>
    <x v="3"/>
    <x v="7"/>
    <x v="1"/>
    <x v="1"/>
    <x v="3"/>
  </r>
  <r>
    <x v="140"/>
    <x v="2"/>
    <x v="13"/>
    <n v="139.6"/>
    <n v="837.59999999999991"/>
    <x v="5"/>
    <x v="8"/>
    <x v="1"/>
    <x v="0"/>
    <x v="0"/>
    <x v="0"/>
    <x v="3"/>
    <x v="2"/>
    <x v="1"/>
    <x v="1"/>
    <x v="3"/>
  </r>
  <r>
    <x v="141"/>
    <x v="9"/>
    <x v="0"/>
    <n v="31.7"/>
    <n v="31.7"/>
    <x v="5"/>
    <x v="0"/>
    <x v="0"/>
    <x v="0"/>
    <x v="0"/>
    <x v="0"/>
    <x v="3"/>
    <x v="7"/>
    <x v="1"/>
    <x v="0"/>
    <x v="3"/>
  </r>
  <r>
    <x v="142"/>
    <x v="8"/>
    <x v="8"/>
    <n v="26.3"/>
    <n v="210.4"/>
    <x v="5"/>
    <x v="8"/>
    <x v="2"/>
    <x v="4"/>
    <x v="4"/>
    <x v="0"/>
    <x v="3"/>
    <x v="2"/>
    <x v="1"/>
    <x v="2"/>
    <x v="3"/>
  </r>
  <r>
    <x v="143"/>
    <x v="4"/>
    <x v="1"/>
    <n v="47.8"/>
    <n v="95.6"/>
    <x v="5"/>
    <x v="4"/>
    <x v="0"/>
    <x v="0"/>
    <x v="0"/>
    <x v="0"/>
    <x v="3"/>
    <x v="3"/>
    <x v="1"/>
    <x v="0"/>
    <x v="3"/>
  </r>
  <r>
    <x v="144"/>
    <x v="9"/>
    <x v="2"/>
    <n v="69.400000000000006"/>
    <n v="208.20000000000002"/>
    <x v="5"/>
    <x v="9"/>
    <x v="2"/>
    <x v="0"/>
    <x v="0"/>
    <x v="0"/>
    <x v="3"/>
    <x v="5"/>
    <x v="1"/>
    <x v="2"/>
    <x v="3"/>
  </r>
  <r>
    <x v="145"/>
    <x v="18"/>
    <x v="4"/>
    <n v="25.8"/>
    <n v="309.60000000000002"/>
    <x v="5"/>
    <x v="4"/>
    <x v="1"/>
    <x v="4"/>
    <x v="4"/>
    <x v="0"/>
    <x v="3"/>
    <x v="3"/>
    <x v="1"/>
    <x v="1"/>
    <x v="3"/>
  </r>
  <r>
    <x v="146"/>
    <x v="0"/>
    <x v="12"/>
    <n v="26.4"/>
    <n v="105.6"/>
    <x v="5"/>
    <x v="4"/>
    <x v="1"/>
    <x v="1"/>
    <x v="2"/>
    <x v="0"/>
    <x v="3"/>
    <x v="3"/>
    <x v="1"/>
    <x v="1"/>
    <x v="3"/>
  </r>
  <r>
    <x v="147"/>
    <x v="8"/>
    <x v="12"/>
    <n v="15.7"/>
    <n v="62.8"/>
    <x v="5"/>
    <x v="4"/>
    <x v="1"/>
    <x v="2"/>
    <x v="0"/>
    <x v="0"/>
    <x v="3"/>
    <x v="3"/>
    <x v="1"/>
    <x v="1"/>
    <x v="3"/>
  </r>
  <r>
    <x v="148"/>
    <x v="8"/>
    <x v="0"/>
    <n v="39.700000000000003"/>
    <n v="39.700000000000003"/>
    <x v="5"/>
    <x v="9"/>
    <x v="1"/>
    <x v="0"/>
    <x v="0"/>
    <x v="0"/>
    <x v="3"/>
    <x v="5"/>
    <x v="1"/>
    <x v="1"/>
    <x v="3"/>
  </r>
  <r>
    <x v="149"/>
    <x v="10"/>
    <x v="12"/>
    <n v="31.1"/>
    <n v="124.4"/>
    <x v="5"/>
    <x v="6"/>
    <x v="2"/>
    <x v="2"/>
    <x v="1"/>
    <x v="0"/>
    <x v="3"/>
    <x v="1"/>
    <x v="1"/>
    <x v="2"/>
    <x v="3"/>
  </r>
  <r>
    <x v="150"/>
    <x v="13"/>
    <x v="20"/>
    <n v="23.4"/>
    <n v="351"/>
    <x v="5"/>
    <x v="11"/>
    <x v="1"/>
    <x v="0"/>
    <x v="0"/>
    <x v="0"/>
    <x v="3"/>
    <x v="8"/>
    <x v="1"/>
    <x v="1"/>
    <x v="3"/>
  </r>
  <r>
    <x v="151"/>
    <x v="1"/>
    <x v="12"/>
    <n v="57.1"/>
    <n v="228.4"/>
    <x v="6"/>
    <x v="6"/>
    <x v="1"/>
    <x v="2"/>
    <x v="0"/>
    <x v="0"/>
    <x v="25"/>
    <x v="3"/>
    <x v="1"/>
    <x v="1"/>
    <x v="25"/>
  </r>
  <r>
    <x v="152"/>
    <x v="2"/>
    <x v="9"/>
    <n v="89.9"/>
    <n v="449.5"/>
    <x v="6"/>
    <x v="4"/>
    <x v="2"/>
    <x v="0"/>
    <x v="3"/>
    <x v="0"/>
    <x v="23"/>
    <x v="7"/>
    <x v="1"/>
    <x v="2"/>
    <x v="23"/>
  </r>
  <r>
    <x v="153"/>
    <x v="10"/>
    <x v="3"/>
    <n v="48.1"/>
    <n v="336.7"/>
    <x v="6"/>
    <x v="8"/>
    <x v="2"/>
    <x v="1"/>
    <x v="2"/>
    <x v="0"/>
    <x v="6"/>
    <x v="1"/>
    <x v="1"/>
    <x v="2"/>
    <x v="6"/>
  </r>
  <r>
    <x v="154"/>
    <x v="8"/>
    <x v="1"/>
    <n v="29.3"/>
    <n v="58.6"/>
    <x v="6"/>
    <x v="4"/>
    <x v="2"/>
    <x v="1"/>
    <x v="1"/>
    <x v="0"/>
    <x v="6"/>
    <x v="7"/>
    <x v="1"/>
    <x v="2"/>
    <x v="6"/>
  </r>
  <r>
    <x v="155"/>
    <x v="8"/>
    <x v="12"/>
    <n v="28.8"/>
    <n v="115.2"/>
    <x v="6"/>
    <x v="6"/>
    <x v="2"/>
    <x v="0"/>
    <x v="4"/>
    <x v="0"/>
    <x v="6"/>
    <x v="3"/>
    <x v="1"/>
    <x v="2"/>
    <x v="6"/>
  </r>
  <r>
    <x v="156"/>
    <x v="10"/>
    <x v="9"/>
    <n v="40.5"/>
    <n v="202.5"/>
    <x v="6"/>
    <x v="7"/>
    <x v="2"/>
    <x v="3"/>
    <x v="0"/>
    <x v="0"/>
    <x v="6"/>
    <x v="5"/>
    <x v="1"/>
    <x v="2"/>
    <x v="6"/>
  </r>
  <r>
    <x v="157"/>
    <x v="18"/>
    <x v="21"/>
    <n v="65.099999999999994"/>
    <n v="911.39999999999986"/>
    <x v="6"/>
    <x v="6"/>
    <x v="2"/>
    <x v="4"/>
    <x v="0"/>
    <x v="0"/>
    <x v="7"/>
    <x v="3"/>
    <x v="1"/>
    <x v="2"/>
    <x v="7"/>
  </r>
  <r>
    <x v="158"/>
    <x v="8"/>
    <x v="12"/>
    <n v="40.299999999999997"/>
    <n v="161.19999999999999"/>
    <x v="6"/>
    <x v="12"/>
    <x v="2"/>
    <x v="2"/>
    <x v="0"/>
    <x v="0"/>
    <x v="7"/>
    <x v="0"/>
    <x v="1"/>
    <x v="2"/>
    <x v="7"/>
  </r>
  <r>
    <x v="159"/>
    <x v="6"/>
    <x v="9"/>
    <n v="51.8"/>
    <n v="259"/>
    <x v="6"/>
    <x v="6"/>
    <x v="1"/>
    <x v="2"/>
    <x v="2"/>
    <x v="0"/>
    <x v="8"/>
    <x v="3"/>
    <x v="1"/>
    <x v="1"/>
    <x v="8"/>
  </r>
  <r>
    <x v="160"/>
    <x v="6"/>
    <x v="2"/>
    <n v="61.3"/>
    <n v="183.89999999999998"/>
    <x v="6"/>
    <x v="6"/>
    <x v="2"/>
    <x v="3"/>
    <x v="0"/>
    <x v="0"/>
    <x v="8"/>
    <x v="3"/>
    <x v="1"/>
    <x v="2"/>
    <x v="8"/>
  </r>
  <r>
    <x v="161"/>
    <x v="2"/>
    <x v="12"/>
    <n v="122.5"/>
    <n v="490"/>
    <x v="6"/>
    <x v="6"/>
    <x v="1"/>
    <x v="0"/>
    <x v="0"/>
    <x v="0"/>
    <x v="8"/>
    <x v="3"/>
    <x v="1"/>
    <x v="1"/>
    <x v="8"/>
  </r>
  <r>
    <x v="162"/>
    <x v="0"/>
    <x v="11"/>
    <n v="12.5"/>
    <n v="112.5"/>
    <x v="6"/>
    <x v="6"/>
    <x v="0"/>
    <x v="1"/>
    <x v="2"/>
    <x v="0"/>
    <x v="8"/>
    <x v="3"/>
    <x v="1"/>
    <x v="0"/>
    <x v="8"/>
  </r>
  <r>
    <x v="163"/>
    <x v="15"/>
    <x v="8"/>
    <n v="37.5"/>
    <n v="300"/>
    <x v="6"/>
    <x v="6"/>
    <x v="2"/>
    <x v="0"/>
    <x v="0"/>
    <x v="0"/>
    <x v="9"/>
    <x v="3"/>
    <x v="1"/>
    <x v="2"/>
    <x v="9"/>
  </r>
  <r>
    <x v="164"/>
    <x v="6"/>
    <x v="2"/>
    <n v="40"/>
    <n v="120"/>
    <x v="6"/>
    <x v="9"/>
    <x v="1"/>
    <x v="0"/>
    <x v="4"/>
    <x v="0"/>
    <x v="11"/>
    <x v="2"/>
    <x v="1"/>
    <x v="1"/>
    <x v="11"/>
  </r>
  <r>
    <x v="165"/>
    <x v="17"/>
    <x v="8"/>
    <n v="38.5"/>
    <n v="308"/>
    <x v="6"/>
    <x v="12"/>
    <x v="2"/>
    <x v="2"/>
    <x v="1"/>
    <x v="0"/>
    <x v="11"/>
    <x v="0"/>
    <x v="1"/>
    <x v="2"/>
    <x v="11"/>
  </r>
  <r>
    <x v="166"/>
    <x v="2"/>
    <x v="1"/>
    <n v="86.4"/>
    <n v="172.8"/>
    <x v="6"/>
    <x v="8"/>
    <x v="2"/>
    <x v="0"/>
    <x v="0"/>
    <x v="0"/>
    <x v="18"/>
    <x v="1"/>
    <x v="1"/>
    <x v="2"/>
    <x v="18"/>
  </r>
  <r>
    <x v="167"/>
    <x v="10"/>
    <x v="0"/>
    <n v="50.7"/>
    <n v="50.7"/>
    <x v="6"/>
    <x v="7"/>
    <x v="2"/>
    <x v="1"/>
    <x v="0"/>
    <x v="0"/>
    <x v="18"/>
    <x v="5"/>
    <x v="1"/>
    <x v="2"/>
    <x v="18"/>
  </r>
  <r>
    <x v="168"/>
    <x v="10"/>
    <x v="1"/>
    <n v="61"/>
    <n v="122"/>
    <x v="6"/>
    <x v="13"/>
    <x v="2"/>
    <x v="4"/>
    <x v="1"/>
    <x v="0"/>
    <x v="18"/>
    <x v="11"/>
    <x v="1"/>
    <x v="2"/>
    <x v="18"/>
  </r>
  <r>
    <x v="169"/>
    <x v="4"/>
    <x v="1"/>
    <n v="19.899999999999999"/>
    <n v="39.799999999999997"/>
    <x v="6"/>
    <x v="9"/>
    <x v="2"/>
    <x v="1"/>
    <x v="0"/>
    <x v="0"/>
    <x v="28"/>
    <x v="2"/>
    <x v="1"/>
    <x v="2"/>
    <x v="28"/>
  </r>
  <r>
    <x v="170"/>
    <x v="5"/>
    <x v="0"/>
    <n v="78.3"/>
    <n v="78.3"/>
    <x v="6"/>
    <x v="4"/>
    <x v="2"/>
    <x v="0"/>
    <x v="2"/>
    <x v="0"/>
    <x v="1"/>
    <x v="7"/>
    <x v="1"/>
    <x v="2"/>
    <x v="1"/>
  </r>
  <r>
    <x v="171"/>
    <x v="0"/>
    <x v="10"/>
    <n v="10.4"/>
    <n v="197.6"/>
    <x v="6"/>
    <x v="8"/>
    <x v="1"/>
    <x v="0"/>
    <x v="2"/>
    <x v="0"/>
    <x v="2"/>
    <x v="1"/>
    <x v="1"/>
    <x v="1"/>
    <x v="2"/>
  </r>
  <r>
    <x v="172"/>
    <x v="10"/>
    <x v="0"/>
    <n v="36.1"/>
    <n v="36.1"/>
    <x v="6"/>
    <x v="9"/>
    <x v="1"/>
    <x v="3"/>
    <x v="2"/>
    <x v="0"/>
    <x v="3"/>
    <x v="2"/>
    <x v="1"/>
    <x v="1"/>
    <x v="3"/>
  </r>
  <r>
    <x v="173"/>
    <x v="14"/>
    <x v="1"/>
    <n v="17.3"/>
    <n v="34.6"/>
    <x v="6"/>
    <x v="8"/>
    <x v="2"/>
    <x v="1"/>
    <x v="2"/>
    <x v="0"/>
    <x v="3"/>
    <x v="1"/>
    <x v="1"/>
    <x v="2"/>
    <x v="3"/>
  </r>
  <r>
    <x v="174"/>
    <x v="10"/>
    <x v="1"/>
    <n v="30.5"/>
    <n v="61"/>
    <x v="6"/>
    <x v="6"/>
    <x v="2"/>
    <x v="1"/>
    <x v="2"/>
    <x v="0"/>
    <x v="3"/>
    <x v="3"/>
    <x v="1"/>
    <x v="2"/>
    <x v="3"/>
  </r>
  <r>
    <x v="175"/>
    <x v="18"/>
    <x v="22"/>
    <n v="70.099999999999994"/>
    <n v="4346.2"/>
    <x v="6"/>
    <x v="4"/>
    <x v="2"/>
    <x v="2"/>
    <x v="0"/>
    <x v="0"/>
    <x v="3"/>
    <x v="7"/>
    <x v="1"/>
    <x v="2"/>
    <x v="3"/>
  </r>
  <r>
    <x v="176"/>
    <x v="3"/>
    <x v="0"/>
    <n v="76.099999999999994"/>
    <n v="76.099999999999994"/>
    <x v="6"/>
    <x v="4"/>
    <x v="2"/>
    <x v="2"/>
    <x v="1"/>
    <x v="0"/>
    <x v="3"/>
    <x v="7"/>
    <x v="1"/>
    <x v="2"/>
    <x v="3"/>
  </r>
  <r>
    <x v="177"/>
    <x v="15"/>
    <x v="15"/>
    <n v="34.200000000000003"/>
    <n v="444.6"/>
    <x v="6"/>
    <x v="6"/>
    <x v="1"/>
    <x v="0"/>
    <x v="0"/>
    <x v="0"/>
    <x v="3"/>
    <x v="3"/>
    <x v="1"/>
    <x v="1"/>
    <x v="3"/>
  </r>
  <r>
    <x v="178"/>
    <x v="8"/>
    <x v="9"/>
    <n v="30.3"/>
    <n v="151.5"/>
    <x v="6"/>
    <x v="12"/>
    <x v="2"/>
    <x v="4"/>
    <x v="0"/>
    <x v="0"/>
    <x v="3"/>
    <x v="0"/>
    <x v="1"/>
    <x v="2"/>
    <x v="3"/>
  </r>
  <r>
    <x v="179"/>
    <x v="6"/>
    <x v="9"/>
    <n v="52.5"/>
    <n v="262.5"/>
    <x v="6"/>
    <x v="7"/>
    <x v="0"/>
    <x v="3"/>
    <x v="0"/>
    <x v="0"/>
    <x v="3"/>
    <x v="5"/>
    <x v="1"/>
    <x v="0"/>
    <x v="3"/>
  </r>
  <r>
    <x v="180"/>
    <x v="9"/>
    <x v="5"/>
    <n v="28.7"/>
    <n v="315.7"/>
    <x v="6"/>
    <x v="6"/>
    <x v="2"/>
    <x v="2"/>
    <x v="0"/>
    <x v="0"/>
    <x v="3"/>
    <x v="3"/>
    <x v="1"/>
    <x v="2"/>
    <x v="3"/>
  </r>
  <r>
    <x v="181"/>
    <x v="7"/>
    <x v="3"/>
    <n v="52"/>
    <n v="364"/>
    <x v="6"/>
    <x v="6"/>
    <x v="1"/>
    <x v="1"/>
    <x v="4"/>
    <x v="0"/>
    <x v="3"/>
    <x v="3"/>
    <x v="1"/>
    <x v="1"/>
    <x v="3"/>
  </r>
  <r>
    <x v="182"/>
    <x v="0"/>
    <x v="0"/>
    <n v="13.3"/>
    <n v="13.3"/>
    <x v="7"/>
    <x v="12"/>
    <x v="2"/>
    <x v="2"/>
    <x v="1"/>
    <x v="0"/>
    <x v="3"/>
    <x v="5"/>
    <x v="1"/>
    <x v="2"/>
    <x v="3"/>
  </r>
  <r>
    <x v="183"/>
    <x v="0"/>
    <x v="2"/>
    <n v="15.7"/>
    <n v="47.099999999999994"/>
    <x v="7"/>
    <x v="8"/>
    <x v="2"/>
    <x v="1"/>
    <x v="0"/>
    <x v="0"/>
    <x v="29"/>
    <x v="3"/>
    <x v="1"/>
    <x v="2"/>
    <x v="29"/>
  </r>
  <r>
    <x v="184"/>
    <x v="8"/>
    <x v="1"/>
    <n v="25.6"/>
    <n v="51.2"/>
    <x v="7"/>
    <x v="8"/>
    <x v="1"/>
    <x v="0"/>
    <x v="2"/>
    <x v="0"/>
    <x v="23"/>
    <x v="3"/>
    <x v="1"/>
    <x v="1"/>
    <x v="23"/>
  </r>
  <r>
    <x v="185"/>
    <x v="8"/>
    <x v="0"/>
    <n v="43.4"/>
    <n v="43.4"/>
    <x v="7"/>
    <x v="14"/>
    <x v="1"/>
    <x v="0"/>
    <x v="0"/>
    <x v="0"/>
    <x v="6"/>
    <x v="0"/>
    <x v="1"/>
    <x v="1"/>
    <x v="6"/>
  </r>
  <r>
    <x v="186"/>
    <x v="11"/>
    <x v="11"/>
    <n v="33.4"/>
    <n v="300.59999999999997"/>
    <x v="7"/>
    <x v="6"/>
    <x v="2"/>
    <x v="0"/>
    <x v="0"/>
    <x v="0"/>
    <x v="8"/>
    <x v="7"/>
    <x v="1"/>
    <x v="2"/>
    <x v="8"/>
  </r>
  <r>
    <x v="187"/>
    <x v="8"/>
    <x v="10"/>
    <n v="55"/>
    <n v="1045"/>
    <x v="7"/>
    <x v="8"/>
    <x v="2"/>
    <x v="1"/>
    <x v="2"/>
    <x v="0"/>
    <x v="8"/>
    <x v="3"/>
    <x v="1"/>
    <x v="2"/>
    <x v="8"/>
  </r>
  <r>
    <x v="188"/>
    <x v="8"/>
    <x v="2"/>
    <n v="23.6"/>
    <n v="70.800000000000011"/>
    <x v="7"/>
    <x v="8"/>
    <x v="1"/>
    <x v="0"/>
    <x v="2"/>
    <x v="0"/>
    <x v="8"/>
    <x v="3"/>
    <x v="1"/>
    <x v="1"/>
    <x v="8"/>
  </r>
  <r>
    <x v="189"/>
    <x v="12"/>
    <x v="11"/>
    <n v="104"/>
    <n v="936"/>
    <x v="7"/>
    <x v="9"/>
    <x v="2"/>
    <x v="2"/>
    <x v="2"/>
    <x v="0"/>
    <x v="17"/>
    <x v="1"/>
    <x v="1"/>
    <x v="2"/>
    <x v="17"/>
  </r>
  <r>
    <x v="190"/>
    <x v="6"/>
    <x v="1"/>
    <n v="51.8"/>
    <n v="103.6"/>
    <x v="7"/>
    <x v="12"/>
    <x v="0"/>
    <x v="0"/>
    <x v="2"/>
    <x v="0"/>
    <x v="10"/>
    <x v="5"/>
    <x v="1"/>
    <x v="0"/>
    <x v="10"/>
  </r>
  <r>
    <x v="191"/>
    <x v="10"/>
    <x v="9"/>
    <n v="34.5"/>
    <n v="172.5"/>
    <x v="7"/>
    <x v="9"/>
    <x v="0"/>
    <x v="2"/>
    <x v="2"/>
    <x v="0"/>
    <x v="11"/>
    <x v="1"/>
    <x v="1"/>
    <x v="0"/>
    <x v="11"/>
  </r>
  <r>
    <x v="192"/>
    <x v="6"/>
    <x v="1"/>
    <n v="51.8"/>
    <n v="103.6"/>
    <x v="7"/>
    <x v="9"/>
    <x v="1"/>
    <x v="1"/>
    <x v="2"/>
    <x v="0"/>
    <x v="30"/>
    <x v="1"/>
    <x v="1"/>
    <x v="1"/>
    <x v="30"/>
  </r>
  <r>
    <x v="193"/>
    <x v="18"/>
    <x v="23"/>
    <n v="131.5"/>
    <n v="5654.5"/>
    <x v="7"/>
    <x v="8"/>
    <x v="2"/>
    <x v="0"/>
    <x v="2"/>
    <x v="0"/>
    <x v="18"/>
    <x v="3"/>
    <x v="1"/>
    <x v="2"/>
    <x v="18"/>
  </r>
  <r>
    <x v="194"/>
    <x v="8"/>
    <x v="3"/>
    <n v="47.8"/>
    <n v="334.59999999999997"/>
    <x v="7"/>
    <x v="6"/>
    <x v="2"/>
    <x v="0"/>
    <x v="0"/>
    <x v="0"/>
    <x v="19"/>
    <x v="7"/>
    <x v="1"/>
    <x v="2"/>
    <x v="19"/>
  </r>
  <r>
    <x v="195"/>
    <x v="0"/>
    <x v="1"/>
    <n v="10.199999999999999"/>
    <n v="20.399999999999999"/>
    <x v="7"/>
    <x v="9"/>
    <x v="2"/>
    <x v="0"/>
    <x v="0"/>
    <x v="0"/>
    <x v="19"/>
    <x v="1"/>
    <x v="1"/>
    <x v="2"/>
    <x v="19"/>
  </r>
  <r>
    <x v="196"/>
    <x v="8"/>
    <x v="8"/>
    <n v="41"/>
    <n v="328"/>
    <x v="7"/>
    <x v="6"/>
    <x v="2"/>
    <x v="1"/>
    <x v="2"/>
    <x v="0"/>
    <x v="19"/>
    <x v="7"/>
    <x v="1"/>
    <x v="2"/>
    <x v="19"/>
  </r>
  <r>
    <x v="197"/>
    <x v="10"/>
    <x v="3"/>
    <n v="50.8"/>
    <n v="355.59999999999997"/>
    <x v="7"/>
    <x v="7"/>
    <x v="2"/>
    <x v="1"/>
    <x v="0"/>
    <x v="0"/>
    <x v="21"/>
    <x v="2"/>
    <x v="1"/>
    <x v="2"/>
    <x v="21"/>
  </r>
  <r>
    <x v="198"/>
    <x v="18"/>
    <x v="2"/>
    <n v="39.6"/>
    <n v="118.80000000000001"/>
    <x v="7"/>
    <x v="8"/>
    <x v="1"/>
    <x v="2"/>
    <x v="2"/>
    <x v="0"/>
    <x v="1"/>
    <x v="3"/>
    <x v="1"/>
    <x v="1"/>
    <x v="1"/>
  </r>
  <r>
    <x v="199"/>
    <x v="5"/>
    <x v="1"/>
    <n v="69.5"/>
    <n v="139"/>
    <x v="7"/>
    <x v="9"/>
    <x v="1"/>
    <x v="0"/>
    <x v="2"/>
    <x v="0"/>
    <x v="2"/>
    <x v="1"/>
    <x v="1"/>
    <x v="1"/>
    <x v="2"/>
  </r>
  <r>
    <x v="200"/>
    <x v="8"/>
    <x v="8"/>
    <n v="32.6"/>
    <n v="260.8"/>
    <x v="7"/>
    <x v="7"/>
    <x v="1"/>
    <x v="1"/>
    <x v="0"/>
    <x v="0"/>
    <x v="3"/>
    <x v="2"/>
    <x v="1"/>
    <x v="1"/>
    <x v="3"/>
  </r>
  <r>
    <x v="201"/>
    <x v="7"/>
    <x v="1"/>
    <n v="49.1"/>
    <n v="98.2"/>
    <x v="7"/>
    <x v="15"/>
    <x v="1"/>
    <x v="3"/>
    <x v="2"/>
    <x v="0"/>
    <x v="3"/>
    <x v="9"/>
    <x v="1"/>
    <x v="1"/>
    <x v="3"/>
  </r>
  <r>
    <x v="202"/>
    <x v="6"/>
    <x v="1"/>
    <n v="49.4"/>
    <n v="98.8"/>
    <x v="8"/>
    <x v="9"/>
    <x v="2"/>
    <x v="2"/>
    <x v="0"/>
    <x v="0"/>
    <x v="3"/>
    <x v="3"/>
    <x v="1"/>
    <x v="2"/>
    <x v="3"/>
  </r>
  <r>
    <x v="203"/>
    <x v="7"/>
    <x v="3"/>
    <n v="65.099999999999994"/>
    <n v="455.69999999999993"/>
    <x v="8"/>
    <x v="12"/>
    <x v="2"/>
    <x v="2"/>
    <x v="2"/>
    <x v="0"/>
    <x v="3"/>
    <x v="2"/>
    <x v="1"/>
    <x v="2"/>
    <x v="3"/>
  </r>
  <r>
    <x v="204"/>
    <x v="3"/>
    <x v="1"/>
    <n v="52.1"/>
    <n v="104.2"/>
    <x v="8"/>
    <x v="14"/>
    <x v="2"/>
    <x v="2"/>
    <x v="0"/>
    <x v="0"/>
    <x v="3"/>
    <x v="5"/>
    <x v="1"/>
    <x v="2"/>
    <x v="3"/>
  </r>
  <r>
    <x v="205"/>
    <x v="2"/>
    <x v="12"/>
    <n v="129.19999999999999"/>
    <n v="516.79999999999995"/>
    <x v="8"/>
    <x v="9"/>
    <x v="2"/>
    <x v="1"/>
    <x v="0"/>
    <x v="0"/>
    <x v="3"/>
    <x v="3"/>
    <x v="1"/>
    <x v="2"/>
    <x v="3"/>
  </r>
  <r>
    <x v="206"/>
    <x v="1"/>
    <x v="10"/>
    <n v="81.8"/>
    <n v="1554.2"/>
    <x v="8"/>
    <x v="8"/>
    <x v="2"/>
    <x v="1"/>
    <x v="1"/>
    <x v="0"/>
    <x v="3"/>
    <x v="7"/>
    <x v="1"/>
    <x v="2"/>
    <x v="3"/>
  </r>
  <r>
    <x v="207"/>
    <x v="17"/>
    <x v="0"/>
    <n v="24.9"/>
    <n v="24.9"/>
    <x v="8"/>
    <x v="14"/>
    <x v="2"/>
    <x v="1"/>
    <x v="0"/>
    <x v="0"/>
    <x v="3"/>
    <x v="5"/>
    <x v="1"/>
    <x v="2"/>
    <x v="3"/>
  </r>
  <r>
    <x v="208"/>
    <x v="0"/>
    <x v="2"/>
    <n v="49.4"/>
    <n v="148.19999999999999"/>
    <x v="8"/>
    <x v="12"/>
    <x v="2"/>
    <x v="4"/>
    <x v="4"/>
    <x v="0"/>
    <x v="3"/>
    <x v="2"/>
    <x v="1"/>
    <x v="2"/>
    <x v="3"/>
  </r>
  <r>
    <x v="209"/>
    <x v="8"/>
    <x v="1"/>
    <n v="22.7"/>
    <n v="45.4"/>
    <x v="8"/>
    <x v="9"/>
    <x v="1"/>
    <x v="3"/>
    <x v="2"/>
    <x v="0"/>
    <x v="3"/>
    <x v="3"/>
    <x v="1"/>
    <x v="1"/>
    <x v="3"/>
  </r>
  <r>
    <x v="210"/>
    <x v="1"/>
    <x v="0"/>
    <n v="77.3"/>
    <n v="77.3"/>
    <x v="8"/>
    <x v="8"/>
    <x v="2"/>
    <x v="0"/>
    <x v="2"/>
    <x v="0"/>
    <x v="6"/>
    <x v="7"/>
    <x v="1"/>
    <x v="2"/>
    <x v="6"/>
  </r>
  <r>
    <x v="211"/>
    <x v="1"/>
    <x v="9"/>
    <n v="109.1"/>
    <n v="545.5"/>
    <x v="8"/>
    <x v="12"/>
    <x v="2"/>
    <x v="0"/>
    <x v="0"/>
    <x v="0"/>
    <x v="6"/>
    <x v="2"/>
    <x v="1"/>
    <x v="2"/>
    <x v="6"/>
  </r>
  <r>
    <x v="212"/>
    <x v="2"/>
    <x v="12"/>
    <n v="53.9"/>
    <n v="215.6"/>
    <x v="8"/>
    <x v="9"/>
    <x v="1"/>
    <x v="0"/>
    <x v="1"/>
    <x v="0"/>
    <x v="8"/>
    <x v="3"/>
    <x v="1"/>
    <x v="1"/>
    <x v="8"/>
  </r>
  <r>
    <x v="213"/>
    <x v="9"/>
    <x v="18"/>
    <n v="21.2"/>
    <n v="551.19999999999993"/>
    <x v="8"/>
    <x v="8"/>
    <x v="2"/>
    <x v="0"/>
    <x v="0"/>
    <x v="0"/>
    <x v="9"/>
    <x v="7"/>
    <x v="1"/>
    <x v="2"/>
    <x v="9"/>
  </r>
  <r>
    <x v="214"/>
    <x v="16"/>
    <x v="12"/>
    <n v="69"/>
    <n v="276"/>
    <x v="8"/>
    <x v="7"/>
    <x v="2"/>
    <x v="1"/>
    <x v="1"/>
    <x v="0"/>
    <x v="18"/>
    <x v="1"/>
    <x v="1"/>
    <x v="2"/>
    <x v="18"/>
  </r>
  <r>
    <x v="215"/>
    <x v="6"/>
    <x v="2"/>
    <n v="46.2"/>
    <n v="138.60000000000002"/>
    <x v="8"/>
    <x v="7"/>
    <x v="2"/>
    <x v="0"/>
    <x v="2"/>
    <x v="0"/>
    <x v="31"/>
    <x v="1"/>
    <x v="1"/>
    <x v="2"/>
    <x v="31"/>
  </r>
  <r>
    <x v="216"/>
    <x v="1"/>
    <x v="9"/>
    <n v="97.4"/>
    <n v="487"/>
    <x v="8"/>
    <x v="14"/>
    <x v="2"/>
    <x v="4"/>
    <x v="2"/>
    <x v="0"/>
    <x v="21"/>
    <x v="5"/>
    <x v="1"/>
    <x v="2"/>
    <x v="21"/>
  </r>
  <r>
    <x v="217"/>
    <x v="8"/>
    <x v="9"/>
    <n v="21"/>
    <n v="105"/>
    <x v="8"/>
    <x v="9"/>
    <x v="1"/>
    <x v="0"/>
    <x v="1"/>
    <x v="0"/>
    <x v="21"/>
    <x v="3"/>
    <x v="1"/>
    <x v="1"/>
    <x v="21"/>
  </r>
  <r>
    <x v="218"/>
    <x v="5"/>
    <x v="1"/>
    <n v="32.700000000000003"/>
    <n v="65.400000000000006"/>
    <x v="9"/>
    <x v="14"/>
    <x v="2"/>
    <x v="1"/>
    <x v="0"/>
    <x v="0"/>
    <x v="2"/>
    <x v="2"/>
    <x v="1"/>
    <x v="2"/>
    <x v="2"/>
  </r>
  <r>
    <x v="219"/>
    <x v="6"/>
    <x v="12"/>
    <n v="48"/>
    <n v="192"/>
    <x v="9"/>
    <x v="7"/>
    <x v="1"/>
    <x v="3"/>
    <x v="0"/>
    <x v="0"/>
    <x v="3"/>
    <x v="3"/>
    <x v="1"/>
    <x v="1"/>
    <x v="3"/>
  </r>
  <r>
    <x v="220"/>
    <x v="6"/>
    <x v="2"/>
    <n v="68.2"/>
    <n v="204.60000000000002"/>
    <x v="9"/>
    <x v="16"/>
    <x v="0"/>
    <x v="0"/>
    <x v="2"/>
    <x v="0"/>
    <x v="3"/>
    <x v="5"/>
    <x v="1"/>
    <x v="0"/>
    <x v="3"/>
  </r>
  <r>
    <x v="221"/>
    <x v="5"/>
    <x v="0"/>
    <n v="45.4"/>
    <n v="45.4"/>
    <x v="9"/>
    <x v="12"/>
    <x v="1"/>
    <x v="1"/>
    <x v="0"/>
    <x v="0"/>
    <x v="3"/>
    <x v="1"/>
    <x v="1"/>
    <x v="1"/>
    <x v="3"/>
  </r>
  <r>
    <x v="222"/>
    <x v="12"/>
    <x v="1"/>
    <n v="53.9"/>
    <n v="107.8"/>
    <x v="9"/>
    <x v="7"/>
    <x v="2"/>
    <x v="2"/>
    <x v="0"/>
    <x v="0"/>
    <x v="3"/>
    <x v="3"/>
    <x v="1"/>
    <x v="2"/>
    <x v="3"/>
  </r>
  <r>
    <x v="223"/>
    <x v="2"/>
    <x v="12"/>
    <n v="62.1"/>
    <n v="248.4"/>
    <x v="9"/>
    <x v="16"/>
    <x v="2"/>
    <x v="0"/>
    <x v="0"/>
    <x v="0"/>
    <x v="4"/>
    <x v="5"/>
    <x v="1"/>
    <x v="2"/>
    <x v="4"/>
  </r>
  <r>
    <x v="224"/>
    <x v="13"/>
    <x v="3"/>
    <n v="33.1"/>
    <n v="231.70000000000002"/>
    <x v="9"/>
    <x v="11"/>
    <x v="1"/>
    <x v="1"/>
    <x v="0"/>
    <x v="0"/>
    <x v="6"/>
    <x v="0"/>
    <x v="1"/>
    <x v="1"/>
    <x v="6"/>
  </r>
  <r>
    <x v="225"/>
    <x v="18"/>
    <x v="9"/>
    <n v="35.200000000000003"/>
    <n v="176"/>
    <x v="9"/>
    <x v="9"/>
    <x v="2"/>
    <x v="1"/>
    <x v="0"/>
    <x v="0"/>
    <x v="6"/>
    <x v="7"/>
    <x v="1"/>
    <x v="2"/>
    <x v="6"/>
  </r>
  <r>
    <x v="226"/>
    <x v="9"/>
    <x v="2"/>
    <n v="32.1"/>
    <n v="96.300000000000011"/>
    <x v="9"/>
    <x v="11"/>
    <x v="1"/>
    <x v="3"/>
    <x v="0"/>
    <x v="0"/>
    <x v="8"/>
    <x v="0"/>
    <x v="1"/>
    <x v="1"/>
    <x v="8"/>
  </r>
  <r>
    <x v="227"/>
    <x v="11"/>
    <x v="0"/>
    <n v="38.1"/>
    <n v="38.1"/>
    <x v="9"/>
    <x v="11"/>
    <x v="2"/>
    <x v="0"/>
    <x v="2"/>
    <x v="0"/>
    <x v="8"/>
    <x v="0"/>
    <x v="1"/>
    <x v="2"/>
    <x v="8"/>
  </r>
  <r>
    <x v="228"/>
    <x v="8"/>
    <x v="0"/>
    <n v="65.2"/>
    <n v="65.2"/>
    <x v="9"/>
    <x v="11"/>
    <x v="2"/>
    <x v="3"/>
    <x v="1"/>
    <x v="0"/>
    <x v="8"/>
    <x v="0"/>
    <x v="1"/>
    <x v="2"/>
    <x v="8"/>
  </r>
  <r>
    <x v="229"/>
    <x v="10"/>
    <x v="3"/>
    <n v="55.2"/>
    <n v="386.40000000000003"/>
    <x v="9"/>
    <x v="7"/>
    <x v="1"/>
    <x v="2"/>
    <x v="0"/>
    <x v="0"/>
    <x v="11"/>
    <x v="3"/>
    <x v="1"/>
    <x v="1"/>
    <x v="11"/>
  </r>
  <r>
    <x v="230"/>
    <x v="6"/>
    <x v="0"/>
    <n v="62"/>
    <n v="62"/>
    <x v="9"/>
    <x v="16"/>
    <x v="2"/>
    <x v="0"/>
    <x v="0"/>
    <x v="0"/>
    <x v="11"/>
    <x v="5"/>
    <x v="1"/>
    <x v="2"/>
    <x v="11"/>
  </r>
  <r>
    <x v="231"/>
    <x v="7"/>
    <x v="2"/>
    <n v="45.9"/>
    <n v="137.69999999999999"/>
    <x v="9"/>
    <x v="7"/>
    <x v="2"/>
    <x v="2"/>
    <x v="0"/>
    <x v="0"/>
    <x v="32"/>
    <x v="3"/>
    <x v="1"/>
    <x v="2"/>
    <x v="32"/>
  </r>
  <r>
    <x v="232"/>
    <x v="18"/>
    <x v="2"/>
    <n v="58.3"/>
    <n v="174.89999999999998"/>
    <x v="9"/>
    <x v="9"/>
    <x v="1"/>
    <x v="1"/>
    <x v="1"/>
    <x v="0"/>
    <x v="18"/>
    <x v="7"/>
    <x v="1"/>
    <x v="1"/>
    <x v="18"/>
  </r>
  <r>
    <x v="233"/>
    <x v="8"/>
    <x v="1"/>
    <n v="22.3"/>
    <n v="44.6"/>
    <x v="9"/>
    <x v="14"/>
    <x v="2"/>
    <x v="0"/>
    <x v="2"/>
    <x v="0"/>
    <x v="20"/>
    <x v="2"/>
    <x v="1"/>
    <x v="2"/>
    <x v="20"/>
  </r>
  <r>
    <x v="234"/>
    <x v="19"/>
    <x v="9"/>
    <n v="24"/>
    <n v="120"/>
    <x v="9"/>
    <x v="7"/>
    <x v="1"/>
    <x v="4"/>
    <x v="0"/>
    <x v="0"/>
    <x v="1"/>
    <x v="3"/>
    <x v="1"/>
    <x v="1"/>
    <x v="1"/>
  </r>
  <r>
    <x v="235"/>
    <x v="0"/>
    <x v="7"/>
    <n v="21.3"/>
    <n v="213"/>
    <x v="9"/>
    <x v="9"/>
    <x v="2"/>
    <x v="1"/>
    <x v="2"/>
    <x v="0"/>
    <x v="22"/>
    <x v="7"/>
    <x v="1"/>
    <x v="2"/>
    <x v="22"/>
  </r>
  <r>
    <x v="236"/>
    <x v="6"/>
    <x v="24"/>
    <n v="57.8"/>
    <n v="2369.7999999999997"/>
    <x v="9"/>
    <x v="12"/>
    <x v="2"/>
    <x v="0"/>
    <x v="2"/>
    <x v="0"/>
    <x v="3"/>
    <x v="1"/>
    <x v="1"/>
    <x v="2"/>
    <x v="3"/>
  </r>
  <r>
    <x v="237"/>
    <x v="10"/>
    <x v="2"/>
    <n v="67.599999999999994"/>
    <n v="202.79999999999998"/>
    <x v="9"/>
    <x v="7"/>
    <x v="2"/>
    <x v="0"/>
    <x v="0"/>
    <x v="0"/>
    <x v="3"/>
    <x v="3"/>
    <x v="1"/>
    <x v="2"/>
    <x v="3"/>
  </r>
  <r>
    <x v="238"/>
    <x v="6"/>
    <x v="13"/>
    <n v="66.7"/>
    <n v="400.20000000000005"/>
    <x v="9"/>
    <x v="16"/>
    <x v="1"/>
    <x v="4"/>
    <x v="1"/>
    <x v="0"/>
    <x v="3"/>
    <x v="5"/>
    <x v="1"/>
    <x v="1"/>
    <x v="3"/>
  </r>
  <r>
    <x v="239"/>
    <x v="1"/>
    <x v="12"/>
    <n v="53.1"/>
    <n v="212.4"/>
    <x v="9"/>
    <x v="12"/>
    <x v="2"/>
    <x v="1"/>
    <x v="0"/>
    <x v="0"/>
    <x v="3"/>
    <x v="1"/>
    <x v="1"/>
    <x v="2"/>
    <x v="3"/>
  </r>
  <r>
    <x v="240"/>
    <x v="12"/>
    <x v="2"/>
    <n v="57.4"/>
    <n v="172.2"/>
    <x v="9"/>
    <x v="14"/>
    <x v="2"/>
    <x v="0"/>
    <x v="2"/>
    <x v="0"/>
    <x v="29"/>
    <x v="2"/>
    <x v="1"/>
    <x v="2"/>
    <x v="29"/>
  </r>
  <r>
    <x v="241"/>
    <x v="2"/>
    <x v="9"/>
    <n v="58.1"/>
    <n v="290.5"/>
    <x v="9"/>
    <x v="9"/>
    <x v="1"/>
    <x v="2"/>
    <x v="2"/>
    <x v="0"/>
    <x v="6"/>
    <x v="7"/>
    <x v="1"/>
    <x v="1"/>
    <x v="6"/>
  </r>
  <r>
    <x v="242"/>
    <x v="5"/>
    <x v="2"/>
    <n v="31.8"/>
    <n v="95.4"/>
    <x v="10"/>
    <x v="14"/>
    <x v="1"/>
    <x v="3"/>
    <x v="0"/>
    <x v="0"/>
    <x v="6"/>
    <x v="1"/>
    <x v="1"/>
    <x v="1"/>
    <x v="6"/>
  </r>
  <r>
    <x v="243"/>
    <x v="4"/>
    <x v="2"/>
    <n v="31.5"/>
    <n v="94.5"/>
    <x v="10"/>
    <x v="16"/>
    <x v="1"/>
    <x v="0"/>
    <x v="1"/>
    <x v="0"/>
    <x v="8"/>
    <x v="2"/>
    <x v="1"/>
    <x v="1"/>
    <x v="8"/>
  </r>
  <r>
    <x v="244"/>
    <x v="6"/>
    <x v="3"/>
    <n v="55.9"/>
    <n v="391.3"/>
    <x v="10"/>
    <x v="11"/>
    <x v="2"/>
    <x v="1"/>
    <x v="2"/>
    <x v="0"/>
    <x v="8"/>
    <x v="5"/>
    <x v="1"/>
    <x v="2"/>
    <x v="8"/>
  </r>
  <r>
    <x v="245"/>
    <x v="8"/>
    <x v="1"/>
    <n v="36.4"/>
    <n v="72.8"/>
    <x v="10"/>
    <x v="12"/>
    <x v="1"/>
    <x v="1"/>
    <x v="1"/>
    <x v="0"/>
    <x v="9"/>
    <x v="3"/>
    <x v="1"/>
    <x v="1"/>
    <x v="9"/>
  </r>
  <r>
    <x v="246"/>
    <x v="1"/>
    <x v="9"/>
    <n v="47.3"/>
    <n v="236.5"/>
    <x v="10"/>
    <x v="16"/>
    <x v="1"/>
    <x v="2"/>
    <x v="0"/>
    <x v="0"/>
    <x v="10"/>
    <x v="2"/>
    <x v="1"/>
    <x v="1"/>
    <x v="10"/>
  </r>
  <r>
    <x v="247"/>
    <x v="6"/>
    <x v="2"/>
    <n v="82.5"/>
    <n v="247.5"/>
    <x v="10"/>
    <x v="12"/>
    <x v="1"/>
    <x v="0"/>
    <x v="0"/>
    <x v="0"/>
    <x v="11"/>
    <x v="3"/>
    <x v="1"/>
    <x v="1"/>
    <x v="11"/>
  </r>
  <r>
    <x v="248"/>
    <x v="0"/>
    <x v="0"/>
    <n v="14.3"/>
    <n v="14.3"/>
    <x v="10"/>
    <x v="12"/>
    <x v="2"/>
    <x v="0"/>
    <x v="0"/>
    <x v="0"/>
    <x v="21"/>
    <x v="3"/>
    <x v="1"/>
    <x v="2"/>
    <x v="21"/>
  </r>
  <r>
    <x v="249"/>
    <x v="2"/>
    <x v="13"/>
    <n v="57.6"/>
    <n v="345.6"/>
    <x v="10"/>
    <x v="17"/>
    <x v="2"/>
    <x v="0"/>
    <x v="0"/>
    <x v="0"/>
    <x v="21"/>
    <x v="12"/>
    <x v="1"/>
    <x v="2"/>
    <x v="21"/>
  </r>
  <r>
    <x v="250"/>
    <x v="2"/>
    <x v="2"/>
    <n v="142.4"/>
    <n v="427.20000000000005"/>
    <x v="10"/>
    <x v="14"/>
    <x v="1"/>
    <x v="4"/>
    <x v="1"/>
    <x v="0"/>
    <x v="21"/>
    <x v="1"/>
    <x v="1"/>
    <x v="1"/>
    <x v="21"/>
  </r>
  <r>
    <x v="251"/>
    <x v="12"/>
    <x v="0"/>
    <n v="30.2"/>
    <n v="30.2"/>
    <x v="10"/>
    <x v="11"/>
    <x v="1"/>
    <x v="1"/>
    <x v="2"/>
    <x v="0"/>
    <x v="2"/>
    <x v="5"/>
    <x v="1"/>
    <x v="1"/>
    <x v="2"/>
  </r>
  <r>
    <x v="252"/>
    <x v="18"/>
    <x v="2"/>
    <n v="65.3"/>
    <n v="195.89999999999998"/>
    <x v="10"/>
    <x v="12"/>
    <x v="3"/>
    <x v="1"/>
    <x v="0"/>
    <x v="0"/>
    <x v="33"/>
    <x v="3"/>
    <x v="1"/>
    <x v="3"/>
    <x v="33"/>
  </r>
  <r>
    <x v="253"/>
    <x v="0"/>
    <x v="1"/>
    <n v="33.4"/>
    <n v="66.8"/>
    <x v="10"/>
    <x v="12"/>
    <x v="1"/>
    <x v="1"/>
    <x v="1"/>
    <x v="0"/>
    <x v="22"/>
    <x v="3"/>
    <x v="1"/>
    <x v="1"/>
    <x v="22"/>
  </r>
  <r>
    <x v="254"/>
    <x v="7"/>
    <x v="1"/>
    <n v="45.1"/>
    <n v="90.2"/>
    <x v="10"/>
    <x v="18"/>
    <x v="1"/>
    <x v="0"/>
    <x v="0"/>
    <x v="0"/>
    <x v="34"/>
    <x v="9"/>
    <x v="1"/>
    <x v="1"/>
    <x v="34"/>
  </r>
  <r>
    <x v="255"/>
    <x v="2"/>
    <x v="3"/>
    <n v="61.7"/>
    <n v="431.90000000000003"/>
    <x v="10"/>
    <x v="14"/>
    <x v="2"/>
    <x v="4"/>
    <x v="0"/>
    <x v="0"/>
    <x v="3"/>
    <x v="1"/>
    <x v="1"/>
    <x v="2"/>
    <x v="3"/>
  </r>
  <r>
    <x v="256"/>
    <x v="9"/>
    <x v="2"/>
    <n v="45.1"/>
    <n v="135.30000000000001"/>
    <x v="11"/>
    <x v="14"/>
    <x v="1"/>
    <x v="4"/>
    <x v="1"/>
    <x v="0"/>
    <x v="3"/>
    <x v="3"/>
    <x v="2"/>
    <x v="1"/>
    <x v="3"/>
  </r>
  <r>
    <x v="257"/>
    <x v="15"/>
    <x v="9"/>
    <n v="22.7"/>
    <n v="113.5"/>
    <x v="11"/>
    <x v="10"/>
    <x v="1"/>
    <x v="0"/>
    <x v="2"/>
    <x v="0"/>
    <x v="35"/>
    <x v="0"/>
    <x v="2"/>
    <x v="1"/>
    <x v="35"/>
  </r>
  <r>
    <x v="258"/>
    <x v="8"/>
    <x v="0"/>
    <n v="17.600000000000001"/>
    <n v="17.600000000000001"/>
    <x v="11"/>
    <x v="14"/>
    <x v="2"/>
    <x v="0"/>
    <x v="2"/>
    <x v="0"/>
    <x v="23"/>
    <x v="3"/>
    <x v="2"/>
    <x v="2"/>
    <x v="23"/>
  </r>
  <r>
    <x v="259"/>
    <x v="14"/>
    <x v="1"/>
    <n v="11.3"/>
    <n v="22.6"/>
    <x v="11"/>
    <x v="11"/>
    <x v="2"/>
    <x v="3"/>
    <x v="2"/>
    <x v="0"/>
    <x v="23"/>
    <x v="2"/>
    <x v="2"/>
    <x v="2"/>
    <x v="23"/>
  </r>
  <r>
    <x v="260"/>
    <x v="6"/>
    <x v="2"/>
    <n v="53.4"/>
    <n v="160.19999999999999"/>
    <x v="11"/>
    <x v="11"/>
    <x v="1"/>
    <x v="3"/>
    <x v="2"/>
    <x v="0"/>
    <x v="36"/>
    <x v="2"/>
    <x v="2"/>
    <x v="1"/>
    <x v="36"/>
  </r>
  <r>
    <x v="261"/>
    <x v="6"/>
    <x v="5"/>
    <n v="51.1"/>
    <n v="562.1"/>
    <x v="11"/>
    <x v="16"/>
    <x v="2"/>
    <x v="2"/>
    <x v="2"/>
    <x v="0"/>
    <x v="8"/>
    <x v="1"/>
    <x v="2"/>
    <x v="2"/>
    <x v="8"/>
  </r>
  <r>
    <x v="262"/>
    <x v="8"/>
    <x v="1"/>
    <n v="27.5"/>
    <n v="55"/>
    <x v="11"/>
    <x v="14"/>
    <x v="1"/>
    <x v="4"/>
    <x v="1"/>
    <x v="0"/>
    <x v="8"/>
    <x v="3"/>
    <x v="2"/>
    <x v="1"/>
    <x v="8"/>
  </r>
  <r>
    <x v="263"/>
    <x v="9"/>
    <x v="0"/>
    <n v="33.5"/>
    <n v="33.5"/>
    <x v="11"/>
    <x v="16"/>
    <x v="2"/>
    <x v="0"/>
    <x v="4"/>
    <x v="0"/>
    <x v="8"/>
    <x v="1"/>
    <x v="2"/>
    <x v="2"/>
    <x v="8"/>
  </r>
  <r>
    <x v="264"/>
    <x v="4"/>
    <x v="0"/>
    <n v="59.5"/>
    <n v="59.5"/>
    <x v="11"/>
    <x v="12"/>
    <x v="1"/>
    <x v="0"/>
    <x v="2"/>
    <x v="0"/>
    <x v="18"/>
    <x v="7"/>
    <x v="2"/>
    <x v="1"/>
    <x v="18"/>
  </r>
  <r>
    <x v="265"/>
    <x v="17"/>
    <x v="12"/>
    <n v="23.5"/>
    <n v="94"/>
    <x v="11"/>
    <x v="14"/>
    <x v="2"/>
    <x v="3"/>
    <x v="3"/>
    <x v="0"/>
    <x v="19"/>
    <x v="3"/>
    <x v="2"/>
    <x v="2"/>
    <x v="19"/>
  </r>
  <r>
    <x v="266"/>
    <x v="6"/>
    <x v="0"/>
    <n v="49.7"/>
    <n v="49.7"/>
    <x v="11"/>
    <x v="14"/>
    <x v="0"/>
    <x v="1"/>
    <x v="2"/>
    <x v="0"/>
    <x v="20"/>
    <x v="3"/>
    <x v="2"/>
    <x v="0"/>
    <x v="20"/>
  </r>
  <r>
    <x v="267"/>
    <x v="6"/>
    <x v="12"/>
    <n v="44.2"/>
    <n v="176.8"/>
    <x v="11"/>
    <x v="11"/>
    <x v="2"/>
    <x v="0"/>
    <x v="2"/>
    <x v="0"/>
    <x v="21"/>
    <x v="2"/>
    <x v="2"/>
    <x v="2"/>
    <x v="21"/>
  </r>
  <r>
    <x v="268"/>
    <x v="8"/>
    <x v="0"/>
    <n v="22.1"/>
    <n v="22.1"/>
    <x v="11"/>
    <x v="15"/>
    <x v="2"/>
    <x v="1"/>
    <x v="1"/>
    <x v="0"/>
    <x v="33"/>
    <x v="5"/>
    <x v="2"/>
    <x v="2"/>
    <x v="33"/>
  </r>
  <r>
    <x v="269"/>
    <x v="6"/>
    <x v="2"/>
    <n v="90.9"/>
    <n v="272.70000000000005"/>
    <x v="11"/>
    <x v="14"/>
    <x v="2"/>
    <x v="2"/>
    <x v="4"/>
    <x v="0"/>
    <x v="3"/>
    <x v="3"/>
    <x v="2"/>
    <x v="2"/>
    <x v="3"/>
  </r>
  <r>
    <x v="270"/>
    <x v="8"/>
    <x v="2"/>
    <n v="44.5"/>
    <n v="133.5"/>
    <x v="11"/>
    <x v="14"/>
    <x v="2"/>
    <x v="1"/>
    <x v="0"/>
    <x v="0"/>
    <x v="3"/>
    <x v="3"/>
    <x v="2"/>
    <x v="2"/>
    <x v="3"/>
  </r>
  <r>
    <x v="271"/>
    <x v="9"/>
    <x v="13"/>
    <n v="32.299999999999997"/>
    <n v="193.79999999999998"/>
    <x v="11"/>
    <x v="15"/>
    <x v="2"/>
    <x v="0"/>
    <x v="0"/>
    <x v="0"/>
    <x v="3"/>
    <x v="5"/>
    <x v="2"/>
    <x v="2"/>
    <x v="3"/>
  </r>
  <r>
    <x v="272"/>
    <x v="17"/>
    <x v="2"/>
    <n v="87.5"/>
    <n v="262.5"/>
    <x v="11"/>
    <x v="14"/>
    <x v="2"/>
    <x v="1"/>
    <x v="1"/>
    <x v="0"/>
    <x v="3"/>
    <x v="3"/>
    <x v="2"/>
    <x v="2"/>
    <x v="3"/>
  </r>
  <r>
    <x v="273"/>
    <x v="16"/>
    <x v="9"/>
    <n v="48.7"/>
    <n v="243.5"/>
    <x v="11"/>
    <x v="14"/>
    <x v="1"/>
    <x v="2"/>
    <x v="0"/>
    <x v="0"/>
    <x v="3"/>
    <x v="3"/>
    <x v="2"/>
    <x v="1"/>
    <x v="3"/>
  </r>
  <r>
    <x v="274"/>
    <x v="0"/>
    <x v="9"/>
    <n v="22.5"/>
    <n v="112.5"/>
    <x v="11"/>
    <x v="14"/>
    <x v="1"/>
    <x v="0"/>
    <x v="0"/>
    <x v="0"/>
    <x v="3"/>
    <x v="3"/>
    <x v="2"/>
    <x v="1"/>
    <x v="3"/>
  </r>
  <r>
    <x v="275"/>
    <x v="1"/>
    <x v="8"/>
    <n v="65.900000000000006"/>
    <n v="527.20000000000005"/>
    <x v="11"/>
    <x v="11"/>
    <x v="2"/>
    <x v="1"/>
    <x v="2"/>
    <x v="0"/>
    <x v="3"/>
    <x v="2"/>
    <x v="2"/>
    <x v="2"/>
    <x v="3"/>
  </r>
  <r>
    <x v="276"/>
    <x v="6"/>
    <x v="9"/>
    <n v="41.9"/>
    <n v="209.5"/>
    <x v="11"/>
    <x v="18"/>
    <x v="0"/>
    <x v="0"/>
    <x v="0"/>
    <x v="0"/>
    <x v="3"/>
    <x v="6"/>
    <x v="2"/>
    <x v="0"/>
    <x v="3"/>
  </r>
  <r>
    <x v="277"/>
    <x v="1"/>
    <x v="9"/>
    <n v="67.5"/>
    <n v="337.5"/>
    <x v="11"/>
    <x v="14"/>
    <x v="2"/>
    <x v="0"/>
    <x v="2"/>
    <x v="0"/>
    <x v="3"/>
    <x v="3"/>
    <x v="2"/>
    <x v="2"/>
    <x v="3"/>
  </r>
  <r>
    <x v="278"/>
    <x v="9"/>
    <x v="0"/>
    <n v="60.4"/>
    <n v="60.4"/>
    <x v="12"/>
    <x v="11"/>
    <x v="2"/>
    <x v="1"/>
    <x v="1"/>
    <x v="0"/>
    <x v="3"/>
    <x v="1"/>
    <x v="2"/>
    <x v="2"/>
    <x v="3"/>
  </r>
  <r>
    <x v="279"/>
    <x v="1"/>
    <x v="3"/>
    <n v="30.4"/>
    <n v="212.79999999999998"/>
    <x v="12"/>
    <x v="15"/>
    <x v="2"/>
    <x v="4"/>
    <x v="0"/>
    <x v="0"/>
    <x v="3"/>
    <x v="2"/>
    <x v="2"/>
    <x v="2"/>
    <x v="3"/>
  </r>
  <r>
    <x v="280"/>
    <x v="14"/>
    <x v="1"/>
    <n v="24.5"/>
    <n v="49"/>
    <x v="12"/>
    <x v="16"/>
    <x v="1"/>
    <x v="3"/>
    <x v="2"/>
    <x v="0"/>
    <x v="3"/>
    <x v="3"/>
    <x v="2"/>
    <x v="1"/>
    <x v="3"/>
  </r>
  <r>
    <x v="281"/>
    <x v="2"/>
    <x v="2"/>
    <n v="105.9"/>
    <n v="317.70000000000005"/>
    <x v="12"/>
    <x v="13"/>
    <x v="1"/>
    <x v="0"/>
    <x v="0"/>
    <x v="0"/>
    <x v="37"/>
    <x v="0"/>
    <x v="2"/>
    <x v="1"/>
    <x v="37"/>
  </r>
  <r>
    <x v="282"/>
    <x v="10"/>
    <x v="25"/>
    <n v="25.9"/>
    <n v="621.59999999999991"/>
    <x v="12"/>
    <x v="16"/>
    <x v="2"/>
    <x v="4"/>
    <x v="0"/>
    <x v="0"/>
    <x v="23"/>
    <x v="3"/>
    <x v="2"/>
    <x v="2"/>
    <x v="23"/>
  </r>
  <r>
    <x v="283"/>
    <x v="6"/>
    <x v="2"/>
    <n v="66.8"/>
    <n v="200.39999999999998"/>
    <x v="12"/>
    <x v="14"/>
    <x v="1"/>
    <x v="0"/>
    <x v="0"/>
    <x v="0"/>
    <x v="23"/>
    <x v="7"/>
    <x v="2"/>
    <x v="1"/>
    <x v="23"/>
  </r>
  <r>
    <x v="284"/>
    <x v="6"/>
    <x v="2"/>
    <n v="112.3"/>
    <n v="336.9"/>
    <x v="12"/>
    <x v="16"/>
    <x v="1"/>
    <x v="2"/>
    <x v="4"/>
    <x v="0"/>
    <x v="6"/>
    <x v="3"/>
    <x v="2"/>
    <x v="1"/>
    <x v="6"/>
  </r>
  <r>
    <x v="285"/>
    <x v="1"/>
    <x v="13"/>
    <n v="94.1"/>
    <n v="564.59999999999991"/>
    <x v="12"/>
    <x v="16"/>
    <x v="2"/>
    <x v="0"/>
    <x v="4"/>
    <x v="0"/>
    <x v="6"/>
    <x v="3"/>
    <x v="2"/>
    <x v="2"/>
    <x v="6"/>
  </r>
  <r>
    <x v="286"/>
    <x v="5"/>
    <x v="0"/>
    <n v="40.700000000000003"/>
    <n v="40.700000000000003"/>
    <x v="12"/>
    <x v="15"/>
    <x v="2"/>
    <x v="2"/>
    <x v="0"/>
    <x v="0"/>
    <x v="6"/>
    <x v="2"/>
    <x v="2"/>
    <x v="2"/>
    <x v="6"/>
  </r>
  <r>
    <x v="287"/>
    <x v="3"/>
    <x v="1"/>
    <n v="71.400000000000006"/>
    <n v="142.80000000000001"/>
    <x v="12"/>
    <x v="16"/>
    <x v="1"/>
    <x v="0"/>
    <x v="0"/>
    <x v="0"/>
    <x v="7"/>
    <x v="3"/>
    <x v="2"/>
    <x v="1"/>
    <x v="7"/>
  </r>
  <r>
    <x v="288"/>
    <x v="0"/>
    <x v="16"/>
    <n v="15.6"/>
    <n v="280.8"/>
    <x v="12"/>
    <x v="16"/>
    <x v="1"/>
    <x v="1"/>
    <x v="3"/>
    <x v="0"/>
    <x v="8"/>
    <x v="3"/>
    <x v="2"/>
    <x v="1"/>
    <x v="8"/>
  </r>
  <r>
    <x v="289"/>
    <x v="10"/>
    <x v="12"/>
    <n v="37.799999999999997"/>
    <n v="151.19999999999999"/>
    <x v="12"/>
    <x v="16"/>
    <x v="1"/>
    <x v="2"/>
    <x v="2"/>
    <x v="0"/>
    <x v="8"/>
    <x v="3"/>
    <x v="2"/>
    <x v="1"/>
    <x v="8"/>
  </r>
  <r>
    <x v="290"/>
    <x v="4"/>
    <x v="2"/>
    <n v="28.1"/>
    <n v="84.300000000000011"/>
    <x v="12"/>
    <x v="10"/>
    <x v="1"/>
    <x v="0"/>
    <x v="0"/>
    <x v="0"/>
    <x v="8"/>
    <x v="5"/>
    <x v="2"/>
    <x v="1"/>
    <x v="8"/>
  </r>
  <r>
    <x v="291"/>
    <x v="7"/>
    <x v="13"/>
    <n v="51.4"/>
    <n v="308.39999999999998"/>
    <x v="12"/>
    <x v="10"/>
    <x v="1"/>
    <x v="0"/>
    <x v="0"/>
    <x v="0"/>
    <x v="8"/>
    <x v="5"/>
    <x v="2"/>
    <x v="1"/>
    <x v="8"/>
  </r>
  <r>
    <x v="292"/>
    <x v="7"/>
    <x v="1"/>
    <n v="97.7"/>
    <n v="195.4"/>
    <x v="12"/>
    <x v="11"/>
    <x v="2"/>
    <x v="4"/>
    <x v="2"/>
    <x v="0"/>
    <x v="17"/>
    <x v="1"/>
    <x v="2"/>
    <x v="2"/>
    <x v="17"/>
  </r>
  <r>
    <x v="293"/>
    <x v="1"/>
    <x v="12"/>
    <n v="63.8"/>
    <n v="255.2"/>
    <x v="12"/>
    <x v="16"/>
    <x v="1"/>
    <x v="2"/>
    <x v="0"/>
    <x v="0"/>
    <x v="38"/>
    <x v="3"/>
    <x v="2"/>
    <x v="1"/>
    <x v="38"/>
  </r>
  <r>
    <x v="294"/>
    <x v="13"/>
    <x v="1"/>
    <n v="20.100000000000001"/>
    <n v="40.200000000000003"/>
    <x v="12"/>
    <x v="11"/>
    <x v="1"/>
    <x v="0"/>
    <x v="2"/>
    <x v="0"/>
    <x v="20"/>
    <x v="1"/>
    <x v="2"/>
    <x v="1"/>
    <x v="20"/>
  </r>
  <r>
    <x v="295"/>
    <x v="11"/>
    <x v="2"/>
    <n v="50.4"/>
    <n v="151.19999999999999"/>
    <x v="12"/>
    <x v="15"/>
    <x v="2"/>
    <x v="3"/>
    <x v="0"/>
    <x v="0"/>
    <x v="13"/>
    <x v="2"/>
    <x v="2"/>
    <x v="2"/>
    <x v="13"/>
  </r>
  <r>
    <x v="296"/>
    <x v="0"/>
    <x v="0"/>
    <n v="16.2"/>
    <n v="16.2"/>
    <x v="12"/>
    <x v="19"/>
    <x v="2"/>
    <x v="1"/>
    <x v="0"/>
    <x v="0"/>
    <x v="1"/>
    <x v="10"/>
    <x v="2"/>
    <x v="2"/>
    <x v="1"/>
  </r>
  <r>
    <x v="297"/>
    <x v="6"/>
    <x v="3"/>
    <n v="80.900000000000006"/>
    <n v="566.30000000000007"/>
    <x v="12"/>
    <x v="11"/>
    <x v="1"/>
    <x v="4"/>
    <x v="4"/>
    <x v="0"/>
    <x v="2"/>
    <x v="1"/>
    <x v="2"/>
    <x v="1"/>
    <x v="2"/>
  </r>
  <r>
    <x v="298"/>
    <x v="9"/>
    <x v="13"/>
    <n v="95.2"/>
    <n v="571.20000000000005"/>
    <x v="12"/>
    <x v="11"/>
    <x v="2"/>
    <x v="0"/>
    <x v="2"/>
    <x v="0"/>
    <x v="2"/>
    <x v="1"/>
    <x v="2"/>
    <x v="2"/>
    <x v="2"/>
  </r>
  <r>
    <x v="299"/>
    <x v="5"/>
    <x v="8"/>
    <n v="70.400000000000006"/>
    <n v="563.20000000000005"/>
    <x v="12"/>
    <x v="16"/>
    <x v="1"/>
    <x v="1"/>
    <x v="1"/>
    <x v="0"/>
    <x v="3"/>
    <x v="3"/>
    <x v="2"/>
    <x v="1"/>
    <x v="3"/>
  </r>
  <r>
    <x v="300"/>
    <x v="0"/>
    <x v="9"/>
    <n v="10.7"/>
    <n v="53.5"/>
    <x v="12"/>
    <x v="10"/>
    <x v="2"/>
    <x v="2"/>
    <x v="0"/>
    <x v="0"/>
    <x v="3"/>
    <x v="5"/>
    <x v="2"/>
    <x v="2"/>
    <x v="3"/>
  </r>
  <r>
    <x v="301"/>
    <x v="8"/>
    <x v="9"/>
    <n v="19.600000000000001"/>
    <n v="98"/>
    <x v="12"/>
    <x v="11"/>
    <x v="2"/>
    <x v="0"/>
    <x v="3"/>
    <x v="0"/>
    <x v="3"/>
    <x v="1"/>
    <x v="2"/>
    <x v="2"/>
    <x v="3"/>
  </r>
  <r>
    <x v="302"/>
    <x v="8"/>
    <x v="5"/>
    <n v="34.700000000000003"/>
    <n v="381.70000000000005"/>
    <x v="12"/>
    <x v="11"/>
    <x v="2"/>
    <x v="0"/>
    <x v="2"/>
    <x v="0"/>
    <x v="3"/>
    <x v="1"/>
    <x v="2"/>
    <x v="2"/>
    <x v="3"/>
  </r>
  <r>
    <x v="303"/>
    <x v="10"/>
    <x v="11"/>
    <n v="34.1"/>
    <n v="306.90000000000003"/>
    <x v="12"/>
    <x v="16"/>
    <x v="2"/>
    <x v="4"/>
    <x v="1"/>
    <x v="0"/>
    <x v="3"/>
    <x v="3"/>
    <x v="2"/>
    <x v="2"/>
    <x v="3"/>
  </r>
  <r>
    <x v="304"/>
    <x v="0"/>
    <x v="26"/>
    <n v="29.3"/>
    <n v="1435.7"/>
    <x v="12"/>
    <x v="14"/>
    <x v="1"/>
    <x v="0"/>
    <x v="1"/>
    <x v="0"/>
    <x v="3"/>
    <x v="7"/>
    <x v="2"/>
    <x v="1"/>
    <x v="3"/>
  </r>
  <r>
    <x v="305"/>
    <x v="1"/>
    <x v="0"/>
    <n v="55.2"/>
    <n v="55.2"/>
    <x v="12"/>
    <x v="16"/>
    <x v="2"/>
    <x v="0"/>
    <x v="1"/>
    <x v="0"/>
    <x v="3"/>
    <x v="3"/>
    <x v="2"/>
    <x v="2"/>
    <x v="3"/>
  </r>
  <r>
    <x v="306"/>
    <x v="18"/>
    <x v="2"/>
    <n v="26"/>
    <n v="78"/>
    <x v="12"/>
    <x v="15"/>
    <x v="2"/>
    <x v="0"/>
    <x v="2"/>
    <x v="0"/>
    <x v="3"/>
    <x v="2"/>
    <x v="2"/>
    <x v="2"/>
    <x v="3"/>
  </r>
  <r>
    <x v="307"/>
    <x v="14"/>
    <x v="1"/>
    <n v="14.2"/>
    <n v="28.4"/>
    <x v="12"/>
    <x v="13"/>
    <x v="2"/>
    <x v="3"/>
    <x v="0"/>
    <x v="0"/>
    <x v="39"/>
    <x v="0"/>
    <x v="2"/>
    <x v="2"/>
    <x v="39"/>
  </r>
  <r>
    <x v="308"/>
    <x v="8"/>
    <x v="11"/>
    <n v="22.7"/>
    <n v="204.29999999999998"/>
    <x v="13"/>
    <x v="11"/>
    <x v="1"/>
    <x v="1"/>
    <x v="0"/>
    <x v="0"/>
    <x v="6"/>
    <x v="3"/>
    <x v="2"/>
    <x v="1"/>
    <x v="6"/>
  </r>
  <r>
    <x v="309"/>
    <x v="0"/>
    <x v="20"/>
    <n v="19.8"/>
    <n v="297"/>
    <x v="13"/>
    <x v="16"/>
    <x v="2"/>
    <x v="0"/>
    <x v="2"/>
    <x v="0"/>
    <x v="6"/>
    <x v="7"/>
    <x v="2"/>
    <x v="2"/>
    <x v="6"/>
  </r>
  <r>
    <x v="310"/>
    <x v="0"/>
    <x v="2"/>
    <n v="31.7"/>
    <n v="95.1"/>
    <x v="13"/>
    <x v="11"/>
    <x v="1"/>
    <x v="2"/>
    <x v="0"/>
    <x v="0"/>
    <x v="6"/>
    <x v="3"/>
    <x v="2"/>
    <x v="1"/>
    <x v="6"/>
  </r>
  <r>
    <x v="311"/>
    <x v="8"/>
    <x v="12"/>
    <n v="30.4"/>
    <n v="121.6"/>
    <x v="13"/>
    <x v="13"/>
    <x v="1"/>
    <x v="0"/>
    <x v="0"/>
    <x v="0"/>
    <x v="6"/>
    <x v="5"/>
    <x v="2"/>
    <x v="1"/>
    <x v="6"/>
  </r>
  <r>
    <x v="312"/>
    <x v="0"/>
    <x v="12"/>
    <n v="25.6"/>
    <n v="102.4"/>
    <x v="13"/>
    <x v="11"/>
    <x v="1"/>
    <x v="3"/>
    <x v="0"/>
    <x v="0"/>
    <x v="8"/>
    <x v="3"/>
    <x v="2"/>
    <x v="1"/>
    <x v="8"/>
  </r>
  <r>
    <x v="313"/>
    <x v="5"/>
    <x v="1"/>
    <n v="34.9"/>
    <n v="69.8"/>
    <x v="13"/>
    <x v="11"/>
    <x v="2"/>
    <x v="2"/>
    <x v="0"/>
    <x v="0"/>
    <x v="9"/>
    <x v="3"/>
    <x v="2"/>
    <x v="2"/>
    <x v="9"/>
  </r>
  <r>
    <x v="314"/>
    <x v="7"/>
    <x v="13"/>
    <n v="42.7"/>
    <n v="256.20000000000005"/>
    <x v="13"/>
    <x v="10"/>
    <x v="1"/>
    <x v="2"/>
    <x v="1"/>
    <x v="0"/>
    <x v="11"/>
    <x v="2"/>
    <x v="2"/>
    <x v="1"/>
    <x v="11"/>
  </r>
  <r>
    <x v="315"/>
    <x v="8"/>
    <x v="0"/>
    <n v="23.9"/>
    <n v="23.9"/>
    <x v="13"/>
    <x v="15"/>
    <x v="2"/>
    <x v="3"/>
    <x v="0"/>
    <x v="0"/>
    <x v="11"/>
    <x v="1"/>
    <x v="2"/>
    <x v="2"/>
    <x v="11"/>
  </r>
  <r>
    <x v="316"/>
    <x v="6"/>
    <x v="0"/>
    <n v="124.3"/>
    <n v="124.3"/>
    <x v="13"/>
    <x v="11"/>
    <x v="0"/>
    <x v="2"/>
    <x v="1"/>
    <x v="0"/>
    <x v="21"/>
    <x v="3"/>
    <x v="2"/>
    <x v="0"/>
    <x v="21"/>
  </r>
  <r>
    <x v="317"/>
    <x v="8"/>
    <x v="13"/>
    <n v="35.9"/>
    <n v="215.39999999999998"/>
    <x v="13"/>
    <x v="11"/>
    <x v="2"/>
    <x v="0"/>
    <x v="1"/>
    <x v="0"/>
    <x v="1"/>
    <x v="3"/>
    <x v="2"/>
    <x v="2"/>
    <x v="1"/>
  </r>
  <r>
    <x v="318"/>
    <x v="2"/>
    <x v="1"/>
    <n v="69.099999999999994"/>
    <n v="138.19999999999999"/>
    <x v="13"/>
    <x v="10"/>
    <x v="2"/>
    <x v="0"/>
    <x v="2"/>
    <x v="0"/>
    <x v="22"/>
    <x v="2"/>
    <x v="2"/>
    <x v="2"/>
    <x v="22"/>
  </r>
  <r>
    <x v="319"/>
    <x v="7"/>
    <x v="0"/>
    <n v="58.4"/>
    <n v="58.4"/>
    <x v="13"/>
    <x v="13"/>
    <x v="1"/>
    <x v="0"/>
    <x v="0"/>
    <x v="0"/>
    <x v="22"/>
    <x v="5"/>
    <x v="2"/>
    <x v="1"/>
    <x v="22"/>
  </r>
  <r>
    <x v="320"/>
    <x v="5"/>
    <x v="0"/>
    <n v="65.2"/>
    <n v="65.2"/>
    <x v="13"/>
    <x v="15"/>
    <x v="3"/>
    <x v="4"/>
    <x v="4"/>
    <x v="0"/>
    <x v="3"/>
    <x v="1"/>
    <x v="2"/>
    <x v="3"/>
    <x v="3"/>
  </r>
  <r>
    <x v="321"/>
    <x v="8"/>
    <x v="14"/>
    <n v="32.700000000000003"/>
    <n v="555.90000000000009"/>
    <x v="13"/>
    <x v="20"/>
    <x v="0"/>
    <x v="4"/>
    <x v="0"/>
    <x v="0"/>
    <x v="3"/>
    <x v="6"/>
    <x v="2"/>
    <x v="0"/>
    <x v="3"/>
  </r>
  <r>
    <x v="322"/>
    <x v="10"/>
    <x v="3"/>
    <n v="24.4"/>
    <n v="170.79999999999998"/>
    <x v="13"/>
    <x v="11"/>
    <x v="2"/>
    <x v="0"/>
    <x v="0"/>
    <x v="0"/>
    <x v="3"/>
    <x v="3"/>
    <x v="2"/>
    <x v="2"/>
    <x v="3"/>
  </r>
  <r>
    <x v="323"/>
    <x v="14"/>
    <x v="1"/>
    <n v="50.4"/>
    <n v="100.8"/>
    <x v="13"/>
    <x v="21"/>
    <x v="1"/>
    <x v="0"/>
    <x v="1"/>
    <x v="0"/>
    <x v="3"/>
    <x v="4"/>
    <x v="2"/>
    <x v="1"/>
    <x v="3"/>
  </r>
  <r>
    <x v="324"/>
    <x v="1"/>
    <x v="1"/>
    <n v="100"/>
    <n v="200"/>
    <x v="13"/>
    <x v="11"/>
    <x v="2"/>
    <x v="0"/>
    <x v="0"/>
    <x v="0"/>
    <x v="3"/>
    <x v="3"/>
    <x v="2"/>
    <x v="2"/>
    <x v="3"/>
  </r>
  <r>
    <x v="325"/>
    <x v="10"/>
    <x v="2"/>
    <n v="43"/>
    <n v="129"/>
    <x v="14"/>
    <x v="11"/>
    <x v="2"/>
    <x v="2"/>
    <x v="1"/>
    <x v="0"/>
    <x v="3"/>
    <x v="7"/>
    <x v="2"/>
    <x v="2"/>
    <x v="3"/>
  </r>
  <r>
    <x v="326"/>
    <x v="1"/>
    <x v="9"/>
    <n v="64.400000000000006"/>
    <n v="322"/>
    <x v="14"/>
    <x v="10"/>
    <x v="1"/>
    <x v="2"/>
    <x v="1"/>
    <x v="0"/>
    <x v="3"/>
    <x v="1"/>
    <x v="2"/>
    <x v="1"/>
    <x v="3"/>
  </r>
  <r>
    <x v="327"/>
    <x v="18"/>
    <x v="1"/>
    <n v="57.4"/>
    <n v="114.8"/>
    <x v="14"/>
    <x v="15"/>
    <x v="1"/>
    <x v="2"/>
    <x v="1"/>
    <x v="0"/>
    <x v="3"/>
    <x v="3"/>
    <x v="2"/>
    <x v="1"/>
    <x v="3"/>
  </r>
  <r>
    <x v="328"/>
    <x v="2"/>
    <x v="2"/>
    <n v="55.1"/>
    <n v="165.3"/>
    <x v="14"/>
    <x v="13"/>
    <x v="2"/>
    <x v="1"/>
    <x v="0"/>
    <x v="0"/>
    <x v="3"/>
    <x v="2"/>
    <x v="2"/>
    <x v="2"/>
    <x v="3"/>
  </r>
  <r>
    <x v="329"/>
    <x v="7"/>
    <x v="12"/>
    <n v="45.4"/>
    <n v="181.6"/>
    <x v="14"/>
    <x v="15"/>
    <x v="2"/>
    <x v="1"/>
    <x v="0"/>
    <x v="0"/>
    <x v="3"/>
    <x v="3"/>
    <x v="2"/>
    <x v="2"/>
    <x v="3"/>
  </r>
  <r>
    <x v="330"/>
    <x v="3"/>
    <x v="2"/>
    <n v="93.3"/>
    <n v="279.89999999999998"/>
    <x v="14"/>
    <x v="15"/>
    <x v="2"/>
    <x v="0"/>
    <x v="0"/>
    <x v="0"/>
    <x v="40"/>
    <x v="3"/>
    <x v="2"/>
    <x v="2"/>
    <x v="40"/>
  </r>
  <r>
    <x v="331"/>
    <x v="2"/>
    <x v="10"/>
    <n v="158.19999999999999"/>
    <n v="3005.7999999999997"/>
    <x v="14"/>
    <x v="15"/>
    <x v="2"/>
    <x v="1"/>
    <x v="2"/>
    <x v="0"/>
    <x v="16"/>
    <x v="3"/>
    <x v="2"/>
    <x v="2"/>
    <x v="16"/>
  </r>
  <r>
    <x v="332"/>
    <x v="2"/>
    <x v="1"/>
    <n v="74.900000000000006"/>
    <n v="149.80000000000001"/>
    <x v="14"/>
    <x v="10"/>
    <x v="1"/>
    <x v="3"/>
    <x v="0"/>
    <x v="0"/>
    <x v="6"/>
    <x v="1"/>
    <x v="2"/>
    <x v="1"/>
    <x v="6"/>
  </r>
  <r>
    <x v="333"/>
    <x v="8"/>
    <x v="3"/>
    <n v="26"/>
    <n v="182"/>
    <x v="14"/>
    <x v="13"/>
    <x v="2"/>
    <x v="1"/>
    <x v="0"/>
    <x v="0"/>
    <x v="8"/>
    <x v="2"/>
    <x v="2"/>
    <x v="2"/>
    <x v="8"/>
  </r>
  <r>
    <x v="334"/>
    <x v="9"/>
    <x v="13"/>
    <n v="37.5"/>
    <n v="225"/>
    <x v="14"/>
    <x v="15"/>
    <x v="2"/>
    <x v="0"/>
    <x v="1"/>
    <x v="0"/>
    <x v="8"/>
    <x v="3"/>
    <x v="2"/>
    <x v="2"/>
    <x v="8"/>
  </r>
  <r>
    <x v="335"/>
    <x v="6"/>
    <x v="1"/>
    <n v="75.8"/>
    <n v="151.6"/>
    <x v="14"/>
    <x v="20"/>
    <x v="1"/>
    <x v="0"/>
    <x v="0"/>
    <x v="0"/>
    <x v="8"/>
    <x v="4"/>
    <x v="2"/>
    <x v="1"/>
    <x v="8"/>
  </r>
  <r>
    <x v="336"/>
    <x v="7"/>
    <x v="0"/>
    <n v="48.5"/>
    <n v="48.5"/>
    <x v="14"/>
    <x v="22"/>
    <x v="0"/>
    <x v="4"/>
    <x v="2"/>
    <x v="0"/>
    <x v="8"/>
    <x v="13"/>
    <x v="2"/>
    <x v="0"/>
    <x v="8"/>
  </r>
  <r>
    <x v="337"/>
    <x v="6"/>
    <x v="2"/>
    <n v="98.9"/>
    <n v="296.70000000000005"/>
    <x v="14"/>
    <x v="10"/>
    <x v="2"/>
    <x v="4"/>
    <x v="1"/>
    <x v="0"/>
    <x v="8"/>
    <x v="1"/>
    <x v="2"/>
    <x v="2"/>
    <x v="8"/>
  </r>
  <r>
    <x v="338"/>
    <x v="1"/>
    <x v="4"/>
    <n v="50.9"/>
    <n v="610.79999999999995"/>
    <x v="14"/>
    <x v="11"/>
    <x v="1"/>
    <x v="4"/>
    <x v="0"/>
    <x v="0"/>
    <x v="8"/>
    <x v="7"/>
    <x v="2"/>
    <x v="1"/>
    <x v="8"/>
  </r>
  <r>
    <x v="339"/>
    <x v="12"/>
    <x v="13"/>
    <n v="84.7"/>
    <n v="508.20000000000005"/>
    <x v="14"/>
    <x v="11"/>
    <x v="2"/>
    <x v="2"/>
    <x v="0"/>
    <x v="0"/>
    <x v="8"/>
    <x v="7"/>
    <x v="2"/>
    <x v="2"/>
    <x v="8"/>
  </r>
  <r>
    <x v="340"/>
    <x v="8"/>
    <x v="0"/>
    <n v="20.7"/>
    <n v="20.7"/>
    <x v="14"/>
    <x v="10"/>
    <x v="2"/>
    <x v="3"/>
    <x v="2"/>
    <x v="0"/>
    <x v="8"/>
    <x v="1"/>
    <x v="2"/>
    <x v="2"/>
    <x v="8"/>
  </r>
  <r>
    <x v="341"/>
    <x v="12"/>
    <x v="11"/>
    <n v="57.8"/>
    <n v="520.19999999999993"/>
    <x v="14"/>
    <x v="19"/>
    <x v="1"/>
    <x v="0"/>
    <x v="4"/>
    <x v="0"/>
    <x v="17"/>
    <x v="11"/>
    <x v="2"/>
    <x v="1"/>
    <x v="17"/>
  </r>
  <r>
    <x v="342"/>
    <x v="2"/>
    <x v="1"/>
    <n v="106.9"/>
    <n v="213.8"/>
    <x v="14"/>
    <x v="10"/>
    <x v="2"/>
    <x v="0"/>
    <x v="2"/>
    <x v="0"/>
    <x v="41"/>
    <x v="1"/>
    <x v="2"/>
    <x v="2"/>
    <x v="41"/>
  </r>
  <r>
    <x v="343"/>
    <x v="3"/>
    <x v="9"/>
    <n v="45.2"/>
    <n v="226"/>
    <x v="14"/>
    <x v="18"/>
    <x v="2"/>
    <x v="1"/>
    <x v="0"/>
    <x v="0"/>
    <x v="21"/>
    <x v="5"/>
    <x v="2"/>
    <x v="2"/>
    <x v="21"/>
  </r>
  <r>
    <x v="344"/>
    <x v="8"/>
    <x v="15"/>
    <n v="34.6"/>
    <n v="449.8"/>
    <x v="14"/>
    <x v="11"/>
    <x v="2"/>
    <x v="1"/>
    <x v="1"/>
    <x v="0"/>
    <x v="21"/>
    <x v="7"/>
    <x v="2"/>
    <x v="2"/>
    <x v="21"/>
  </r>
  <r>
    <x v="345"/>
    <x v="15"/>
    <x v="0"/>
    <n v="43.8"/>
    <n v="43.8"/>
    <x v="14"/>
    <x v="10"/>
    <x v="0"/>
    <x v="0"/>
    <x v="2"/>
    <x v="0"/>
    <x v="21"/>
    <x v="1"/>
    <x v="2"/>
    <x v="0"/>
    <x v="21"/>
  </r>
  <r>
    <x v="346"/>
    <x v="15"/>
    <x v="0"/>
    <n v="20.399999999999999"/>
    <n v="20.399999999999999"/>
    <x v="14"/>
    <x v="10"/>
    <x v="1"/>
    <x v="4"/>
    <x v="1"/>
    <x v="0"/>
    <x v="21"/>
    <x v="1"/>
    <x v="2"/>
    <x v="1"/>
    <x v="21"/>
  </r>
  <r>
    <x v="347"/>
    <x v="1"/>
    <x v="0"/>
    <n v="36.700000000000003"/>
    <n v="36.700000000000003"/>
    <x v="14"/>
    <x v="15"/>
    <x v="1"/>
    <x v="0"/>
    <x v="1"/>
    <x v="0"/>
    <x v="1"/>
    <x v="3"/>
    <x v="2"/>
    <x v="1"/>
    <x v="1"/>
  </r>
  <r>
    <x v="348"/>
    <x v="8"/>
    <x v="2"/>
    <n v="27.2"/>
    <n v="81.599999999999994"/>
    <x v="14"/>
    <x v="18"/>
    <x v="1"/>
    <x v="0"/>
    <x v="2"/>
    <x v="0"/>
    <x v="1"/>
    <x v="5"/>
    <x v="2"/>
    <x v="1"/>
    <x v="1"/>
  </r>
  <r>
    <x v="349"/>
    <x v="6"/>
    <x v="0"/>
    <n v="58.2"/>
    <n v="58.2"/>
    <x v="14"/>
    <x v="15"/>
    <x v="2"/>
    <x v="0"/>
    <x v="2"/>
    <x v="0"/>
    <x v="42"/>
    <x v="3"/>
    <x v="2"/>
    <x v="2"/>
    <x v="42"/>
  </r>
  <r>
    <x v="350"/>
    <x v="8"/>
    <x v="2"/>
    <n v="25.6"/>
    <n v="76.800000000000011"/>
    <x v="14"/>
    <x v="15"/>
    <x v="1"/>
    <x v="4"/>
    <x v="4"/>
    <x v="0"/>
    <x v="2"/>
    <x v="3"/>
    <x v="2"/>
    <x v="1"/>
    <x v="2"/>
  </r>
  <r>
    <x v="351"/>
    <x v="10"/>
    <x v="0"/>
    <n v="21.2"/>
    <n v="21.2"/>
    <x v="14"/>
    <x v="11"/>
    <x v="2"/>
    <x v="1"/>
    <x v="2"/>
    <x v="0"/>
    <x v="3"/>
    <x v="7"/>
    <x v="2"/>
    <x v="2"/>
    <x v="3"/>
  </r>
  <r>
    <x v="352"/>
    <x v="6"/>
    <x v="1"/>
    <n v="48.2"/>
    <n v="96.4"/>
    <x v="14"/>
    <x v="23"/>
    <x v="2"/>
    <x v="0"/>
    <x v="2"/>
    <x v="0"/>
    <x v="3"/>
    <x v="9"/>
    <x v="2"/>
    <x v="2"/>
    <x v="3"/>
  </r>
  <r>
    <x v="353"/>
    <x v="1"/>
    <x v="12"/>
    <n v="83.4"/>
    <n v="333.6"/>
    <x v="15"/>
    <x v="10"/>
    <x v="1"/>
    <x v="0"/>
    <x v="0"/>
    <x v="0"/>
    <x v="3"/>
    <x v="3"/>
    <x v="2"/>
    <x v="1"/>
    <x v="3"/>
  </r>
  <r>
    <x v="354"/>
    <x v="9"/>
    <x v="2"/>
    <n v="45.3"/>
    <n v="135.89999999999998"/>
    <x v="15"/>
    <x v="24"/>
    <x v="1"/>
    <x v="2"/>
    <x v="1"/>
    <x v="0"/>
    <x v="3"/>
    <x v="4"/>
    <x v="2"/>
    <x v="1"/>
    <x v="3"/>
  </r>
  <r>
    <x v="355"/>
    <x v="17"/>
    <x v="0"/>
    <n v="42"/>
    <n v="42"/>
    <x v="15"/>
    <x v="10"/>
    <x v="0"/>
    <x v="0"/>
    <x v="0"/>
    <x v="0"/>
    <x v="3"/>
    <x v="3"/>
    <x v="2"/>
    <x v="0"/>
    <x v="3"/>
  </r>
  <r>
    <x v="356"/>
    <x v="0"/>
    <x v="11"/>
    <n v="21.8"/>
    <n v="196.20000000000002"/>
    <x v="15"/>
    <x v="13"/>
    <x v="2"/>
    <x v="1"/>
    <x v="0"/>
    <x v="0"/>
    <x v="3"/>
    <x v="1"/>
    <x v="2"/>
    <x v="2"/>
    <x v="3"/>
  </r>
  <r>
    <x v="357"/>
    <x v="8"/>
    <x v="16"/>
    <n v="21.4"/>
    <n v="385.2"/>
    <x v="15"/>
    <x v="18"/>
    <x v="2"/>
    <x v="1"/>
    <x v="2"/>
    <x v="0"/>
    <x v="3"/>
    <x v="2"/>
    <x v="2"/>
    <x v="2"/>
    <x v="3"/>
  </r>
  <r>
    <x v="358"/>
    <x v="10"/>
    <x v="2"/>
    <n v="45"/>
    <n v="135"/>
    <x v="15"/>
    <x v="15"/>
    <x v="2"/>
    <x v="1"/>
    <x v="2"/>
    <x v="0"/>
    <x v="3"/>
    <x v="7"/>
    <x v="2"/>
    <x v="2"/>
    <x v="3"/>
  </r>
  <r>
    <x v="359"/>
    <x v="14"/>
    <x v="0"/>
    <n v="39.6"/>
    <n v="39.6"/>
    <x v="15"/>
    <x v="10"/>
    <x v="1"/>
    <x v="0"/>
    <x v="2"/>
    <x v="0"/>
    <x v="3"/>
    <x v="3"/>
    <x v="2"/>
    <x v="1"/>
    <x v="3"/>
  </r>
  <r>
    <x v="360"/>
    <x v="12"/>
    <x v="2"/>
    <n v="79.8"/>
    <n v="239.39999999999998"/>
    <x v="15"/>
    <x v="24"/>
    <x v="2"/>
    <x v="1"/>
    <x v="4"/>
    <x v="0"/>
    <x v="3"/>
    <x v="4"/>
    <x v="2"/>
    <x v="2"/>
    <x v="3"/>
  </r>
  <r>
    <x v="361"/>
    <x v="1"/>
    <x v="12"/>
    <n v="63.6"/>
    <n v="254.4"/>
    <x v="15"/>
    <x v="10"/>
    <x v="3"/>
    <x v="0"/>
    <x v="2"/>
    <x v="0"/>
    <x v="24"/>
    <x v="3"/>
    <x v="2"/>
    <x v="3"/>
    <x v="24"/>
  </r>
  <r>
    <x v="362"/>
    <x v="7"/>
    <x v="7"/>
    <n v="92.7"/>
    <n v="927"/>
    <x v="15"/>
    <x v="21"/>
    <x v="1"/>
    <x v="1"/>
    <x v="2"/>
    <x v="0"/>
    <x v="6"/>
    <x v="5"/>
    <x v="2"/>
    <x v="1"/>
    <x v="6"/>
  </r>
  <r>
    <x v="363"/>
    <x v="1"/>
    <x v="12"/>
    <n v="48.4"/>
    <n v="193.6"/>
    <x v="15"/>
    <x v="13"/>
    <x v="2"/>
    <x v="1"/>
    <x v="2"/>
    <x v="0"/>
    <x v="6"/>
    <x v="1"/>
    <x v="2"/>
    <x v="2"/>
    <x v="6"/>
  </r>
  <r>
    <x v="364"/>
    <x v="9"/>
    <x v="8"/>
    <n v="36"/>
    <n v="288"/>
    <x v="15"/>
    <x v="18"/>
    <x v="1"/>
    <x v="2"/>
    <x v="2"/>
    <x v="0"/>
    <x v="8"/>
    <x v="2"/>
    <x v="2"/>
    <x v="1"/>
    <x v="8"/>
  </r>
  <r>
    <x v="365"/>
    <x v="8"/>
    <x v="4"/>
    <n v="27"/>
    <n v="324"/>
    <x v="15"/>
    <x v="13"/>
    <x v="2"/>
    <x v="2"/>
    <x v="1"/>
    <x v="0"/>
    <x v="8"/>
    <x v="1"/>
    <x v="2"/>
    <x v="2"/>
    <x v="8"/>
  </r>
  <r>
    <x v="366"/>
    <x v="2"/>
    <x v="8"/>
    <n v="53.9"/>
    <n v="431.2"/>
    <x v="15"/>
    <x v="10"/>
    <x v="0"/>
    <x v="0"/>
    <x v="0"/>
    <x v="0"/>
    <x v="8"/>
    <x v="3"/>
    <x v="2"/>
    <x v="0"/>
    <x v="8"/>
  </r>
  <r>
    <x v="367"/>
    <x v="3"/>
    <x v="11"/>
    <n v="48.4"/>
    <n v="435.59999999999997"/>
    <x v="15"/>
    <x v="10"/>
    <x v="2"/>
    <x v="1"/>
    <x v="0"/>
    <x v="0"/>
    <x v="9"/>
    <x v="3"/>
    <x v="2"/>
    <x v="2"/>
    <x v="9"/>
  </r>
  <r>
    <x v="368"/>
    <x v="17"/>
    <x v="1"/>
    <n v="49.9"/>
    <n v="99.8"/>
    <x v="15"/>
    <x v="20"/>
    <x v="1"/>
    <x v="4"/>
    <x v="4"/>
    <x v="0"/>
    <x v="10"/>
    <x v="0"/>
    <x v="2"/>
    <x v="1"/>
    <x v="10"/>
  </r>
  <r>
    <x v="369"/>
    <x v="1"/>
    <x v="2"/>
    <n v="51.7"/>
    <n v="155.10000000000002"/>
    <x v="15"/>
    <x v="10"/>
    <x v="2"/>
    <x v="0"/>
    <x v="2"/>
    <x v="0"/>
    <x v="11"/>
    <x v="3"/>
    <x v="2"/>
    <x v="2"/>
    <x v="11"/>
  </r>
  <r>
    <x v="370"/>
    <x v="8"/>
    <x v="2"/>
    <n v="41.8"/>
    <n v="125.39999999999999"/>
    <x v="15"/>
    <x v="13"/>
    <x v="2"/>
    <x v="2"/>
    <x v="0"/>
    <x v="0"/>
    <x v="18"/>
    <x v="1"/>
    <x v="2"/>
    <x v="2"/>
    <x v="18"/>
  </r>
  <r>
    <x v="371"/>
    <x v="4"/>
    <x v="12"/>
    <n v="36.200000000000003"/>
    <n v="144.80000000000001"/>
    <x v="16"/>
    <x v="13"/>
    <x v="1"/>
    <x v="2"/>
    <x v="2"/>
    <x v="0"/>
    <x v="21"/>
    <x v="3"/>
    <x v="2"/>
    <x v="1"/>
    <x v="21"/>
  </r>
  <r>
    <x v="372"/>
    <x v="2"/>
    <x v="0"/>
    <n v="150.9"/>
    <n v="150.9"/>
    <x v="16"/>
    <x v="22"/>
    <x v="1"/>
    <x v="0"/>
    <x v="0"/>
    <x v="0"/>
    <x v="1"/>
    <x v="14"/>
    <x v="2"/>
    <x v="1"/>
    <x v="1"/>
  </r>
  <r>
    <x v="373"/>
    <x v="18"/>
    <x v="12"/>
    <n v="77.599999999999994"/>
    <n v="310.39999999999998"/>
    <x v="16"/>
    <x v="13"/>
    <x v="0"/>
    <x v="2"/>
    <x v="0"/>
    <x v="0"/>
    <x v="3"/>
    <x v="3"/>
    <x v="2"/>
    <x v="0"/>
    <x v="3"/>
  </r>
  <r>
    <x v="374"/>
    <x v="13"/>
    <x v="9"/>
    <n v="65.5"/>
    <n v="327.5"/>
    <x v="16"/>
    <x v="10"/>
    <x v="1"/>
    <x v="1"/>
    <x v="0"/>
    <x v="0"/>
    <x v="3"/>
    <x v="7"/>
    <x v="2"/>
    <x v="1"/>
    <x v="3"/>
  </r>
  <r>
    <x v="375"/>
    <x v="6"/>
    <x v="2"/>
    <n v="90.1"/>
    <n v="270.29999999999995"/>
    <x v="16"/>
    <x v="18"/>
    <x v="2"/>
    <x v="0"/>
    <x v="0"/>
    <x v="0"/>
    <x v="3"/>
    <x v="1"/>
    <x v="2"/>
    <x v="2"/>
    <x v="3"/>
  </r>
  <r>
    <x v="376"/>
    <x v="1"/>
    <x v="1"/>
    <n v="108.3"/>
    <n v="216.6"/>
    <x v="16"/>
    <x v="21"/>
    <x v="3"/>
    <x v="4"/>
    <x v="0"/>
    <x v="0"/>
    <x v="3"/>
    <x v="2"/>
    <x v="2"/>
    <x v="3"/>
    <x v="3"/>
  </r>
  <r>
    <x v="377"/>
    <x v="5"/>
    <x v="2"/>
    <n v="59.9"/>
    <n v="179.7"/>
    <x v="16"/>
    <x v="20"/>
    <x v="2"/>
    <x v="0"/>
    <x v="0"/>
    <x v="0"/>
    <x v="3"/>
    <x v="5"/>
    <x v="2"/>
    <x v="2"/>
    <x v="3"/>
  </r>
  <r>
    <x v="378"/>
    <x v="2"/>
    <x v="14"/>
    <n v="139"/>
    <n v="2363"/>
    <x v="16"/>
    <x v="18"/>
    <x v="2"/>
    <x v="1"/>
    <x v="4"/>
    <x v="0"/>
    <x v="3"/>
    <x v="1"/>
    <x v="2"/>
    <x v="2"/>
    <x v="3"/>
  </r>
  <r>
    <x v="379"/>
    <x v="6"/>
    <x v="2"/>
    <n v="87.3"/>
    <n v="261.89999999999998"/>
    <x v="16"/>
    <x v="13"/>
    <x v="2"/>
    <x v="0"/>
    <x v="0"/>
    <x v="0"/>
    <x v="3"/>
    <x v="3"/>
    <x v="2"/>
    <x v="2"/>
    <x v="3"/>
  </r>
  <r>
    <x v="380"/>
    <x v="11"/>
    <x v="12"/>
    <n v="42.3"/>
    <n v="169.2"/>
    <x v="16"/>
    <x v="10"/>
    <x v="1"/>
    <x v="0"/>
    <x v="0"/>
    <x v="0"/>
    <x v="3"/>
    <x v="7"/>
    <x v="2"/>
    <x v="1"/>
    <x v="3"/>
  </r>
  <r>
    <x v="381"/>
    <x v="14"/>
    <x v="8"/>
    <n v="103.6"/>
    <n v="828.8"/>
    <x v="16"/>
    <x v="13"/>
    <x v="3"/>
    <x v="0"/>
    <x v="1"/>
    <x v="0"/>
    <x v="3"/>
    <x v="3"/>
    <x v="2"/>
    <x v="3"/>
    <x v="3"/>
  </r>
  <r>
    <x v="382"/>
    <x v="6"/>
    <x v="1"/>
    <n v="90.9"/>
    <n v="181.8"/>
    <x v="16"/>
    <x v="13"/>
    <x v="1"/>
    <x v="1"/>
    <x v="0"/>
    <x v="0"/>
    <x v="6"/>
    <x v="3"/>
    <x v="2"/>
    <x v="1"/>
    <x v="6"/>
  </r>
  <r>
    <x v="383"/>
    <x v="9"/>
    <x v="27"/>
    <n v="100.9"/>
    <n v="1614.4"/>
    <x v="16"/>
    <x v="13"/>
    <x v="2"/>
    <x v="1"/>
    <x v="0"/>
    <x v="0"/>
    <x v="6"/>
    <x v="3"/>
    <x v="2"/>
    <x v="2"/>
    <x v="6"/>
  </r>
  <r>
    <x v="384"/>
    <x v="4"/>
    <x v="9"/>
    <n v="36"/>
    <n v="180"/>
    <x v="16"/>
    <x v="18"/>
    <x v="2"/>
    <x v="1"/>
    <x v="0"/>
    <x v="0"/>
    <x v="7"/>
    <x v="1"/>
    <x v="2"/>
    <x v="2"/>
    <x v="7"/>
  </r>
  <r>
    <x v="385"/>
    <x v="6"/>
    <x v="13"/>
    <n v="83.3"/>
    <n v="499.79999999999995"/>
    <x v="16"/>
    <x v="21"/>
    <x v="0"/>
    <x v="2"/>
    <x v="0"/>
    <x v="0"/>
    <x v="7"/>
    <x v="2"/>
    <x v="2"/>
    <x v="0"/>
    <x v="7"/>
  </r>
  <r>
    <x v="386"/>
    <x v="2"/>
    <x v="14"/>
    <n v="60.3"/>
    <n v="1025.0999999999999"/>
    <x v="16"/>
    <x v="13"/>
    <x v="1"/>
    <x v="2"/>
    <x v="1"/>
    <x v="0"/>
    <x v="7"/>
    <x v="3"/>
    <x v="2"/>
    <x v="1"/>
    <x v="7"/>
  </r>
  <r>
    <x v="387"/>
    <x v="2"/>
    <x v="13"/>
    <n v="120.3"/>
    <n v="721.8"/>
    <x v="16"/>
    <x v="13"/>
    <x v="1"/>
    <x v="2"/>
    <x v="0"/>
    <x v="0"/>
    <x v="8"/>
    <x v="3"/>
    <x v="2"/>
    <x v="1"/>
    <x v="8"/>
  </r>
  <r>
    <x v="388"/>
    <x v="4"/>
    <x v="7"/>
    <n v="34"/>
    <n v="340"/>
    <x v="16"/>
    <x v="20"/>
    <x v="2"/>
    <x v="2"/>
    <x v="0"/>
    <x v="0"/>
    <x v="8"/>
    <x v="5"/>
    <x v="2"/>
    <x v="2"/>
    <x v="8"/>
  </r>
  <r>
    <x v="389"/>
    <x v="10"/>
    <x v="9"/>
    <n v="42.6"/>
    <n v="213"/>
    <x v="16"/>
    <x v="21"/>
    <x v="1"/>
    <x v="1"/>
    <x v="0"/>
    <x v="0"/>
    <x v="8"/>
    <x v="2"/>
    <x v="2"/>
    <x v="1"/>
    <x v="8"/>
  </r>
  <r>
    <x v="390"/>
    <x v="5"/>
    <x v="28"/>
    <n v="47.4"/>
    <n v="948"/>
    <x v="16"/>
    <x v="10"/>
    <x v="2"/>
    <x v="2"/>
    <x v="1"/>
    <x v="0"/>
    <x v="17"/>
    <x v="7"/>
    <x v="2"/>
    <x v="2"/>
    <x v="17"/>
  </r>
  <r>
    <x v="391"/>
    <x v="2"/>
    <x v="0"/>
    <n v="74"/>
    <n v="74"/>
    <x v="17"/>
    <x v="18"/>
    <x v="1"/>
    <x v="1"/>
    <x v="0"/>
    <x v="0"/>
    <x v="11"/>
    <x v="3"/>
    <x v="2"/>
    <x v="1"/>
    <x v="11"/>
  </r>
  <r>
    <x v="392"/>
    <x v="2"/>
    <x v="9"/>
    <n v="60.4"/>
    <n v="302"/>
    <x v="17"/>
    <x v="20"/>
    <x v="2"/>
    <x v="1"/>
    <x v="4"/>
    <x v="0"/>
    <x v="18"/>
    <x v="2"/>
    <x v="2"/>
    <x v="2"/>
    <x v="18"/>
  </r>
  <r>
    <x v="393"/>
    <x v="12"/>
    <x v="1"/>
    <n v="69.3"/>
    <n v="138.6"/>
    <x v="17"/>
    <x v="20"/>
    <x v="1"/>
    <x v="1"/>
    <x v="1"/>
    <x v="0"/>
    <x v="13"/>
    <x v="2"/>
    <x v="2"/>
    <x v="1"/>
    <x v="13"/>
  </r>
  <r>
    <x v="394"/>
    <x v="5"/>
    <x v="9"/>
    <n v="81"/>
    <n v="405"/>
    <x v="17"/>
    <x v="25"/>
    <x v="1"/>
    <x v="3"/>
    <x v="0"/>
    <x v="0"/>
    <x v="21"/>
    <x v="4"/>
    <x v="2"/>
    <x v="1"/>
    <x v="21"/>
  </r>
  <r>
    <x v="395"/>
    <x v="15"/>
    <x v="2"/>
    <n v="41.5"/>
    <n v="124.5"/>
    <x v="17"/>
    <x v="21"/>
    <x v="3"/>
    <x v="1"/>
    <x v="0"/>
    <x v="0"/>
    <x v="21"/>
    <x v="1"/>
    <x v="2"/>
    <x v="3"/>
    <x v="21"/>
  </r>
  <r>
    <x v="396"/>
    <x v="18"/>
    <x v="1"/>
    <n v="69.7"/>
    <n v="139.4"/>
    <x v="17"/>
    <x v="23"/>
    <x v="1"/>
    <x v="1"/>
    <x v="0"/>
    <x v="0"/>
    <x v="21"/>
    <x v="0"/>
    <x v="2"/>
    <x v="1"/>
    <x v="21"/>
  </r>
  <r>
    <x v="397"/>
    <x v="2"/>
    <x v="9"/>
    <n v="83.6"/>
    <n v="418"/>
    <x v="17"/>
    <x v="13"/>
    <x v="2"/>
    <x v="4"/>
    <x v="0"/>
    <x v="0"/>
    <x v="1"/>
    <x v="7"/>
    <x v="2"/>
    <x v="2"/>
    <x v="1"/>
  </r>
  <r>
    <x v="398"/>
    <x v="8"/>
    <x v="3"/>
    <n v="21.5"/>
    <n v="150.5"/>
    <x v="17"/>
    <x v="21"/>
    <x v="1"/>
    <x v="1"/>
    <x v="4"/>
    <x v="0"/>
    <x v="34"/>
    <x v="1"/>
    <x v="2"/>
    <x v="1"/>
    <x v="34"/>
  </r>
  <r>
    <x v="399"/>
    <x v="8"/>
    <x v="8"/>
    <n v="28.6"/>
    <n v="228.8"/>
    <x v="17"/>
    <x v="18"/>
    <x v="1"/>
    <x v="0"/>
    <x v="0"/>
    <x v="0"/>
    <x v="3"/>
    <x v="3"/>
    <x v="2"/>
    <x v="1"/>
    <x v="3"/>
  </r>
  <r>
    <x v="400"/>
    <x v="8"/>
    <x v="13"/>
    <n v="18.8"/>
    <n v="112.80000000000001"/>
    <x v="17"/>
    <x v="20"/>
    <x v="1"/>
    <x v="3"/>
    <x v="2"/>
    <x v="0"/>
    <x v="3"/>
    <x v="2"/>
    <x v="2"/>
    <x v="1"/>
    <x v="3"/>
  </r>
  <r>
    <x v="401"/>
    <x v="10"/>
    <x v="12"/>
    <n v="35.1"/>
    <n v="140.4"/>
    <x v="17"/>
    <x v="13"/>
    <x v="2"/>
    <x v="1"/>
    <x v="1"/>
    <x v="0"/>
    <x v="3"/>
    <x v="7"/>
    <x v="2"/>
    <x v="2"/>
    <x v="3"/>
  </r>
  <r>
    <x v="402"/>
    <x v="0"/>
    <x v="1"/>
    <n v="12.7"/>
    <n v="25.4"/>
    <x v="17"/>
    <x v="21"/>
    <x v="2"/>
    <x v="1"/>
    <x v="2"/>
    <x v="0"/>
    <x v="3"/>
    <x v="1"/>
    <x v="2"/>
    <x v="2"/>
    <x v="3"/>
  </r>
  <r>
    <x v="403"/>
    <x v="8"/>
    <x v="9"/>
    <n v="27.4"/>
    <n v="137"/>
    <x v="17"/>
    <x v="21"/>
    <x v="3"/>
    <x v="0"/>
    <x v="0"/>
    <x v="0"/>
    <x v="3"/>
    <x v="1"/>
    <x v="2"/>
    <x v="3"/>
    <x v="3"/>
  </r>
  <r>
    <x v="404"/>
    <x v="10"/>
    <x v="1"/>
    <n v="61.3"/>
    <n v="122.6"/>
    <x v="17"/>
    <x v="18"/>
    <x v="2"/>
    <x v="1"/>
    <x v="0"/>
    <x v="0"/>
    <x v="6"/>
    <x v="3"/>
    <x v="2"/>
    <x v="2"/>
    <x v="6"/>
  </r>
  <r>
    <x v="405"/>
    <x v="8"/>
    <x v="1"/>
    <n v="64.7"/>
    <n v="129.4"/>
    <x v="17"/>
    <x v="21"/>
    <x v="2"/>
    <x v="3"/>
    <x v="2"/>
    <x v="0"/>
    <x v="6"/>
    <x v="1"/>
    <x v="2"/>
    <x v="2"/>
    <x v="6"/>
  </r>
  <r>
    <x v="406"/>
    <x v="7"/>
    <x v="12"/>
    <n v="91.4"/>
    <n v="365.6"/>
    <x v="17"/>
    <x v="21"/>
    <x v="2"/>
    <x v="0"/>
    <x v="0"/>
    <x v="0"/>
    <x v="8"/>
    <x v="1"/>
    <x v="2"/>
    <x v="2"/>
    <x v="8"/>
  </r>
  <r>
    <x v="407"/>
    <x v="0"/>
    <x v="1"/>
    <n v="33.1"/>
    <n v="66.2"/>
    <x v="18"/>
    <x v="21"/>
    <x v="1"/>
    <x v="0"/>
    <x v="2"/>
    <x v="0"/>
    <x v="8"/>
    <x v="3"/>
    <x v="3"/>
    <x v="1"/>
    <x v="8"/>
  </r>
  <r>
    <x v="408"/>
    <x v="3"/>
    <x v="1"/>
    <n v="105.6"/>
    <n v="211.2"/>
    <x v="18"/>
    <x v="21"/>
    <x v="1"/>
    <x v="2"/>
    <x v="1"/>
    <x v="0"/>
    <x v="8"/>
    <x v="3"/>
    <x v="3"/>
    <x v="1"/>
    <x v="8"/>
  </r>
  <r>
    <x v="409"/>
    <x v="10"/>
    <x v="2"/>
    <n v="46.4"/>
    <n v="139.19999999999999"/>
    <x v="18"/>
    <x v="21"/>
    <x v="1"/>
    <x v="2"/>
    <x v="0"/>
    <x v="0"/>
    <x v="9"/>
    <x v="3"/>
    <x v="3"/>
    <x v="1"/>
    <x v="9"/>
  </r>
  <r>
    <x v="410"/>
    <x v="9"/>
    <x v="21"/>
    <n v="35.299999999999997"/>
    <n v="494.19999999999993"/>
    <x v="18"/>
    <x v="24"/>
    <x v="2"/>
    <x v="4"/>
    <x v="1"/>
    <x v="0"/>
    <x v="11"/>
    <x v="2"/>
    <x v="3"/>
    <x v="2"/>
    <x v="11"/>
  </r>
  <r>
    <x v="411"/>
    <x v="0"/>
    <x v="1"/>
    <n v="16.100000000000001"/>
    <n v="32.200000000000003"/>
    <x v="18"/>
    <x v="20"/>
    <x v="1"/>
    <x v="3"/>
    <x v="2"/>
    <x v="0"/>
    <x v="32"/>
    <x v="1"/>
    <x v="3"/>
    <x v="1"/>
    <x v="32"/>
  </r>
  <r>
    <x v="412"/>
    <x v="4"/>
    <x v="1"/>
    <n v="27.9"/>
    <n v="55.8"/>
    <x v="18"/>
    <x v="24"/>
    <x v="1"/>
    <x v="0"/>
    <x v="0"/>
    <x v="0"/>
    <x v="13"/>
    <x v="2"/>
    <x v="3"/>
    <x v="1"/>
    <x v="13"/>
  </r>
  <r>
    <x v="413"/>
    <x v="8"/>
    <x v="0"/>
    <n v="47.1"/>
    <n v="47.1"/>
    <x v="18"/>
    <x v="22"/>
    <x v="2"/>
    <x v="1"/>
    <x v="0"/>
    <x v="0"/>
    <x v="2"/>
    <x v="9"/>
    <x v="3"/>
    <x v="2"/>
    <x v="2"/>
  </r>
  <r>
    <x v="414"/>
    <x v="6"/>
    <x v="1"/>
    <n v="85"/>
    <n v="170"/>
    <x v="18"/>
    <x v="24"/>
    <x v="0"/>
    <x v="2"/>
    <x v="2"/>
    <x v="0"/>
    <x v="22"/>
    <x v="2"/>
    <x v="3"/>
    <x v="0"/>
    <x v="22"/>
  </r>
  <r>
    <x v="415"/>
    <x v="18"/>
    <x v="1"/>
    <n v="89"/>
    <n v="178"/>
    <x v="18"/>
    <x v="20"/>
    <x v="2"/>
    <x v="0"/>
    <x v="0"/>
    <x v="0"/>
    <x v="3"/>
    <x v="1"/>
    <x v="3"/>
    <x v="2"/>
    <x v="3"/>
  </r>
  <r>
    <x v="416"/>
    <x v="16"/>
    <x v="2"/>
    <n v="36.6"/>
    <n v="109.80000000000001"/>
    <x v="18"/>
    <x v="21"/>
    <x v="3"/>
    <x v="3"/>
    <x v="2"/>
    <x v="0"/>
    <x v="3"/>
    <x v="3"/>
    <x v="3"/>
    <x v="3"/>
    <x v="3"/>
  </r>
  <r>
    <x v="417"/>
    <x v="6"/>
    <x v="3"/>
    <n v="43.5"/>
    <n v="304.5"/>
    <x v="18"/>
    <x v="21"/>
    <x v="1"/>
    <x v="1"/>
    <x v="2"/>
    <x v="0"/>
    <x v="3"/>
    <x v="3"/>
    <x v="3"/>
    <x v="1"/>
    <x v="3"/>
  </r>
  <r>
    <x v="418"/>
    <x v="9"/>
    <x v="10"/>
    <n v="30.5"/>
    <n v="579.5"/>
    <x v="18"/>
    <x v="18"/>
    <x v="2"/>
    <x v="3"/>
    <x v="0"/>
    <x v="0"/>
    <x v="3"/>
    <x v="7"/>
    <x v="3"/>
    <x v="2"/>
    <x v="3"/>
  </r>
  <r>
    <x v="419"/>
    <x v="1"/>
    <x v="1"/>
    <n v="107.7"/>
    <n v="215.4"/>
    <x v="18"/>
    <x v="23"/>
    <x v="1"/>
    <x v="3"/>
    <x v="4"/>
    <x v="0"/>
    <x v="3"/>
    <x v="5"/>
    <x v="3"/>
    <x v="1"/>
    <x v="3"/>
  </r>
  <r>
    <x v="420"/>
    <x v="17"/>
    <x v="18"/>
    <n v="57.1"/>
    <n v="1484.6000000000001"/>
    <x v="18"/>
    <x v="21"/>
    <x v="1"/>
    <x v="1"/>
    <x v="0"/>
    <x v="0"/>
    <x v="3"/>
    <x v="3"/>
    <x v="3"/>
    <x v="1"/>
    <x v="3"/>
  </r>
  <r>
    <x v="421"/>
    <x v="2"/>
    <x v="7"/>
    <n v="111.7"/>
    <n v="1117"/>
    <x v="18"/>
    <x v="21"/>
    <x v="2"/>
    <x v="4"/>
    <x v="2"/>
    <x v="0"/>
    <x v="3"/>
    <x v="3"/>
    <x v="3"/>
    <x v="2"/>
    <x v="3"/>
  </r>
  <r>
    <x v="422"/>
    <x v="18"/>
    <x v="3"/>
    <n v="44.3"/>
    <n v="310.09999999999997"/>
    <x v="18"/>
    <x v="24"/>
    <x v="1"/>
    <x v="3"/>
    <x v="2"/>
    <x v="0"/>
    <x v="3"/>
    <x v="2"/>
    <x v="3"/>
    <x v="1"/>
    <x v="3"/>
  </r>
  <r>
    <x v="423"/>
    <x v="2"/>
    <x v="8"/>
    <n v="95.8"/>
    <n v="766.4"/>
    <x v="18"/>
    <x v="17"/>
    <x v="3"/>
    <x v="0"/>
    <x v="0"/>
    <x v="0"/>
    <x v="3"/>
    <x v="4"/>
    <x v="3"/>
    <x v="3"/>
    <x v="3"/>
  </r>
  <r>
    <x v="424"/>
    <x v="10"/>
    <x v="3"/>
    <n v="22.6"/>
    <n v="158.20000000000002"/>
    <x v="18"/>
    <x v="24"/>
    <x v="2"/>
    <x v="3"/>
    <x v="1"/>
    <x v="0"/>
    <x v="3"/>
    <x v="2"/>
    <x v="3"/>
    <x v="2"/>
    <x v="3"/>
  </r>
  <r>
    <x v="425"/>
    <x v="8"/>
    <x v="8"/>
    <n v="25.6"/>
    <n v="204.8"/>
    <x v="18"/>
    <x v="20"/>
    <x v="2"/>
    <x v="4"/>
    <x v="0"/>
    <x v="0"/>
    <x v="3"/>
    <x v="1"/>
    <x v="3"/>
    <x v="2"/>
    <x v="3"/>
  </r>
  <r>
    <x v="426"/>
    <x v="6"/>
    <x v="27"/>
    <n v="54.3"/>
    <n v="868.8"/>
    <x v="18"/>
    <x v="24"/>
    <x v="2"/>
    <x v="4"/>
    <x v="0"/>
    <x v="0"/>
    <x v="3"/>
    <x v="2"/>
    <x v="3"/>
    <x v="2"/>
    <x v="3"/>
  </r>
  <r>
    <x v="427"/>
    <x v="18"/>
    <x v="15"/>
    <n v="51.3"/>
    <n v="666.9"/>
    <x v="18"/>
    <x v="20"/>
    <x v="1"/>
    <x v="0"/>
    <x v="2"/>
    <x v="0"/>
    <x v="3"/>
    <x v="1"/>
    <x v="3"/>
    <x v="1"/>
    <x v="3"/>
  </r>
  <r>
    <x v="428"/>
    <x v="0"/>
    <x v="8"/>
    <n v="25.6"/>
    <n v="204.8"/>
    <x v="18"/>
    <x v="21"/>
    <x v="2"/>
    <x v="1"/>
    <x v="1"/>
    <x v="0"/>
    <x v="3"/>
    <x v="3"/>
    <x v="3"/>
    <x v="2"/>
    <x v="3"/>
  </r>
  <r>
    <x v="429"/>
    <x v="0"/>
    <x v="1"/>
    <n v="15.6"/>
    <n v="31.2"/>
    <x v="18"/>
    <x v="21"/>
    <x v="2"/>
    <x v="2"/>
    <x v="2"/>
    <x v="0"/>
    <x v="3"/>
    <x v="3"/>
    <x v="3"/>
    <x v="2"/>
    <x v="3"/>
  </r>
  <r>
    <x v="430"/>
    <x v="8"/>
    <x v="2"/>
    <n v="30.3"/>
    <n v="90.9"/>
    <x v="18"/>
    <x v="23"/>
    <x v="2"/>
    <x v="0"/>
    <x v="1"/>
    <x v="0"/>
    <x v="3"/>
    <x v="5"/>
    <x v="3"/>
    <x v="2"/>
    <x v="3"/>
  </r>
  <r>
    <x v="431"/>
    <x v="12"/>
    <x v="1"/>
    <n v="30.3"/>
    <n v="60.6"/>
    <x v="18"/>
    <x v="25"/>
    <x v="2"/>
    <x v="0"/>
    <x v="2"/>
    <x v="0"/>
    <x v="37"/>
    <x v="0"/>
    <x v="3"/>
    <x v="2"/>
    <x v="37"/>
  </r>
  <r>
    <x v="432"/>
    <x v="10"/>
    <x v="2"/>
    <n v="53"/>
    <n v="159"/>
    <x v="18"/>
    <x v="19"/>
    <x v="2"/>
    <x v="2"/>
    <x v="0"/>
    <x v="0"/>
    <x v="24"/>
    <x v="6"/>
    <x v="3"/>
    <x v="2"/>
    <x v="24"/>
  </r>
  <r>
    <x v="433"/>
    <x v="5"/>
    <x v="16"/>
    <n v="59.9"/>
    <n v="1078.2"/>
    <x v="18"/>
    <x v="24"/>
    <x v="1"/>
    <x v="2"/>
    <x v="4"/>
    <x v="0"/>
    <x v="25"/>
    <x v="2"/>
    <x v="3"/>
    <x v="1"/>
    <x v="25"/>
  </r>
  <r>
    <x v="434"/>
    <x v="9"/>
    <x v="1"/>
    <n v="45.7"/>
    <n v="91.4"/>
    <x v="18"/>
    <x v="21"/>
    <x v="2"/>
    <x v="1"/>
    <x v="2"/>
    <x v="0"/>
    <x v="6"/>
    <x v="3"/>
    <x v="3"/>
    <x v="2"/>
    <x v="6"/>
  </r>
  <r>
    <x v="435"/>
    <x v="8"/>
    <x v="12"/>
    <n v="46.1"/>
    <n v="184.4"/>
    <x v="18"/>
    <x v="21"/>
    <x v="1"/>
    <x v="0"/>
    <x v="0"/>
    <x v="0"/>
    <x v="6"/>
    <x v="3"/>
    <x v="3"/>
    <x v="1"/>
    <x v="6"/>
  </r>
  <r>
    <x v="436"/>
    <x v="8"/>
    <x v="2"/>
    <n v="17.5"/>
    <n v="52.5"/>
    <x v="18"/>
    <x v="21"/>
    <x v="2"/>
    <x v="0"/>
    <x v="2"/>
    <x v="0"/>
    <x v="8"/>
    <x v="3"/>
    <x v="3"/>
    <x v="2"/>
    <x v="8"/>
  </r>
  <r>
    <x v="437"/>
    <x v="10"/>
    <x v="2"/>
    <n v="36.5"/>
    <n v="109.5"/>
    <x v="18"/>
    <x v="26"/>
    <x v="1"/>
    <x v="2"/>
    <x v="0"/>
    <x v="0"/>
    <x v="8"/>
    <x v="11"/>
    <x v="3"/>
    <x v="1"/>
    <x v="8"/>
  </r>
  <r>
    <x v="438"/>
    <x v="8"/>
    <x v="1"/>
    <n v="47.5"/>
    <n v="95"/>
    <x v="19"/>
    <x v="24"/>
    <x v="2"/>
    <x v="1"/>
    <x v="0"/>
    <x v="0"/>
    <x v="8"/>
    <x v="1"/>
    <x v="3"/>
    <x v="2"/>
    <x v="8"/>
  </r>
  <r>
    <x v="439"/>
    <x v="6"/>
    <x v="9"/>
    <n v="45.6"/>
    <n v="228"/>
    <x v="19"/>
    <x v="24"/>
    <x v="2"/>
    <x v="0"/>
    <x v="2"/>
    <x v="0"/>
    <x v="8"/>
    <x v="1"/>
    <x v="3"/>
    <x v="2"/>
    <x v="8"/>
  </r>
  <r>
    <x v="440"/>
    <x v="9"/>
    <x v="1"/>
    <n v="50.5"/>
    <n v="101"/>
    <x v="19"/>
    <x v="24"/>
    <x v="1"/>
    <x v="0"/>
    <x v="1"/>
    <x v="0"/>
    <x v="17"/>
    <x v="1"/>
    <x v="3"/>
    <x v="1"/>
    <x v="17"/>
  </r>
  <r>
    <x v="441"/>
    <x v="2"/>
    <x v="7"/>
    <n v="99.8"/>
    <n v="998"/>
    <x v="19"/>
    <x v="23"/>
    <x v="2"/>
    <x v="2"/>
    <x v="1"/>
    <x v="0"/>
    <x v="17"/>
    <x v="2"/>
    <x v="3"/>
    <x v="2"/>
    <x v="17"/>
  </r>
  <r>
    <x v="442"/>
    <x v="8"/>
    <x v="20"/>
    <n v="19.2"/>
    <n v="288"/>
    <x v="19"/>
    <x v="24"/>
    <x v="3"/>
    <x v="4"/>
    <x v="1"/>
    <x v="0"/>
    <x v="26"/>
    <x v="1"/>
    <x v="3"/>
    <x v="3"/>
    <x v="26"/>
  </r>
  <r>
    <x v="443"/>
    <x v="17"/>
    <x v="2"/>
    <n v="22.6"/>
    <n v="67.800000000000011"/>
    <x v="19"/>
    <x v="20"/>
    <x v="1"/>
    <x v="1"/>
    <x v="0"/>
    <x v="0"/>
    <x v="11"/>
    <x v="3"/>
    <x v="3"/>
    <x v="1"/>
    <x v="11"/>
  </r>
  <r>
    <x v="444"/>
    <x v="1"/>
    <x v="20"/>
    <n v="126.9"/>
    <n v="1903.5"/>
    <x v="19"/>
    <x v="24"/>
    <x v="2"/>
    <x v="0"/>
    <x v="2"/>
    <x v="0"/>
    <x v="11"/>
    <x v="1"/>
    <x v="3"/>
    <x v="2"/>
    <x v="11"/>
  </r>
  <r>
    <x v="445"/>
    <x v="2"/>
    <x v="1"/>
    <n v="100.3"/>
    <n v="200.6"/>
    <x v="19"/>
    <x v="20"/>
    <x v="2"/>
    <x v="0"/>
    <x v="1"/>
    <x v="0"/>
    <x v="11"/>
    <x v="3"/>
    <x v="3"/>
    <x v="2"/>
    <x v="11"/>
  </r>
  <r>
    <x v="446"/>
    <x v="4"/>
    <x v="16"/>
    <n v="24.6"/>
    <n v="442.8"/>
    <x v="19"/>
    <x v="20"/>
    <x v="2"/>
    <x v="4"/>
    <x v="0"/>
    <x v="0"/>
    <x v="13"/>
    <x v="3"/>
    <x v="3"/>
    <x v="2"/>
    <x v="13"/>
  </r>
  <r>
    <x v="447"/>
    <x v="6"/>
    <x v="1"/>
    <n v="47.3"/>
    <n v="94.6"/>
    <x v="19"/>
    <x v="20"/>
    <x v="1"/>
    <x v="1"/>
    <x v="2"/>
    <x v="0"/>
    <x v="13"/>
    <x v="3"/>
    <x v="3"/>
    <x v="1"/>
    <x v="13"/>
  </r>
  <r>
    <x v="448"/>
    <x v="6"/>
    <x v="3"/>
    <n v="40.799999999999997"/>
    <n v="285.59999999999997"/>
    <x v="19"/>
    <x v="23"/>
    <x v="2"/>
    <x v="2"/>
    <x v="2"/>
    <x v="0"/>
    <x v="21"/>
    <x v="2"/>
    <x v="3"/>
    <x v="2"/>
    <x v="21"/>
  </r>
  <r>
    <x v="449"/>
    <x v="8"/>
    <x v="8"/>
    <n v="49.2"/>
    <n v="393.6"/>
    <x v="19"/>
    <x v="24"/>
    <x v="2"/>
    <x v="0"/>
    <x v="0"/>
    <x v="0"/>
    <x v="1"/>
    <x v="1"/>
    <x v="3"/>
    <x v="2"/>
    <x v="1"/>
  </r>
  <r>
    <x v="450"/>
    <x v="8"/>
    <x v="0"/>
    <n v="28.5"/>
    <n v="28.5"/>
    <x v="19"/>
    <x v="24"/>
    <x v="0"/>
    <x v="2"/>
    <x v="1"/>
    <x v="0"/>
    <x v="3"/>
    <x v="1"/>
    <x v="3"/>
    <x v="0"/>
    <x v="3"/>
  </r>
  <r>
    <x v="451"/>
    <x v="18"/>
    <x v="1"/>
    <n v="36.799999999999997"/>
    <n v="73.599999999999994"/>
    <x v="19"/>
    <x v="19"/>
    <x v="2"/>
    <x v="0"/>
    <x v="2"/>
    <x v="0"/>
    <x v="3"/>
    <x v="4"/>
    <x v="3"/>
    <x v="2"/>
    <x v="3"/>
  </r>
  <r>
    <x v="452"/>
    <x v="7"/>
    <x v="2"/>
    <n v="33.5"/>
    <n v="100.5"/>
    <x v="19"/>
    <x v="20"/>
    <x v="2"/>
    <x v="0"/>
    <x v="1"/>
    <x v="0"/>
    <x v="3"/>
    <x v="3"/>
    <x v="3"/>
    <x v="2"/>
    <x v="3"/>
  </r>
  <r>
    <x v="453"/>
    <x v="6"/>
    <x v="13"/>
    <n v="62.5"/>
    <n v="375"/>
    <x v="19"/>
    <x v="24"/>
    <x v="2"/>
    <x v="0"/>
    <x v="0"/>
    <x v="0"/>
    <x v="3"/>
    <x v="1"/>
    <x v="3"/>
    <x v="2"/>
    <x v="3"/>
  </r>
  <r>
    <x v="454"/>
    <x v="8"/>
    <x v="29"/>
    <n v="47.9"/>
    <n v="1916"/>
    <x v="19"/>
    <x v="20"/>
    <x v="2"/>
    <x v="3"/>
    <x v="0"/>
    <x v="0"/>
    <x v="3"/>
    <x v="3"/>
    <x v="3"/>
    <x v="2"/>
    <x v="3"/>
  </r>
  <r>
    <x v="455"/>
    <x v="6"/>
    <x v="13"/>
    <n v="92.9"/>
    <n v="557.40000000000009"/>
    <x v="19"/>
    <x v="27"/>
    <x v="2"/>
    <x v="0"/>
    <x v="4"/>
    <x v="0"/>
    <x v="3"/>
    <x v="11"/>
    <x v="3"/>
    <x v="2"/>
    <x v="3"/>
  </r>
  <r>
    <x v="456"/>
    <x v="12"/>
    <x v="2"/>
    <n v="44.1"/>
    <n v="132.30000000000001"/>
    <x v="19"/>
    <x v="21"/>
    <x v="2"/>
    <x v="1"/>
    <x v="1"/>
    <x v="0"/>
    <x v="43"/>
    <x v="7"/>
    <x v="3"/>
    <x v="2"/>
    <x v="43"/>
  </r>
  <r>
    <x v="457"/>
    <x v="0"/>
    <x v="0"/>
    <n v="11.4"/>
    <n v="11.4"/>
    <x v="20"/>
    <x v="23"/>
    <x v="2"/>
    <x v="2"/>
    <x v="0"/>
    <x v="0"/>
    <x v="5"/>
    <x v="1"/>
    <x v="3"/>
    <x v="2"/>
    <x v="5"/>
  </r>
  <r>
    <x v="458"/>
    <x v="6"/>
    <x v="0"/>
    <n v="83.7"/>
    <n v="83.7"/>
    <x v="20"/>
    <x v="23"/>
    <x v="2"/>
    <x v="0"/>
    <x v="2"/>
    <x v="0"/>
    <x v="6"/>
    <x v="1"/>
    <x v="3"/>
    <x v="2"/>
    <x v="6"/>
  </r>
  <r>
    <x v="459"/>
    <x v="10"/>
    <x v="1"/>
    <n v="23.2"/>
    <n v="46.4"/>
    <x v="20"/>
    <x v="24"/>
    <x v="1"/>
    <x v="2"/>
    <x v="0"/>
    <x v="0"/>
    <x v="8"/>
    <x v="3"/>
    <x v="3"/>
    <x v="1"/>
    <x v="8"/>
  </r>
  <r>
    <x v="460"/>
    <x v="2"/>
    <x v="0"/>
    <n v="162.1"/>
    <n v="162.1"/>
    <x v="20"/>
    <x v="25"/>
    <x v="2"/>
    <x v="0"/>
    <x v="2"/>
    <x v="0"/>
    <x v="9"/>
    <x v="2"/>
    <x v="3"/>
    <x v="2"/>
    <x v="9"/>
  </r>
  <r>
    <x v="461"/>
    <x v="6"/>
    <x v="12"/>
    <n v="49.2"/>
    <n v="196.8"/>
    <x v="20"/>
    <x v="17"/>
    <x v="1"/>
    <x v="1"/>
    <x v="0"/>
    <x v="0"/>
    <x v="9"/>
    <x v="5"/>
    <x v="3"/>
    <x v="1"/>
    <x v="9"/>
  </r>
  <r>
    <x v="462"/>
    <x v="1"/>
    <x v="1"/>
    <n v="61"/>
    <n v="122"/>
    <x v="20"/>
    <x v="24"/>
    <x v="1"/>
    <x v="3"/>
    <x v="0"/>
    <x v="0"/>
    <x v="10"/>
    <x v="3"/>
    <x v="3"/>
    <x v="1"/>
    <x v="10"/>
  </r>
  <r>
    <x v="463"/>
    <x v="2"/>
    <x v="7"/>
    <n v="53.1"/>
    <n v="531"/>
    <x v="20"/>
    <x v="23"/>
    <x v="1"/>
    <x v="0"/>
    <x v="0"/>
    <x v="0"/>
    <x v="11"/>
    <x v="1"/>
    <x v="3"/>
    <x v="1"/>
    <x v="11"/>
  </r>
  <r>
    <x v="464"/>
    <x v="4"/>
    <x v="1"/>
    <n v="22.4"/>
    <n v="44.8"/>
    <x v="20"/>
    <x v="23"/>
    <x v="0"/>
    <x v="1"/>
    <x v="2"/>
    <x v="0"/>
    <x v="13"/>
    <x v="1"/>
    <x v="3"/>
    <x v="0"/>
    <x v="13"/>
  </r>
  <r>
    <x v="465"/>
    <x v="1"/>
    <x v="9"/>
    <n v="75.3"/>
    <n v="376.5"/>
    <x v="20"/>
    <x v="24"/>
    <x v="1"/>
    <x v="0"/>
    <x v="0"/>
    <x v="0"/>
    <x v="21"/>
    <x v="3"/>
    <x v="3"/>
    <x v="1"/>
    <x v="21"/>
  </r>
  <r>
    <x v="466"/>
    <x v="6"/>
    <x v="0"/>
    <n v="48.5"/>
    <n v="48.5"/>
    <x v="20"/>
    <x v="24"/>
    <x v="2"/>
    <x v="0"/>
    <x v="1"/>
    <x v="0"/>
    <x v="21"/>
    <x v="3"/>
    <x v="3"/>
    <x v="2"/>
    <x v="21"/>
  </r>
  <r>
    <x v="467"/>
    <x v="6"/>
    <x v="0"/>
    <n v="42.6"/>
    <n v="42.6"/>
    <x v="20"/>
    <x v="17"/>
    <x v="2"/>
    <x v="3"/>
    <x v="0"/>
    <x v="0"/>
    <x v="1"/>
    <x v="5"/>
    <x v="3"/>
    <x v="2"/>
    <x v="1"/>
  </r>
  <r>
    <x v="468"/>
    <x v="5"/>
    <x v="9"/>
    <n v="49"/>
    <n v="245"/>
    <x v="20"/>
    <x v="24"/>
    <x v="1"/>
    <x v="0"/>
    <x v="0"/>
    <x v="0"/>
    <x v="22"/>
    <x v="3"/>
    <x v="3"/>
    <x v="1"/>
    <x v="22"/>
  </r>
  <r>
    <x v="469"/>
    <x v="8"/>
    <x v="2"/>
    <n v="31.3"/>
    <n v="93.9"/>
    <x v="20"/>
    <x v="24"/>
    <x v="1"/>
    <x v="2"/>
    <x v="1"/>
    <x v="0"/>
    <x v="3"/>
    <x v="3"/>
    <x v="3"/>
    <x v="1"/>
    <x v="3"/>
  </r>
  <r>
    <x v="470"/>
    <x v="2"/>
    <x v="1"/>
    <n v="85.4"/>
    <n v="170.8"/>
    <x v="20"/>
    <x v="24"/>
    <x v="2"/>
    <x v="2"/>
    <x v="0"/>
    <x v="0"/>
    <x v="3"/>
    <x v="3"/>
    <x v="3"/>
    <x v="2"/>
    <x v="3"/>
  </r>
  <r>
    <x v="471"/>
    <x v="8"/>
    <x v="12"/>
    <n v="40"/>
    <n v="160"/>
    <x v="20"/>
    <x v="24"/>
    <x v="3"/>
    <x v="0"/>
    <x v="2"/>
    <x v="0"/>
    <x v="3"/>
    <x v="3"/>
    <x v="3"/>
    <x v="3"/>
    <x v="3"/>
  </r>
  <r>
    <x v="472"/>
    <x v="5"/>
    <x v="1"/>
    <n v="38.5"/>
    <n v="77"/>
    <x v="20"/>
    <x v="25"/>
    <x v="1"/>
    <x v="1"/>
    <x v="2"/>
    <x v="0"/>
    <x v="3"/>
    <x v="2"/>
    <x v="3"/>
    <x v="1"/>
    <x v="3"/>
  </r>
  <r>
    <x v="473"/>
    <x v="2"/>
    <x v="1"/>
    <n v="57.8"/>
    <n v="115.6"/>
    <x v="20"/>
    <x v="24"/>
    <x v="0"/>
    <x v="0"/>
    <x v="0"/>
    <x v="0"/>
    <x v="3"/>
    <x v="3"/>
    <x v="3"/>
    <x v="0"/>
    <x v="3"/>
  </r>
  <r>
    <x v="474"/>
    <x v="8"/>
    <x v="0"/>
    <n v="19.2"/>
    <n v="19.2"/>
    <x v="20"/>
    <x v="24"/>
    <x v="2"/>
    <x v="0"/>
    <x v="4"/>
    <x v="0"/>
    <x v="3"/>
    <x v="3"/>
    <x v="3"/>
    <x v="2"/>
    <x v="3"/>
  </r>
  <r>
    <x v="475"/>
    <x v="6"/>
    <x v="13"/>
    <n v="114.8"/>
    <n v="688.8"/>
    <x v="20"/>
    <x v="25"/>
    <x v="1"/>
    <x v="1"/>
    <x v="1"/>
    <x v="0"/>
    <x v="3"/>
    <x v="2"/>
    <x v="3"/>
    <x v="1"/>
    <x v="3"/>
  </r>
  <r>
    <x v="476"/>
    <x v="10"/>
    <x v="3"/>
    <n v="48.4"/>
    <n v="338.8"/>
    <x v="20"/>
    <x v="25"/>
    <x v="2"/>
    <x v="3"/>
    <x v="1"/>
    <x v="0"/>
    <x v="3"/>
    <x v="2"/>
    <x v="3"/>
    <x v="2"/>
    <x v="3"/>
  </r>
  <r>
    <x v="477"/>
    <x v="9"/>
    <x v="9"/>
    <n v="73.2"/>
    <n v="366"/>
    <x v="20"/>
    <x v="24"/>
    <x v="2"/>
    <x v="1"/>
    <x v="4"/>
    <x v="0"/>
    <x v="3"/>
    <x v="3"/>
    <x v="3"/>
    <x v="2"/>
    <x v="3"/>
  </r>
  <r>
    <x v="478"/>
    <x v="15"/>
    <x v="1"/>
    <n v="48.6"/>
    <n v="97.2"/>
    <x v="20"/>
    <x v="17"/>
    <x v="2"/>
    <x v="3"/>
    <x v="0"/>
    <x v="0"/>
    <x v="3"/>
    <x v="5"/>
    <x v="3"/>
    <x v="2"/>
    <x v="3"/>
  </r>
  <r>
    <x v="479"/>
    <x v="0"/>
    <x v="13"/>
    <n v="48.7"/>
    <n v="292.20000000000005"/>
    <x v="20"/>
    <x v="24"/>
    <x v="1"/>
    <x v="0"/>
    <x v="0"/>
    <x v="0"/>
    <x v="3"/>
    <x v="3"/>
    <x v="3"/>
    <x v="1"/>
    <x v="3"/>
  </r>
  <r>
    <x v="480"/>
    <x v="4"/>
    <x v="1"/>
    <n v="32.200000000000003"/>
    <n v="64.400000000000006"/>
    <x v="20"/>
    <x v="25"/>
    <x v="1"/>
    <x v="2"/>
    <x v="2"/>
    <x v="0"/>
    <x v="3"/>
    <x v="2"/>
    <x v="3"/>
    <x v="1"/>
    <x v="3"/>
  </r>
  <r>
    <x v="481"/>
    <x v="15"/>
    <x v="8"/>
    <n v="25.8"/>
    <n v="206.4"/>
    <x v="20"/>
    <x v="24"/>
    <x v="1"/>
    <x v="0"/>
    <x v="0"/>
    <x v="0"/>
    <x v="37"/>
    <x v="3"/>
    <x v="3"/>
    <x v="1"/>
    <x v="37"/>
  </r>
  <r>
    <x v="482"/>
    <x v="6"/>
    <x v="1"/>
    <n v="94.8"/>
    <n v="189.6"/>
    <x v="21"/>
    <x v="17"/>
    <x v="2"/>
    <x v="1"/>
    <x v="1"/>
    <x v="0"/>
    <x v="25"/>
    <x v="2"/>
    <x v="3"/>
    <x v="2"/>
    <x v="25"/>
  </r>
  <r>
    <x v="483"/>
    <x v="15"/>
    <x v="30"/>
    <n v="56.8"/>
    <n v="1420"/>
    <x v="21"/>
    <x v="17"/>
    <x v="1"/>
    <x v="0"/>
    <x v="0"/>
    <x v="0"/>
    <x v="25"/>
    <x v="2"/>
    <x v="3"/>
    <x v="1"/>
    <x v="25"/>
  </r>
  <r>
    <x v="484"/>
    <x v="8"/>
    <x v="27"/>
    <n v="18.3"/>
    <n v="292.8"/>
    <x v="21"/>
    <x v="28"/>
    <x v="2"/>
    <x v="2"/>
    <x v="2"/>
    <x v="0"/>
    <x v="23"/>
    <x v="6"/>
    <x v="3"/>
    <x v="2"/>
    <x v="23"/>
  </r>
  <r>
    <x v="485"/>
    <x v="0"/>
    <x v="2"/>
    <n v="16.8"/>
    <n v="50.400000000000006"/>
    <x v="21"/>
    <x v="22"/>
    <x v="2"/>
    <x v="2"/>
    <x v="2"/>
    <x v="0"/>
    <x v="8"/>
    <x v="0"/>
    <x v="3"/>
    <x v="2"/>
    <x v="8"/>
  </r>
  <r>
    <x v="486"/>
    <x v="5"/>
    <x v="5"/>
    <n v="35.799999999999997"/>
    <n v="393.79999999999995"/>
    <x v="21"/>
    <x v="23"/>
    <x v="1"/>
    <x v="1"/>
    <x v="0"/>
    <x v="0"/>
    <x v="17"/>
    <x v="3"/>
    <x v="3"/>
    <x v="1"/>
    <x v="17"/>
  </r>
  <r>
    <x v="487"/>
    <x v="18"/>
    <x v="0"/>
    <n v="64.900000000000006"/>
    <n v="64.900000000000006"/>
    <x v="21"/>
    <x v="23"/>
    <x v="1"/>
    <x v="0"/>
    <x v="1"/>
    <x v="0"/>
    <x v="17"/>
    <x v="3"/>
    <x v="3"/>
    <x v="1"/>
    <x v="17"/>
  </r>
  <r>
    <x v="488"/>
    <x v="18"/>
    <x v="0"/>
    <n v="28.5"/>
    <n v="28.5"/>
    <x v="21"/>
    <x v="25"/>
    <x v="0"/>
    <x v="1"/>
    <x v="0"/>
    <x v="0"/>
    <x v="9"/>
    <x v="1"/>
    <x v="3"/>
    <x v="0"/>
    <x v="9"/>
  </r>
  <r>
    <x v="489"/>
    <x v="18"/>
    <x v="1"/>
    <n v="103.5"/>
    <n v="207"/>
    <x v="21"/>
    <x v="25"/>
    <x v="2"/>
    <x v="1"/>
    <x v="0"/>
    <x v="0"/>
    <x v="10"/>
    <x v="1"/>
    <x v="3"/>
    <x v="2"/>
    <x v="10"/>
  </r>
  <r>
    <x v="490"/>
    <x v="4"/>
    <x v="1"/>
    <n v="41.2"/>
    <n v="82.4"/>
    <x v="21"/>
    <x v="23"/>
    <x v="2"/>
    <x v="1"/>
    <x v="0"/>
    <x v="0"/>
    <x v="10"/>
    <x v="3"/>
    <x v="3"/>
    <x v="2"/>
    <x v="10"/>
  </r>
  <r>
    <x v="491"/>
    <x v="9"/>
    <x v="0"/>
    <n v="37.799999999999997"/>
    <n v="37.799999999999997"/>
    <x v="21"/>
    <x v="25"/>
    <x v="2"/>
    <x v="3"/>
    <x v="3"/>
    <x v="0"/>
    <x v="11"/>
    <x v="1"/>
    <x v="3"/>
    <x v="2"/>
    <x v="11"/>
  </r>
  <r>
    <x v="492"/>
    <x v="8"/>
    <x v="1"/>
    <n v="42.6"/>
    <n v="85.2"/>
    <x v="21"/>
    <x v="25"/>
    <x v="2"/>
    <x v="4"/>
    <x v="0"/>
    <x v="0"/>
    <x v="11"/>
    <x v="1"/>
    <x v="3"/>
    <x v="2"/>
    <x v="11"/>
  </r>
  <r>
    <x v="493"/>
    <x v="8"/>
    <x v="7"/>
    <n v="15.2"/>
    <n v="152"/>
    <x v="21"/>
    <x v="25"/>
    <x v="2"/>
    <x v="2"/>
    <x v="0"/>
    <x v="0"/>
    <x v="11"/>
    <x v="1"/>
    <x v="3"/>
    <x v="2"/>
    <x v="11"/>
  </r>
  <r>
    <x v="494"/>
    <x v="7"/>
    <x v="12"/>
    <n v="83.4"/>
    <n v="333.6"/>
    <x v="21"/>
    <x v="23"/>
    <x v="2"/>
    <x v="2"/>
    <x v="1"/>
    <x v="0"/>
    <x v="18"/>
    <x v="3"/>
    <x v="3"/>
    <x v="2"/>
    <x v="18"/>
  </r>
  <r>
    <x v="495"/>
    <x v="19"/>
    <x v="1"/>
    <n v="27.7"/>
    <n v="55.4"/>
    <x v="21"/>
    <x v="23"/>
    <x v="2"/>
    <x v="0"/>
    <x v="1"/>
    <x v="0"/>
    <x v="13"/>
    <x v="3"/>
    <x v="3"/>
    <x v="2"/>
    <x v="13"/>
  </r>
  <r>
    <x v="496"/>
    <x v="10"/>
    <x v="4"/>
    <n v="20.8"/>
    <n v="249.60000000000002"/>
    <x v="21"/>
    <x v="23"/>
    <x v="1"/>
    <x v="3"/>
    <x v="0"/>
    <x v="0"/>
    <x v="13"/>
    <x v="3"/>
    <x v="3"/>
    <x v="1"/>
    <x v="13"/>
  </r>
  <r>
    <x v="497"/>
    <x v="11"/>
    <x v="1"/>
    <n v="72.7"/>
    <n v="145.4"/>
    <x v="21"/>
    <x v="19"/>
    <x v="2"/>
    <x v="4"/>
    <x v="2"/>
    <x v="0"/>
    <x v="44"/>
    <x v="5"/>
    <x v="3"/>
    <x v="2"/>
    <x v="44"/>
  </r>
  <r>
    <x v="498"/>
    <x v="10"/>
    <x v="12"/>
    <n v="38.6"/>
    <n v="154.4"/>
    <x v="21"/>
    <x v="23"/>
    <x v="1"/>
    <x v="0"/>
    <x v="2"/>
    <x v="0"/>
    <x v="22"/>
    <x v="3"/>
    <x v="3"/>
    <x v="1"/>
    <x v="22"/>
  </r>
  <r>
    <x v="499"/>
    <x v="8"/>
    <x v="3"/>
    <n v="33.1"/>
    <n v="231.70000000000002"/>
    <x v="21"/>
    <x v="23"/>
    <x v="3"/>
    <x v="4"/>
    <x v="3"/>
    <x v="0"/>
    <x v="3"/>
    <x v="3"/>
    <x v="3"/>
    <x v="3"/>
    <x v="3"/>
  </r>
  <r>
    <x v="500"/>
    <x v="10"/>
    <x v="1"/>
    <n v="30.5"/>
    <n v="61"/>
    <x v="21"/>
    <x v="24"/>
    <x v="0"/>
    <x v="1"/>
    <x v="1"/>
    <x v="0"/>
    <x v="3"/>
    <x v="7"/>
    <x v="3"/>
    <x v="0"/>
    <x v="3"/>
  </r>
  <r>
    <x v="501"/>
    <x v="9"/>
    <x v="1"/>
    <n v="69.599999999999994"/>
    <n v="139.19999999999999"/>
    <x v="21"/>
    <x v="23"/>
    <x v="1"/>
    <x v="0"/>
    <x v="1"/>
    <x v="0"/>
    <x v="3"/>
    <x v="3"/>
    <x v="3"/>
    <x v="1"/>
    <x v="3"/>
  </r>
  <r>
    <x v="502"/>
    <x v="11"/>
    <x v="0"/>
    <n v="42.4"/>
    <n v="42.4"/>
    <x v="21"/>
    <x v="19"/>
    <x v="2"/>
    <x v="1"/>
    <x v="0"/>
    <x v="0"/>
    <x v="3"/>
    <x v="5"/>
    <x v="3"/>
    <x v="2"/>
    <x v="3"/>
  </r>
  <r>
    <x v="503"/>
    <x v="17"/>
    <x v="0"/>
    <n v="32.200000000000003"/>
    <n v="32.200000000000003"/>
    <x v="21"/>
    <x v="17"/>
    <x v="2"/>
    <x v="2"/>
    <x v="1"/>
    <x v="0"/>
    <x v="3"/>
    <x v="2"/>
    <x v="3"/>
    <x v="2"/>
    <x v="3"/>
  </r>
  <r>
    <x v="504"/>
    <x v="6"/>
    <x v="1"/>
    <n v="41.5"/>
    <n v="83"/>
    <x v="21"/>
    <x v="17"/>
    <x v="2"/>
    <x v="0"/>
    <x v="2"/>
    <x v="0"/>
    <x v="3"/>
    <x v="2"/>
    <x v="3"/>
    <x v="2"/>
    <x v="3"/>
  </r>
  <r>
    <x v="505"/>
    <x v="16"/>
    <x v="11"/>
    <n v="58.9"/>
    <n v="530.1"/>
    <x v="21"/>
    <x v="19"/>
    <x v="2"/>
    <x v="3"/>
    <x v="0"/>
    <x v="0"/>
    <x v="3"/>
    <x v="5"/>
    <x v="3"/>
    <x v="2"/>
    <x v="3"/>
  </r>
  <r>
    <x v="506"/>
    <x v="2"/>
    <x v="0"/>
    <n v="57.1"/>
    <n v="57.1"/>
    <x v="21"/>
    <x v="17"/>
    <x v="2"/>
    <x v="1"/>
    <x v="0"/>
    <x v="0"/>
    <x v="3"/>
    <x v="2"/>
    <x v="3"/>
    <x v="2"/>
    <x v="3"/>
  </r>
  <r>
    <x v="507"/>
    <x v="6"/>
    <x v="0"/>
    <n v="57.2"/>
    <n v="57.2"/>
    <x v="21"/>
    <x v="25"/>
    <x v="1"/>
    <x v="1"/>
    <x v="0"/>
    <x v="0"/>
    <x v="3"/>
    <x v="1"/>
    <x v="3"/>
    <x v="1"/>
    <x v="3"/>
  </r>
  <r>
    <x v="508"/>
    <x v="8"/>
    <x v="1"/>
    <n v="35.1"/>
    <n v="70.2"/>
    <x v="21"/>
    <x v="23"/>
    <x v="1"/>
    <x v="1"/>
    <x v="0"/>
    <x v="0"/>
    <x v="6"/>
    <x v="3"/>
    <x v="3"/>
    <x v="1"/>
    <x v="6"/>
  </r>
  <r>
    <x v="509"/>
    <x v="1"/>
    <x v="0"/>
    <n v="52.1"/>
    <n v="52.1"/>
    <x v="21"/>
    <x v="25"/>
    <x v="2"/>
    <x v="4"/>
    <x v="1"/>
    <x v="0"/>
    <x v="8"/>
    <x v="1"/>
    <x v="3"/>
    <x v="2"/>
    <x v="8"/>
  </r>
  <r>
    <x v="510"/>
    <x v="13"/>
    <x v="2"/>
    <n v="59.8"/>
    <n v="179.39999999999998"/>
    <x v="21"/>
    <x v="25"/>
    <x v="2"/>
    <x v="4"/>
    <x v="1"/>
    <x v="0"/>
    <x v="8"/>
    <x v="1"/>
    <x v="3"/>
    <x v="2"/>
    <x v="8"/>
  </r>
  <r>
    <x v="511"/>
    <x v="3"/>
    <x v="12"/>
    <n v="83.3"/>
    <n v="333.2"/>
    <x v="21"/>
    <x v="24"/>
    <x v="0"/>
    <x v="2"/>
    <x v="0"/>
    <x v="0"/>
    <x v="8"/>
    <x v="7"/>
    <x v="3"/>
    <x v="0"/>
    <x v="8"/>
  </r>
  <r>
    <x v="512"/>
    <x v="15"/>
    <x v="4"/>
    <n v="41.3"/>
    <n v="495.59999999999997"/>
    <x v="21"/>
    <x v="23"/>
    <x v="2"/>
    <x v="1"/>
    <x v="0"/>
    <x v="0"/>
    <x v="8"/>
    <x v="3"/>
    <x v="3"/>
    <x v="2"/>
    <x v="8"/>
  </r>
  <r>
    <x v="513"/>
    <x v="8"/>
    <x v="9"/>
    <n v="16"/>
    <n v="80"/>
    <x v="21"/>
    <x v="25"/>
    <x v="1"/>
    <x v="4"/>
    <x v="1"/>
    <x v="0"/>
    <x v="9"/>
    <x v="1"/>
    <x v="3"/>
    <x v="1"/>
    <x v="9"/>
  </r>
  <r>
    <x v="514"/>
    <x v="10"/>
    <x v="1"/>
    <n v="20.8"/>
    <n v="41.6"/>
    <x v="22"/>
    <x v="17"/>
    <x v="1"/>
    <x v="0"/>
    <x v="2"/>
    <x v="0"/>
    <x v="11"/>
    <x v="1"/>
    <x v="3"/>
    <x v="1"/>
    <x v="11"/>
  </r>
  <r>
    <x v="515"/>
    <x v="8"/>
    <x v="31"/>
    <n v="27.1"/>
    <n v="758.80000000000007"/>
    <x v="22"/>
    <x v="25"/>
    <x v="0"/>
    <x v="3"/>
    <x v="2"/>
    <x v="0"/>
    <x v="11"/>
    <x v="3"/>
    <x v="3"/>
    <x v="0"/>
    <x v="11"/>
  </r>
  <r>
    <x v="516"/>
    <x v="10"/>
    <x v="1"/>
    <n v="38.9"/>
    <n v="77.8"/>
    <x v="22"/>
    <x v="17"/>
    <x v="2"/>
    <x v="0"/>
    <x v="0"/>
    <x v="0"/>
    <x v="18"/>
    <x v="1"/>
    <x v="3"/>
    <x v="2"/>
    <x v="18"/>
  </r>
  <r>
    <x v="517"/>
    <x v="0"/>
    <x v="1"/>
    <n v="10.8"/>
    <n v="21.6"/>
    <x v="22"/>
    <x v="19"/>
    <x v="2"/>
    <x v="1"/>
    <x v="2"/>
    <x v="0"/>
    <x v="45"/>
    <x v="2"/>
    <x v="3"/>
    <x v="2"/>
    <x v="45"/>
  </r>
  <r>
    <x v="518"/>
    <x v="4"/>
    <x v="15"/>
    <n v="48.4"/>
    <n v="629.19999999999993"/>
    <x v="22"/>
    <x v="22"/>
    <x v="2"/>
    <x v="0"/>
    <x v="0"/>
    <x v="0"/>
    <x v="21"/>
    <x v="5"/>
    <x v="3"/>
    <x v="2"/>
    <x v="21"/>
  </r>
  <r>
    <x v="519"/>
    <x v="4"/>
    <x v="2"/>
    <n v="29.2"/>
    <n v="87.6"/>
    <x v="22"/>
    <x v="19"/>
    <x v="2"/>
    <x v="1"/>
    <x v="1"/>
    <x v="0"/>
    <x v="2"/>
    <x v="2"/>
    <x v="3"/>
    <x v="2"/>
    <x v="2"/>
  </r>
  <r>
    <x v="520"/>
    <x v="4"/>
    <x v="1"/>
    <n v="25.1"/>
    <n v="50.2"/>
    <x v="22"/>
    <x v="25"/>
    <x v="1"/>
    <x v="0"/>
    <x v="1"/>
    <x v="0"/>
    <x v="2"/>
    <x v="3"/>
    <x v="3"/>
    <x v="1"/>
    <x v="2"/>
  </r>
  <r>
    <x v="521"/>
    <x v="7"/>
    <x v="2"/>
    <n v="65.599999999999994"/>
    <n v="196.79999999999998"/>
    <x v="22"/>
    <x v="23"/>
    <x v="2"/>
    <x v="2"/>
    <x v="1"/>
    <x v="0"/>
    <x v="3"/>
    <x v="7"/>
    <x v="3"/>
    <x v="2"/>
    <x v="3"/>
  </r>
  <r>
    <x v="522"/>
    <x v="2"/>
    <x v="1"/>
    <n v="57.3"/>
    <n v="114.6"/>
    <x v="22"/>
    <x v="23"/>
    <x v="0"/>
    <x v="0"/>
    <x v="0"/>
    <x v="0"/>
    <x v="3"/>
    <x v="7"/>
    <x v="3"/>
    <x v="0"/>
    <x v="3"/>
  </r>
  <r>
    <x v="523"/>
    <x v="9"/>
    <x v="12"/>
    <n v="22.4"/>
    <n v="89.6"/>
    <x v="22"/>
    <x v="25"/>
    <x v="2"/>
    <x v="2"/>
    <x v="2"/>
    <x v="0"/>
    <x v="3"/>
    <x v="3"/>
    <x v="3"/>
    <x v="2"/>
    <x v="3"/>
  </r>
  <r>
    <x v="524"/>
    <x v="12"/>
    <x v="11"/>
    <n v="45.7"/>
    <n v="411.3"/>
    <x v="22"/>
    <x v="25"/>
    <x v="2"/>
    <x v="0"/>
    <x v="0"/>
    <x v="0"/>
    <x v="3"/>
    <x v="3"/>
    <x v="3"/>
    <x v="2"/>
    <x v="3"/>
  </r>
  <r>
    <x v="525"/>
    <x v="8"/>
    <x v="1"/>
    <n v="29.3"/>
    <n v="58.6"/>
    <x v="22"/>
    <x v="25"/>
    <x v="1"/>
    <x v="1"/>
    <x v="0"/>
    <x v="0"/>
    <x v="3"/>
    <x v="3"/>
    <x v="3"/>
    <x v="1"/>
    <x v="3"/>
  </r>
  <r>
    <x v="526"/>
    <x v="18"/>
    <x v="32"/>
    <n v="74"/>
    <n v="1628"/>
    <x v="22"/>
    <x v="25"/>
    <x v="1"/>
    <x v="0"/>
    <x v="2"/>
    <x v="0"/>
    <x v="3"/>
    <x v="3"/>
    <x v="3"/>
    <x v="1"/>
    <x v="3"/>
  </r>
  <r>
    <x v="527"/>
    <x v="14"/>
    <x v="1"/>
    <n v="39.200000000000003"/>
    <n v="78.400000000000006"/>
    <x v="22"/>
    <x v="17"/>
    <x v="2"/>
    <x v="1"/>
    <x v="0"/>
    <x v="0"/>
    <x v="3"/>
    <x v="1"/>
    <x v="3"/>
    <x v="2"/>
    <x v="3"/>
  </r>
  <r>
    <x v="528"/>
    <x v="4"/>
    <x v="14"/>
    <n v="62.7"/>
    <n v="1065.9000000000001"/>
    <x v="22"/>
    <x v="25"/>
    <x v="2"/>
    <x v="2"/>
    <x v="1"/>
    <x v="0"/>
    <x v="3"/>
    <x v="3"/>
    <x v="3"/>
    <x v="2"/>
    <x v="3"/>
  </r>
  <r>
    <x v="529"/>
    <x v="10"/>
    <x v="1"/>
    <n v="60.1"/>
    <n v="120.2"/>
    <x v="22"/>
    <x v="25"/>
    <x v="2"/>
    <x v="3"/>
    <x v="0"/>
    <x v="0"/>
    <x v="3"/>
    <x v="3"/>
    <x v="3"/>
    <x v="2"/>
    <x v="3"/>
  </r>
  <r>
    <x v="530"/>
    <x v="0"/>
    <x v="12"/>
    <n v="11.2"/>
    <n v="44.8"/>
    <x v="22"/>
    <x v="25"/>
    <x v="2"/>
    <x v="3"/>
    <x v="1"/>
    <x v="0"/>
    <x v="3"/>
    <x v="3"/>
    <x v="3"/>
    <x v="2"/>
    <x v="3"/>
  </r>
  <r>
    <x v="531"/>
    <x v="8"/>
    <x v="1"/>
    <n v="22.9"/>
    <n v="45.8"/>
    <x v="22"/>
    <x v="25"/>
    <x v="2"/>
    <x v="0"/>
    <x v="0"/>
    <x v="0"/>
    <x v="6"/>
    <x v="3"/>
    <x v="3"/>
    <x v="2"/>
    <x v="6"/>
  </r>
  <r>
    <x v="532"/>
    <x v="1"/>
    <x v="1"/>
    <n v="37.6"/>
    <n v="75.2"/>
    <x v="22"/>
    <x v="19"/>
    <x v="2"/>
    <x v="0"/>
    <x v="0"/>
    <x v="0"/>
    <x v="6"/>
    <x v="2"/>
    <x v="3"/>
    <x v="2"/>
    <x v="6"/>
  </r>
  <r>
    <x v="533"/>
    <x v="6"/>
    <x v="0"/>
    <n v="42.4"/>
    <n v="42.4"/>
    <x v="22"/>
    <x v="25"/>
    <x v="2"/>
    <x v="3"/>
    <x v="2"/>
    <x v="0"/>
    <x v="6"/>
    <x v="3"/>
    <x v="3"/>
    <x v="2"/>
    <x v="6"/>
  </r>
  <r>
    <x v="534"/>
    <x v="8"/>
    <x v="1"/>
    <n v="19.600000000000001"/>
    <n v="39.200000000000003"/>
    <x v="22"/>
    <x v="22"/>
    <x v="2"/>
    <x v="2"/>
    <x v="0"/>
    <x v="0"/>
    <x v="7"/>
    <x v="5"/>
    <x v="3"/>
    <x v="2"/>
    <x v="7"/>
  </r>
  <r>
    <x v="535"/>
    <x v="9"/>
    <x v="0"/>
    <n v="90.5"/>
    <n v="90.5"/>
    <x v="22"/>
    <x v="19"/>
    <x v="2"/>
    <x v="2"/>
    <x v="0"/>
    <x v="0"/>
    <x v="7"/>
    <x v="2"/>
    <x v="3"/>
    <x v="2"/>
    <x v="7"/>
  </r>
  <r>
    <x v="536"/>
    <x v="16"/>
    <x v="5"/>
    <n v="33.9"/>
    <n v="372.9"/>
    <x v="22"/>
    <x v="25"/>
    <x v="1"/>
    <x v="2"/>
    <x v="1"/>
    <x v="0"/>
    <x v="7"/>
    <x v="3"/>
    <x v="3"/>
    <x v="1"/>
    <x v="7"/>
  </r>
  <r>
    <x v="537"/>
    <x v="0"/>
    <x v="1"/>
    <n v="32.799999999999997"/>
    <n v="65.599999999999994"/>
    <x v="22"/>
    <x v="17"/>
    <x v="2"/>
    <x v="4"/>
    <x v="4"/>
    <x v="0"/>
    <x v="8"/>
    <x v="1"/>
    <x v="3"/>
    <x v="2"/>
    <x v="8"/>
  </r>
  <r>
    <x v="538"/>
    <x v="15"/>
    <x v="0"/>
    <n v="49.9"/>
    <n v="49.9"/>
    <x v="22"/>
    <x v="25"/>
    <x v="1"/>
    <x v="3"/>
    <x v="1"/>
    <x v="0"/>
    <x v="8"/>
    <x v="3"/>
    <x v="3"/>
    <x v="1"/>
    <x v="8"/>
  </r>
  <r>
    <x v="539"/>
    <x v="7"/>
    <x v="9"/>
    <n v="79.2"/>
    <n v="396"/>
    <x v="22"/>
    <x v="25"/>
    <x v="2"/>
    <x v="4"/>
    <x v="0"/>
    <x v="0"/>
    <x v="8"/>
    <x v="3"/>
    <x v="3"/>
    <x v="2"/>
    <x v="8"/>
  </r>
  <r>
    <x v="540"/>
    <x v="8"/>
    <x v="27"/>
    <n v="19.5"/>
    <n v="312"/>
    <x v="22"/>
    <x v="17"/>
    <x v="1"/>
    <x v="3"/>
    <x v="2"/>
    <x v="0"/>
    <x v="8"/>
    <x v="1"/>
    <x v="3"/>
    <x v="1"/>
    <x v="8"/>
  </r>
  <r>
    <x v="541"/>
    <x v="8"/>
    <x v="12"/>
    <n v="18"/>
    <n v="72"/>
    <x v="22"/>
    <x v="25"/>
    <x v="1"/>
    <x v="1"/>
    <x v="0"/>
    <x v="0"/>
    <x v="10"/>
    <x v="3"/>
    <x v="3"/>
    <x v="1"/>
    <x v="10"/>
  </r>
  <r>
    <x v="542"/>
    <x v="9"/>
    <x v="2"/>
    <n v="45.9"/>
    <n v="137.69999999999999"/>
    <x v="22"/>
    <x v="17"/>
    <x v="2"/>
    <x v="1"/>
    <x v="1"/>
    <x v="0"/>
    <x v="10"/>
    <x v="1"/>
    <x v="3"/>
    <x v="2"/>
    <x v="10"/>
  </r>
  <r>
    <x v="543"/>
    <x v="11"/>
    <x v="0"/>
    <n v="41.2"/>
    <n v="41.2"/>
    <x v="22"/>
    <x v="17"/>
    <x v="2"/>
    <x v="1"/>
    <x v="2"/>
    <x v="0"/>
    <x v="11"/>
    <x v="1"/>
    <x v="3"/>
    <x v="2"/>
    <x v="11"/>
  </r>
  <r>
    <x v="544"/>
    <x v="2"/>
    <x v="7"/>
    <n v="167.2"/>
    <n v="1672"/>
    <x v="22"/>
    <x v="17"/>
    <x v="2"/>
    <x v="2"/>
    <x v="2"/>
    <x v="0"/>
    <x v="32"/>
    <x v="1"/>
    <x v="3"/>
    <x v="2"/>
    <x v="32"/>
  </r>
  <r>
    <x v="545"/>
    <x v="6"/>
    <x v="17"/>
    <n v="74.5"/>
    <n v="2235"/>
    <x v="23"/>
    <x v="22"/>
    <x v="2"/>
    <x v="1"/>
    <x v="2"/>
    <x v="0"/>
    <x v="38"/>
    <x v="2"/>
    <x v="3"/>
    <x v="2"/>
    <x v="38"/>
  </r>
  <r>
    <x v="546"/>
    <x v="7"/>
    <x v="12"/>
    <n v="39.299999999999997"/>
    <n v="157.19999999999999"/>
    <x v="23"/>
    <x v="17"/>
    <x v="0"/>
    <x v="2"/>
    <x v="0"/>
    <x v="0"/>
    <x v="19"/>
    <x v="3"/>
    <x v="3"/>
    <x v="0"/>
    <x v="19"/>
  </r>
  <r>
    <x v="547"/>
    <x v="9"/>
    <x v="0"/>
    <n v="68.5"/>
    <n v="68.5"/>
    <x v="23"/>
    <x v="22"/>
    <x v="1"/>
    <x v="1"/>
    <x v="2"/>
    <x v="0"/>
    <x v="12"/>
    <x v="2"/>
    <x v="3"/>
    <x v="1"/>
    <x v="12"/>
  </r>
  <r>
    <x v="548"/>
    <x v="0"/>
    <x v="2"/>
    <n v="22.5"/>
    <n v="67.5"/>
    <x v="23"/>
    <x v="25"/>
    <x v="2"/>
    <x v="4"/>
    <x v="0"/>
    <x v="0"/>
    <x v="13"/>
    <x v="7"/>
    <x v="3"/>
    <x v="2"/>
    <x v="13"/>
  </r>
  <r>
    <x v="549"/>
    <x v="1"/>
    <x v="0"/>
    <n v="48"/>
    <n v="48"/>
    <x v="23"/>
    <x v="17"/>
    <x v="3"/>
    <x v="4"/>
    <x v="1"/>
    <x v="0"/>
    <x v="46"/>
    <x v="3"/>
    <x v="3"/>
    <x v="3"/>
    <x v="46"/>
  </r>
  <r>
    <x v="550"/>
    <x v="6"/>
    <x v="0"/>
    <n v="94"/>
    <n v="94"/>
    <x v="23"/>
    <x v="17"/>
    <x v="1"/>
    <x v="3"/>
    <x v="1"/>
    <x v="0"/>
    <x v="1"/>
    <x v="3"/>
    <x v="3"/>
    <x v="1"/>
    <x v="1"/>
  </r>
  <r>
    <x v="551"/>
    <x v="8"/>
    <x v="2"/>
    <n v="21.9"/>
    <n v="65.699999999999989"/>
    <x v="23"/>
    <x v="17"/>
    <x v="2"/>
    <x v="0"/>
    <x v="0"/>
    <x v="0"/>
    <x v="44"/>
    <x v="3"/>
    <x v="3"/>
    <x v="2"/>
    <x v="44"/>
  </r>
  <r>
    <x v="552"/>
    <x v="6"/>
    <x v="3"/>
    <n v="64.900000000000006"/>
    <n v="454.30000000000007"/>
    <x v="23"/>
    <x v="17"/>
    <x v="2"/>
    <x v="0"/>
    <x v="0"/>
    <x v="0"/>
    <x v="3"/>
    <x v="3"/>
    <x v="3"/>
    <x v="2"/>
    <x v="3"/>
  </r>
  <r>
    <x v="553"/>
    <x v="12"/>
    <x v="0"/>
    <n v="52.9"/>
    <n v="52.9"/>
    <x v="23"/>
    <x v="25"/>
    <x v="2"/>
    <x v="1"/>
    <x v="1"/>
    <x v="0"/>
    <x v="3"/>
    <x v="7"/>
    <x v="3"/>
    <x v="2"/>
    <x v="3"/>
  </r>
  <r>
    <x v="554"/>
    <x v="8"/>
    <x v="2"/>
    <n v="25.5"/>
    <n v="76.5"/>
    <x v="23"/>
    <x v="17"/>
    <x v="2"/>
    <x v="1"/>
    <x v="2"/>
    <x v="0"/>
    <x v="3"/>
    <x v="3"/>
    <x v="3"/>
    <x v="2"/>
    <x v="3"/>
  </r>
  <r>
    <x v="555"/>
    <x v="6"/>
    <x v="2"/>
    <n v="51.9"/>
    <n v="155.69999999999999"/>
    <x v="23"/>
    <x v="17"/>
    <x v="2"/>
    <x v="3"/>
    <x v="0"/>
    <x v="0"/>
    <x v="3"/>
    <x v="3"/>
    <x v="3"/>
    <x v="2"/>
    <x v="3"/>
  </r>
  <r>
    <x v="556"/>
    <x v="5"/>
    <x v="0"/>
    <n v="46.3"/>
    <n v="46.3"/>
    <x v="23"/>
    <x v="22"/>
    <x v="2"/>
    <x v="4"/>
    <x v="0"/>
    <x v="0"/>
    <x v="3"/>
    <x v="2"/>
    <x v="3"/>
    <x v="2"/>
    <x v="3"/>
  </r>
  <r>
    <x v="557"/>
    <x v="6"/>
    <x v="1"/>
    <n v="68.2"/>
    <n v="136.4"/>
    <x v="23"/>
    <x v="19"/>
    <x v="2"/>
    <x v="3"/>
    <x v="0"/>
    <x v="0"/>
    <x v="3"/>
    <x v="1"/>
    <x v="3"/>
    <x v="2"/>
    <x v="3"/>
  </r>
  <r>
    <x v="558"/>
    <x v="1"/>
    <x v="0"/>
    <n v="40.299999999999997"/>
    <n v="40.299999999999997"/>
    <x v="23"/>
    <x v="17"/>
    <x v="1"/>
    <x v="0"/>
    <x v="1"/>
    <x v="0"/>
    <x v="3"/>
    <x v="3"/>
    <x v="3"/>
    <x v="1"/>
    <x v="3"/>
  </r>
  <r>
    <x v="559"/>
    <x v="2"/>
    <x v="2"/>
    <n v="91.3"/>
    <n v="273.89999999999998"/>
    <x v="23"/>
    <x v="28"/>
    <x v="1"/>
    <x v="0"/>
    <x v="2"/>
    <x v="0"/>
    <x v="6"/>
    <x v="0"/>
    <x v="3"/>
    <x v="1"/>
    <x v="6"/>
  </r>
  <r>
    <x v="560"/>
    <x v="0"/>
    <x v="2"/>
    <n v="11.9"/>
    <n v="35.700000000000003"/>
    <x v="23"/>
    <x v="17"/>
    <x v="2"/>
    <x v="0"/>
    <x v="1"/>
    <x v="0"/>
    <x v="6"/>
    <x v="3"/>
    <x v="3"/>
    <x v="2"/>
    <x v="6"/>
  </r>
  <r>
    <x v="561"/>
    <x v="2"/>
    <x v="1"/>
    <n v="63.5"/>
    <n v="127"/>
    <x v="23"/>
    <x v="19"/>
    <x v="1"/>
    <x v="1"/>
    <x v="0"/>
    <x v="0"/>
    <x v="6"/>
    <x v="1"/>
    <x v="3"/>
    <x v="1"/>
    <x v="6"/>
  </r>
  <r>
    <x v="562"/>
    <x v="4"/>
    <x v="1"/>
    <n v="27.1"/>
    <n v="54.2"/>
    <x v="23"/>
    <x v="22"/>
    <x v="1"/>
    <x v="2"/>
    <x v="2"/>
    <x v="0"/>
    <x v="6"/>
    <x v="2"/>
    <x v="3"/>
    <x v="1"/>
    <x v="6"/>
  </r>
  <r>
    <x v="563"/>
    <x v="1"/>
    <x v="1"/>
    <n v="82.1"/>
    <n v="164.2"/>
    <x v="24"/>
    <x v="29"/>
    <x v="1"/>
    <x v="1"/>
    <x v="1"/>
    <x v="0"/>
    <x v="7"/>
    <x v="2"/>
    <x v="3"/>
    <x v="1"/>
    <x v="7"/>
  </r>
  <r>
    <x v="564"/>
    <x v="3"/>
    <x v="9"/>
    <n v="42.9"/>
    <n v="214.5"/>
    <x v="24"/>
    <x v="22"/>
    <x v="2"/>
    <x v="1"/>
    <x v="0"/>
    <x v="0"/>
    <x v="8"/>
    <x v="1"/>
    <x v="3"/>
    <x v="2"/>
    <x v="8"/>
  </r>
  <r>
    <x v="565"/>
    <x v="8"/>
    <x v="5"/>
    <n v="37.9"/>
    <n v="416.9"/>
    <x v="24"/>
    <x v="30"/>
    <x v="1"/>
    <x v="0"/>
    <x v="0"/>
    <x v="0"/>
    <x v="8"/>
    <x v="6"/>
    <x v="3"/>
    <x v="1"/>
    <x v="8"/>
  </r>
  <r>
    <x v="566"/>
    <x v="0"/>
    <x v="0"/>
    <n v="22.4"/>
    <n v="22.4"/>
    <x v="24"/>
    <x v="19"/>
    <x v="2"/>
    <x v="0"/>
    <x v="1"/>
    <x v="0"/>
    <x v="17"/>
    <x v="3"/>
    <x v="3"/>
    <x v="2"/>
    <x v="17"/>
  </r>
  <r>
    <x v="567"/>
    <x v="2"/>
    <x v="15"/>
    <n v="79.900000000000006"/>
    <n v="1038.7"/>
    <x v="24"/>
    <x v="31"/>
    <x v="2"/>
    <x v="3"/>
    <x v="1"/>
    <x v="0"/>
    <x v="11"/>
    <x v="10"/>
    <x v="3"/>
    <x v="2"/>
    <x v="11"/>
  </r>
  <r>
    <x v="568"/>
    <x v="1"/>
    <x v="0"/>
    <n v="70.599999999999994"/>
    <n v="70.599999999999994"/>
    <x v="24"/>
    <x v="29"/>
    <x v="2"/>
    <x v="0"/>
    <x v="1"/>
    <x v="0"/>
    <x v="11"/>
    <x v="2"/>
    <x v="3"/>
    <x v="2"/>
    <x v="11"/>
  </r>
  <r>
    <x v="569"/>
    <x v="6"/>
    <x v="0"/>
    <n v="49.5"/>
    <n v="49.5"/>
    <x v="24"/>
    <x v="22"/>
    <x v="1"/>
    <x v="0"/>
    <x v="0"/>
    <x v="0"/>
    <x v="13"/>
    <x v="1"/>
    <x v="3"/>
    <x v="1"/>
    <x v="13"/>
  </r>
  <r>
    <x v="570"/>
    <x v="2"/>
    <x v="1"/>
    <n v="96.6"/>
    <n v="193.2"/>
    <x v="24"/>
    <x v="22"/>
    <x v="1"/>
    <x v="0"/>
    <x v="0"/>
    <x v="0"/>
    <x v="21"/>
    <x v="1"/>
    <x v="3"/>
    <x v="1"/>
    <x v="21"/>
  </r>
  <r>
    <x v="571"/>
    <x v="6"/>
    <x v="1"/>
    <n v="52.8"/>
    <n v="105.6"/>
    <x v="24"/>
    <x v="19"/>
    <x v="2"/>
    <x v="1"/>
    <x v="1"/>
    <x v="0"/>
    <x v="21"/>
    <x v="3"/>
    <x v="3"/>
    <x v="2"/>
    <x v="21"/>
  </r>
  <r>
    <x v="572"/>
    <x v="2"/>
    <x v="0"/>
    <n v="101.7"/>
    <n v="101.7"/>
    <x v="24"/>
    <x v="19"/>
    <x v="1"/>
    <x v="0"/>
    <x v="0"/>
    <x v="0"/>
    <x v="1"/>
    <x v="3"/>
    <x v="3"/>
    <x v="1"/>
    <x v="1"/>
  </r>
  <r>
    <x v="573"/>
    <x v="4"/>
    <x v="9"/>
    <n v="26.9"/>
    <n v="134.5"/>
    <x v="24"/>
    <x v="26"/>
    <x v="2"/>
    <x v="1"/>
    <x v="1"/>
    <x v="0"/>
    <x v="22"/>
    <x v="0"/>
    <x v="3"/>
    <x v="2"/>
    <x v="22"/>
  </r>
  <r>
    <x v="574"/>
    <x v="2"/>
    <x v="12"/>
    <n v="211"/>
    <n v="844"/>
    <x v="24"/>
    <x v="17"/>
    <x v="2"/>
    <x v="1"/>
    <x v="1"/>
    <x v="0"/>
    <x v="3"/>
    <x v="7"/>
    <x v="3"/>
    <x v="2"/>
    <x v="3"/>
  </r>
  <r>
    <x v="575"/>
    <x v="0"/>
    <x v="12"/>
    <n v="21.1"/>
    <n v="84.4"/>
    <x v="24"/>
    <x v="29"/>
    <x v="1"/>
    <x v="4"/>
    <x v="0"/>
    <x v="0"/>
    <x v="3"/>
    <x v="2"/>
    <x v="3"/>
    <x v="1"/>
    <x v="3"/>
  </r>
  <r>
    <x v="576"/>
    <x v="10"/>
    <x v="0"/>
    <n v="26.6"/>
    <n v="26.6"/>
    <x v="24"/>
    <x v="22"/>
    <x v="1"/>
    <x v="0"/>
    <x v="4"/>
    <x v="0"/>
    <x v="3"/>
    <x v="1"/>
    <x v="3"/>
    <x v="1"/>
    <x v="3"/>
  </r>
  <r>
    <x v="577"/>
    <x v="12"/>
    <x v="12"/>
    <n v="51.2"/>
    <n v="204.8"/>
    <x v="24"/>
    <x v="19"/>
    <x v="2"/>
    <x v="3"/>
    <x v="0"/>
    <x v="0"/>
    <x v="47"/>
    <x v="3"/>
    <x v="3"/>
    <x v="2"/>
    <x v="47"/>
  </r>
  <r>
    <x v="578"/>
    <x v="0"/>
    <x v="9"/>
    <n v="10.6"/>
    <n v="53"/>
    <x v="24"/>
    <x v="28"/>
    <x v="2"/>
    <x v="0"/>
    <x v="0"/>
    <x v="0"/>
    <x v="8"/>
    <x v="5"/>
    <x v="3"/>
    <x v="2"/>
    <x v="8"/>
  </r>
  <r>
    <x v="579"/>
    <x v="6"/>
    <x v="2"/>
    <n v="43.4"/>
    <n v="130.19999999999999"/>
    <x v="24"/>
    <x v="29"/>
    <x v="2"/>
    <x v="4"/>
    <x v="0"/>
    <x v="0"/>
    <x v="8"/>
    <x v="2"/>
    <x v="3"/>
    <x v="2"/>
    <x v="8"/>
  </r>
  <r>
    <x v="580"/>
    <x v="12"/>
    <x v="0"/>
    <n v="80"/>
    <n v="80"/>
    <x v="24"/>
    <x v="17"/>
    <x v="2"/>
    <x v="0"/>
    <x v="2"/>
    <x v="0"/>
    <x v="8"/>
    <x v="7"/>
    <x v="3"/>
    <x v="2"/>
    <x v="8"/>
  </r>
  <r>
    <x v="581"/>
    <x v="10"/>
    <x v="12"/>
    <n v="64.7"/>
    <n v="258.8"/>
    <x v="24"/>
    <x v="22"/>
    <x v="2"/>
    <x v="1"/>
    <x v="4"/>
    <x v="0"/>
    <x v="8"/>
    <x v="1"/>
    <x v="3"/>
    <x v="2"/>
    <x v="8"/>
  </r>
  <r>
    <x v="582"/>
    <x v="8"/>
    <x v="5"/>
    <n v="26.3"/>
    <n v="289.3"/>
    <x v="25"/>
    <x v="19"/>
    <x v="2"/>
    <x v="4"/>
    <x v="1"/>
    <x v="0"/>
    <x v="26"/>
    <x v="7"/>
    <x v="4"/>
    <x v="2"/>
    <x v="26"/>
  </r>
  <r>
    <x v="583"/>
    <x v="10"/>
    <x v="0"/>
    <n v="28.5"/>
    <n v="28.5"/>
    <x v="25"/>
    <x v="19"/>
    <x v="1"/>
    <x v="0"/>
    <x v="1"/>
    <x v="0"/>
    <x v="9"/>
    <x v="7"/>
    <x v="4"/>
    <x v="1"/>
    <x v="9"/>
  </r>
  <r>
    <x v="584"/>
    <x v="17"/>
    <x v="0"/>
    <n v="47.8"/>
    <n v="47.8"/>
    <x v="25"/>
    <x v="29"/>
    <x v="2"/>
    <x v="0"/>
    <x v="1"/>
    <x v="0"/>
    <x v="9"/>
    <x v="1"/>
    <x v="4"/>
    <x v="2"/>
    <x v="9"/>
  </r>
  <r>
    <x v="585"/>
    <x v="10"/>
    <x v="2"/>
    <n v="42.8"/>
    <n v="128.39999999999998"/>
    <x v="25"/>
    <x v="28"/>
    <x v="2"/>
    <x v="4"/>
    <x v="1"/>
    <x v="0"/>
    <x v="11"/>
    <x v="2"/>
    <x v="4"/>
    <x v="2"/>
    <x v="11"/>
  </r>
  <r>
    <x v="586"/>
    <x v="6"/>
    <x v="9"/>
    <n v="46.8"/>
    <n v="234"/>
    <x v="25"/>
    <x v="27"/>
    <x v="2"/>
    <x v="1"/>
    <x v="2"/>
    <x v="0"/>
    <x v="11"/>
    <x v="0"/>
    <x v="4"/>
    <x v="2"/>
    <x v="11"/>
  </r>
  <r>
    <x v="587"/>
    <x v="1"/>
    <x v="7"/>
    <n v="64.099999999999994"/>
    <n v="641"/>
    <x v="25"/>
    <x v="22"/>
    <x v="1"/>
    <x v="1"/>
    <x v="0"/>
    <x v="0"/>
    <x v="11"/>
    <x v="3"/>
    <x v="4"/>
    <x v="1"/>
    <x v="11"/>
  </r>
  <r>
    <x v="588"/>
    <x v="2"/>
    <x v="0"/>
    <n v="89.1"/>
    <n v="89.1"/>
    <x v="25"/>
    <x v="22"/>
    <x v="2"/>
    <x v="0"/>
    <x v="1"/>
    <x v="0"/>
    <x v="20"/>
    <x v="3"/>
    <x v="4"/>
    <x v="2"/>
    <x v="20"/>
  </r>
  <r>
    <x v="589"/>
    <x v="2"/>
    <x v="2"/>
    <n v="83.1"/>
    <n v="249.29999999999998"/>
    <x v="25"/>
    <x v="22"/>
    <x v="2"/>
    <x v="2"/>
    <x v="1"/>
    <x v="0"/>
    <x v="13"/>
    <x v="3"/>
    <x v="4"/>
    <x v="2"/>
    <x v="13"/>
  </r>
  <r>
    <x v="590"/>
    <x v="8"/>
    <x v="2"/>
    <n v="40.9"/>
    <n v="122.69999999999999"/>
    <x v="25"/>
    <x v="22"/>
    <x v="1"/>
    <x v="0"/>
    <x v="0"/>
    <x v="0"/>
    <x v="1"/>
    <x v="3"/>
    <x v="4"/>
    <x v="1"/>
    <x v="1"/>
  </r>
  <r>
    <x v="591"/>
    <x v="2"/>
    <x v="1"/>
    <n v="125.7"/>
    <n v="251.4"/>
    <x v="25"/>
    <x v="22"/>
    <x v="2"/>
    <x v="3"/>
    <x v="0"/>
    <x v="0"/>
    <x v="2"/>
    <x v="3"/>
    <x v="4"/>
    <x v="2"/>
    <x v="2"/>
  </r>
  <r>
    <x v="592"/>
    <x v="3"/>
    <x v="1"/>
    <n v="30.9"/>
    <n v="61.8"/>
    <x v="25"/>
    <x v="19"/>
    <x v="2"/>
    <x v="2"/>
    <x v="2"/>
    <x v="0"/>
    <x v="22"/>
    <x v="7"/>
    <x v="4"/>
    <x v="2"/>
    <x v="22"/>
  </r>
  <r>
    <x v="593"/>
    <x v="8"/>
    <x v="1"/>
    <n v="18.3"/>
    <n v="36.6"/>
    <x v="25"/>
    <x v="22"/>
    <x v="2"/>
    <x v="1"/>
    <x v="0"/>
    <x v="0"/>
    <x v="3"/>
    <x v="3"/>
    <x v="4"/>
    <x v="2"/>
    <x v="3"/>
  </r>
  <r>
    <x v="594"/>
    <x v="4"/>
    <x v="1"/>
    <n v="56.5"/>
    <n v="113"/>
    <x v="25"/>
    <x v="26"/>
    <x v="1"/>
    <x v="2"/>
    <x v="2"/>
    <x v="0"/>
    <x v="3"/>
    <x v="5"/>
    <x v="4"/>
    <x v="1"/>
    <x v="3"/>
  </r>
  <r>
    <x v="595"/>
    <x v="10"/>
    <x v="3"/>
    <n v="29.9"/>
    <n v="209.29999999999998"/>
    <x v="25"/>
    <x v="29"/>
    <x v="1"/>
    <x v="4"/>
    <x v="2"/>
    <x v="0"/>
    <x v="3"/>
    <x v="1"/>
    <x v="4"/>
    <x v="1"/>
    <x v="3"/>
  </r>
  <r>
    <x v="596"/>
    <x v="5"/>
    <x v="1"/>
    <n v="50.4"/>
    <n v="100.8"/>
    <x v="25"/>
    <x v="22"/>
    <x v="2"/>
    <x v="2"/>
    <x v="0"/>
    <x v="0"/>
    <x v="3"/>
    <x v="3"/>
    <x v="4"/>
    <x v="2"/>
    <x v="3"/>
  </r>
  <r>
    <x v="597"/>
    <x v="2"/>
    <x v="0"/>
    <n v="85.8"/>
    <n v="85.8"/>
    <x v="25"/>
    <x v="19"/>
    <x v="2"/>
    <x v="2"/>
    <x v="2"/>
    <x v="0"/>
    <x v="3"/>
    <x v="7"/>
    <x v="4"/>
    <x v="2"/>
    <x v="3"/>
  </r>
  <r>
    <x v="598"/>
    <x v="4"/>
    <x v="27"/>
    <n v="66.599999999999994"/>
    <n v="1065.5999999999999"/>
    <x v="25"/>
    <x v="29"/>
    <x v="1"/>
    <x v="1"/>
    <x v="0"/>
    <x v="0"/>
    <x v="3"/>
    <x v="1"/>
    <x v="4"/>
    <x v="1"/>
    <x v="3"/>
  </r>
  <r>
    <x v="599"/>
    <x v="6"/>
    <x v="12"/>
    <n v="70.3"/>
    <n v="281.2"/>
    <x v="25"/>
    <x v="22"/>
    <x v="2"/>
    <x v="0"/>
    <x v="1"/>
    <x v="0"/>
    <x v="3"/>
    <x v="3"/>
    <x v="4"/>
    <x v="2"/>
    <x v="3"/>
  </r>
  <r>
    <x v="600"/>
    <x v="8"/>
    <x v="12"/>
    <n v="31"/>
    <n v="124"/>
    <x v="25"/>
    <x v="28"/>
    <x v="1"/>
    <x v="0"/>
    <x v="2"/>
    <x v="0"/>
    <x v="3"/>
    <x v="2"/>
    <x v="4"/>
    <x v="1"/>
    <x v="3"/>
  </r>
  <r>
    <x v="601"/>
    <x v="7"/>
    <x v="13"/>
    <n v="81.599999999999994"/>
    <n v="489.59999999999997"/>
    <x v="25"/>
    <x v="22"/>
    <x v="2"/>
    <x v="1"/>
    <x v="1"/>
    <x v="0"/>
    <x v="37"/>
    <x v="3"/>
    <x v="4"/>
    <x v="2"/>
    <x v="37"/>
  </r>
  <r>
    <x v="602"/>
    <x v="1"/>
    <x v="30"/>
    <n v="58.3"/>
    <n v="1457.5"/>
    <x v="25"/>
    <x v="22"/>
    <x v="2"/>
    <x v="0"/>
    <x v="0"/>
    <x v="0"/>
    <x v="16"/>
    <x v="3"/>
    <x v="4"/>
    <x v="2"/>
    <x v="16"/>
  </r>
  <r>
    <x v="603"/>
    <x v="1"/>
    <x v="12"/>
    <n v="35.1"/>
    <n v="140.4"/>
    <x v="25"/>
    <x v="29"/>
    <x v="1"/>
    <x v="0"/>
    <x v="2"/>
    <x v="0"/>
    <x v="8"/>
    <x v="1"/>
    <x v="4"/>
    <x v="1"/>
    <x v="8"/>
  </r>
  <r>
    <x v="604"/>
    <x v="2"/>
    <x v="0"/>
    <n v="80.2"/>
    <n v="80.2"/>
    <x v="25"/>
    <x v="22"/>
    <x v="1"/>
    <x v="3"/>
    <x v="2"/>
    <x v="0"/>
    <x v="8"/>
    <x v="3"/>
    <x v="4"/>
    <x v="1"/>
    <x v="8"/>
  </r>
  <r>
    <x v="605"/>
    <x v="14"/>
    <x v="2"/>
    <n v="39.200000000000003"/>
    <n v="117.60000000000001"/>
    <x v="25"/>
    <x v="29"/>
    <x v="2"/>
    <x v="1"/>
    <x v="0"/>
    <x v="0"/>
    <x v="9"/>
    <x v="1"/>
    <x v="4"/>
    <x v="2"/>
    <x v="9"/>
  </r>
  <r>
    <x v="606"/>
    <x v="0"/>
    <x v="1"/>
    <n v="15.4"/>
    <n v="30.8"/>
    <x v="25"/>
    <x v="19"/>
    <x v="2"/>
    <x v="3"/>
    <x v="0"/>
    <x v="0"/>
    <x v="48"/>
    <x v="7"/>
    <x v="4"/>
    <x v="2"/>
    <x v="48"/>
  </r>
  <r>
    <x v="607"/>
    <x v="3"/>
    <x v="2"/>
    <n v="65.400000000000006"/>
    <n v="196.20000000000002"/>
    <x v="25"/>
    <x v="28"/>
    <x v="1"/>
    <x v="3"/>
    <x v="0"/>
    <x v="0"/>
    <x v="18"/>
    <x v="2"/>
    <x v="4"/>
    <x v="1"/>
    <x v="18"/>
  </r>
  <r>
    <x v="608"/>
    <x v="1"/>
    <x v="8"/>
    <n v="63.2"/>
    <n v="505.6"/>
    <x v="25"/>
    <x v="29"/>
    <x v="2"/>
    <x v="1"/>
    <x v="0"/>
    <x v="0"/>
    <x v="19"/>
    <x v="1"/>
    <x v="4"/>
    <x v="2"/>
    <x v="19"/>
  </r>
  <r>
    <x v="609"/>
    <x v="1"/>
    <x v="13"/>
    <n v="35.700000000000003"/>
    <n v="214.20000000000002"/>
    <x v="25"/>
    <x v="26"/>
    <x v="2"/>
    <x v="4"/>
    <x v="1"/>
    <x v="0"/>
    <x v="19"/>
    <x v="5"/>
    <x v="4"/>
    <x v="2"/>
    <x v="19"/>
  </r>
  <r>
    <x v="610"/>
    <x v="0"/>
    <x v="28"/>
    <n v="26.2"/>
    <n v="524"/>
    <x v="25"/>
    <x v="22"/>
    <x v="2"/>
    <x v="3"/>
    <x v="0"/>
    <x v="0"/>
    <x v="21"/>
    <x v="3"/>
    <x v="4"/>
    <x v="2"/>
    <x v="21"/>
  </r>
  <r>
    <x v="611"/>
    <x v="7"/>
    <x v="1"/>
    <n v="31"/>
    <n v="62"/>
    <x v="25"/>
    <x v="22"/>
    <x v="2"/>
    <x v="0"/>
    <x v="2"/>
    <x v="0"/>
    <x v="1"/>
    <x v="3"/>
    <x v="4"/>
    <x v="2"/>
    <x v="1"/>
  </r>
  <r>
    <x v="612"/>
    <x v="8"/>
    <x v="12"/>
    <n v="37.700000000000003"/>
    <n v="150.80000000000001"/>
    <x v="25"/>
    <x v="22"/>
    <x v="2"/>
    <x v="1"/>
    <x v="0"/>
    <x v="0"/>
    <x v="22"/>
    <x v="3"/>
    <x v="4"/>
    <x v="2"/>
    <x v="22"/>
  </r>
  <r>
    <x v="613"/>
    <x v="10"/>
    <x v="33"/>
    <n v="43.6"/>
    <n v="1482.4"/>
    <x v="25"/>
    <x v="29"/>
    <x v="2"/>
    <x v="4"/>
    <x v="1"/>
    <x v="0"/>
    <x v="3"/>
    <x v="1"/>
    <x v="4"/>
    <x v="2"/>
    <x v="3"/>
  </r>
  <r>
    <x v="614"/>
    <x v="9"/>
    <x v="12"/>
    <n v="26.5"/>
    <n v="106"/>
    <x v="25"/>
    <x v="29"/>
    <x v="1"/>
    <x v="0"/>
    <x v="4"/>
    <x v="0"/>
    <x v="3"/>
    <x v="1"/>
    <x v="4"/>
    <x v="1"/>
    <x v="3"/>
  </r>
  <r>
    <x v="615"/>
    <x v="0"/>
    <x v="1"/>
    <n v="34.6"/>
    <n v="69.2"/>
    <x v="25"/>
    <x v="22"/>
    <x v="1"/>
    <x v="4"/>
    <x v="1"/>
    <x v="0"/>
    <x v="3"/>
    <x v="3"/>
    <x v="4"/>
    <x v="1"/>
    <x v="3"/>
  </r>
  <r>
    <x v="616"/>
    <x v="8"/>
    <x v="1"/>
    <n v="58.2"/>
    <n v="116.4"/>
    <x v="25"/>
    <x v="22"/>
    <x v="1"/>
    <x v="2"/>
    <x v="2"/>
    <x v="0"/>
    <x v="3"/>
    <x v="3"/>
    <x v="4"/>
    <x v="1"/>
    <x v="3"/>
  </r>
  <r>
    <x v="617"/>
    <x v="7"/>
    <x v="0"/>
    <n v="30.2"/>
    <n v="30.2"/>
    <x v="26"/>
    <x v="29"/>
    <x v="2"/>
    <x v="2"/>
    <x v="1"/>
    <x v="0"/>
    <x v="3"/>
    <x v="3"/>
    <x v="4"/>
    <x v="2"/>
    <x v="3"/>
  </r>
  <r>
    <x v="618"/>
    <x v="1"/>
    <x v="7"/>
    <n v="53.2"/>
    <n v="532"/>
    <x v="26"/>
    <x v="29"/>
    <x v="1"/>
    <x v="0"/>
    <x v="2"/>
    <x v="0"/>
    <x v="5"/>
    <x v="3"/>
    <x v="4"/>
    <x v="1"/>
    <x v="5"/>
  </r>
  <r>
    <x v="619"/>
    <x v="12"/>
    <x v="13"/>
    <n v="51.1"/>
    <n v="306.60000000000002"/>
    <x v="26"/>
    <x v="22"/>
    <x v="1"/>
    <x v="1"/>
    <x v="2"/>
    <x v="0"/>
    <x v="5"/>
    <x v="7"/>
    <x v="4"/>
    <x v="1"/>
    <x v="5"/>
  </r>
  <r>
    <x v="620"/>
    <x v="1"/>
    <x v="0"/>
    <n v="105.4"/>
    <n v="105.4"/>
    <x v="26"/>
    <x v="27"/>
    <x v="2"/>
    <x v="1"/>
    <x v="2"/>
    <x v="0"/>
    <x v="23"/>
    <x v="5"/>
    <x v="4"/>
    <x v="2"/>
    <x v="23"/>
  </r>
  <r>
    <x v="621"/>
    <x v="7"/>
    <x v="0"/>
    <n v="57.7"/>
    <n v="57.7"/>
    <x v="26"/>
    <x v="22"/>
    <x v="1"/>
    <x v="0"/>
    <x v="4"/>
    <x v="0"/>
    <x v="8"/>
    <x v="7"/>
    <x v="4"/>
    <x v="1"/>
    <x v="8"/>
  </r>
  <r>
    <x v="622"/>
    <x v="15"/>
    <x v="1"/>
    <n v="72.400000000000006"/>
    <n v="144.80000000000001"/>
    <x v="26"/>
    <x v="30"/>
    <x v="2"/>
    <x v="0"/>
    <x v="0"/>
    <x v="0"/>
    <x v="17"/>
    <x v="0"/>
    <x v="4"/>
    <x v="2"/>
    <x v="17"/>
  </r>
  <r>
    <x v="623"/>
    <x v="6"/>
    <x v="1"/>
    <n v="62.5"/>
    <n v="125"/>
    <x v="26"/>
    <x v="29"/>
    <x v="0"/>
    <x v="0"/>
    <x v="2"/>
    <x v="0"/>
    <x v="11"/>
    <x v="3"/>
    <x v="4"/>
    <x v="0"/>
    <x v="11"/>
  </r>
  <r>
    <x v="624"/>
    <x v="0"/>
    <x v="32"/>
    <n v="11.6"/>
    <n v="255.2"/>
    <x v="26"/>
    <x v="28"/>
    <x v="2"/>
    <x v="3"/>
    <x v="2"/>
    <x v="0"/>
    <x v="18"/>
    <x v="1"/>
    <x v="4"/>
    <x v="2"/>
    <x v="18"/>
  </r>
  <r>
    <x v="625"/>
    <x v="10"/>
    <x v="7"/>
    <n v="39.6"/>
    <n v="396"/>
    <x v="26"/>
    <x v="28"/>
    <x v="2"/>
    <x v="2"/>
    <x v="2"/>
    <x v="0"/>
    <x v="18"/>
    <x v="1"/>
    <x v="4"/>
    <x v="2"/>
    <x v="18"/>
  </r>
  <r>
    <x v="626"/>
    <x v="8"/>
    <x v="1"/>
    <n v="40.1"/>
    <n v="80.2"/>
    <x v="26"/>
    <x v="29"/>
    <x v="2"/>
    <x v="2"/>
    <x v="0"/>
    <x v="0"/>
    <x v="18"/>
    <x v="3"/>
    <x v="4"/>
    <x v="2"/>
    <x v="18"/>
  </r>
  <r>
    <x v="627"/>
    <x v="8"/>
    <x v="2"/>
    <n v="18.600000000000001"/>
    <n v="55.800000000000004"/>
    <x v="26"/>
    <x v="29"/>
    <x v="2"/>
    <x v="2"/>
    <x v="0"/>
    <x v="0"/>
    <x v="21"/>
    <x v="3"/>
    <x v="4"/>
    <x v="2"/>
    <x v="21"/>
  </r>
  <r>
    <x v="628"/>
    <x v="4"/>
    <x v="0"/>
    <n v="58.8"/>
    <n v="58.8"/>
    <x v="26"/>
    <x v="28"/>
    <x v="2"/>
    <x v="0"/>
    <x v="1"/>
    <x v="0"/>
    <x v="21"/>
    <x v="1"/>
    <x v="4"/>
    <x v="2"/>
    <x v="21"/>
  </r>
  <r>
    <x v="629"/>
    <x v="8"/>
    <x v="1"/>
    <n v="22.1"/>
    <n v="44.2"/>
    <x v="26"/>
    <x v="26"/>
    <x v="1"/>
    <x v="1"/>
    <x v="2"/>
    <x v="0"/>
    <x v="21"/>
    <x v="2"/>
    <x v="4"/>
    <x v="1"/>
    <x v="21"/>
  </r>
  <r>
    <x v="630"/>
    <x v="2"/>
    <x v="0"/>
    <n v="114.9"/>
    <n v="114.9"/>
    <x v="27"/>
    <x v="28"/>
    <x v="2"/>
    <x v="1"/>
    <x v="1"/>
    <x v="0"/>
    <x v="22"/>
    <x v="3"/>
    <x v="4"/>
    <x v="2"/>
    <x v="22"/>
  </r>
  <r>
    <x v="631"/>
    <x v="9"/>
    <x v="9"/>
    <n v="75.8"/>
    <n v="379"/>
    <x v="27"/>
    <x v="28"/>
    <x v="1"/>
    <x v="0"/>
    <x v="2"/>
    <x v="0"/>
    <x v="3"/>
    <x v="3"/>
    <x v="4"/>
    <x v="1"/>
    <x v="3"/>
  </r>
  <r>
    <x v="632"/>
    <x v="14"/>
    <x v="9"/>
    <n v="20.6"/>
    <n v="103"/>
    <x v="27"/>
    <x v="28"/>
    <x v="1"/>
    <x v="2"/>
    <x v="2"/>
    <x v="0"/>
    <x v="3"/>
    <x v="3"/>
    <x v="4"/>
    <x v="1"/>
    <x v="3"/>
  </r>
  <r>
    <x v="633"/>
    <x v="17"/>
    <x v="2"/>
    <n v="67.900000000000006"/>
    <n v="203.70000000000002"/>
    <x v="27"/>
    <x v="28"/>
    <x v="2"/>
    <x v="1"/>
    <x v="1"/>
    <x v="0"/>
    <x v="3"/>
    <x v="3"/>
    <x v="4"/>
    <x v="2"/>
    <x v="3"/>
  </r>
  <r>
    <x v="634"/>
    <x v="0"/>
    <x v="9"/>
    <n v="27"/>
    <n v="135"/>
    <x v="27"/>
    <x v="32"/>
    <x v="2"/>
    <x v="0"/>
    <x v="2"/>
    <x v="0"/>
    <x v="3"/>
    <x v="6"/>
    <x v="4"/>
    <x v="2"/>
    <x v="3"/>
  </r>
  <r>
    <x v="635"/>
    <x v="13"/>
    <x v="0"/>
    <n v="50.6"/>
    <n v="50.6"/>
    <x v="27"/>
    <x v="29"/>
    <x v="1"/>
    <x v="0"/>
    <x v="1"/>
    <x v="0"/>
    <x v="3"/>
    <x v="7"/>
    <x v="4"/>
    <x v="1"/>
    <x v="3"/>
  </r>
  <r>
    <x v="636"/>
    <x v="4"/>
    <x v="9"/>
    <n v="22.1"/>
    <n v="110.5"/>
    <x v="27"/>
    <x v="33"/>
    <x v="1"/>
    <x v="0"/>
    <x v="0"/>
    <x v="0"/>
    <x v="3"/>
    <x v="0"/>
    <x v="4"/>
    <x v="1"/>
    <x v="3"/>
  </r>
  <r>
    <x v="637"/>
    <x v="8"/>
    <x v="2"/>
    <n v="42.9"/>
    <n v="128.69999999999999"/>
    <x v="27"/>
    <x v="26"/>
    <x v="2"/>
    <x v="0"/>
    <x v="0"/>
    <x v="0"/>
    <x v="3"/>
    <x v="1"/>
    <x v="4"/>
    <x v="2"/>
    <x v="3"/>
  </r>
  <r>
    <x v="638"/>
    <x v="1"/>
    <x v="5"/>
    <n v="62.4"/>
    <n v="686.4"/>
    <x v="27"/>
    <x v="26"/>
    <x v="2"/>
    <x v="2"/>
    <x v="0"/>
    <x v="0"/>
    <x v="3"/>
    <x v="1"/>
    <x v="4"/>
    <x v="2"/>
    <x v="3"/>
  </r>
  <r>
    <x v="639"/>
    <x v="13"/>
    <x v="11"/>
    <n v="36.4"/>
    <n v="327.59999999999997"/>
    <x v="27"/>
    <x v="26"/>
    <x v="2"/>
    <x v="0"/>
    <x v="2"/>
    <x v="0"/>
    <x v="3"/>
    <x v="1"/>
    <x v="4"/>
    <x v="2"/>
    <x v="3"/>
  </r>
  <r>
    <x v="640"/>
    <x v="0"/>
    <x v="1"/>
    <n v="22.5"/>
    <n v="45"/>
    <x v="27"/>
    <x v="27"/>
    <x v="1"/>
    <x v="0"/>
    <x v="0"/>
    <x v="0"/>
    <x v="3"/>
    <x v="2"/>
    <x v="4"/>
    <x v="1"/>
    <x v="3"/>
  </r>
  <r>
    <x v="641"/>
    <x v="6"/>
    <x v="12"/>
    <n v="70.8"/>
    <n v="283.2"/>
    <x v="27"/>
    <x v="26"/>
    <x v="2"/>
    <x v="4"/>
    <x v="0"/>
    <x v="0"/>
    <x v="3"/>
    <x v="1"/>
    <x v="4"/>
    <x v="2"/>
    <x v="3"/>
  </r>
  <r>
    <x v="642"/>
    <x v="6"/>
    <x v="9"/>
    <n v="56.6"/>
    <n v="283"/>
    <x v="27"/>
    <x v="26"/>
    <x v="1"/>
    <x v="0"/>
    <x v="1"/>
    <x v="0"/>
    <x v="4"/>
    <x v="1"/>
    <x v="4"/>
    <x v="1"/>
    <x v="4"/>
  </r>
  <r>
    <x v="643"/>
    <x v="6"/>
    <x v="1"/>
    <n v="47.9"/>
    <n v="95.8"/>
    <x v="27"/>
    <x v="28"/>
    <x v="2"/>
    <x v="0"/>
    <x v="0"/>
    <x v="0"/>
    <x v="6"/>
    <x v="3"/>
    <x v="4"/>
    <x v="2"/>
    <x v="6"/>
  </r>
  <r>
    <x v="644"/>
    <x v="6"/>
    <x v="8"/>
    <n v="78.400000000000006"/>
    <n v="627.20000000000005"/>
    <x v="27"/>
    <x v="26"/>
    <x v="2"/>
    <x v="1"/>
    <x v="0"/>
    <x v="0"/>
    <x v="6"/>
    <x v="1"/>
    <x v="4"/>
    <x v="2"/>
    <x v="6"/>
  </r>
  <r>
    <x v="645"/>
    <x v="2"/>
    <x v="21"/>
    <n v="122.1"/>
    <n v="1709.3999999999999"/>
    <x v="27"/>
    <x v="33"/>
    <x v="2"/>
    <x v="0"/>
    <x v="2"/>
    <x v="0"/>
    <x v="6"/>
    <x v="0"/>
    <x v="4"/>
    <x v="2"/>
    <x v="6"/>
  </r>
  <r>
    <x v="646"/>
    <x v="2"/>
    <x v="1"/>
    <n v="83.7"/>
    <n v="167.4"/>
    <x v="28"/>
    <x v="28"/>
    <x v="0"/>
    <x v="1"/>
    <x v="2"/>
    <x v="0"/>
    <x v="7"/>
    <x v="7"/>
    <x v="4"/>
    <x v="0"/>
    <x v="7"/>
  </r>
  <r>
    <x v="647"/>
    <x v="3"/>
    <x v="12"/>
    <n v="97.9"/>
    <n v="391.6"/>
    <x v="28"/>
    <x v="33"/>
    <x v="2"/>
    <x v="3"/>
    <x v="2"/>
    <x v="0"/>
    <x v="7"/>
    <x v="5"/>
    <x v="4"/>
    <x v="2"/>
    <x v="7"/>
  </r>
  <r>
    <x v="648"/>
    <x v="14"/>
    <x v="0"/>
    <n v="15"/>
    <n v="15"/>
    <x v="28"/>
    <x v="34"/>
    <x v="2"/>
    <x v="3"/>
    <x v="0"/>
    <x v="0"/>
    <x v="8"/>
    <x v="0"/>
    <x v="4"/>
    <x v="2"/>
    <x v="8"/>
  </r>
  <r>
    <x v="649"/>
    <x v="12"/>
    <x v="2"/>
    <n v="94.6"/>
    <n v="283.79999999999995"/>
    <x v="28"/>
    <x v="26"/>
    <x v="1"/>
    <x v="2"/>
    <x v="1"/>
    <x v="0"/>
    <x v="8"/>
    <x v="3"/>
    <x v="4"/>
    <x v="1"/>
    <x v="8"/>
  </r>
  <r>
    <x v="650"/>
    <x v="0"/>
    <x v="13"/>
    <n v="19.7"/>
    <n v="118.19999999999999"/>
    <x v="28"/>
    <x v="35"/>
    <x v="2"/>
    <x v="0"/>
    <x v="2"/>
    <x v="0"/>
    <x v="8"/>
    <x v="11"/>
    <x v="4"/>
    <x v="2"/>
    <x v="8"/>
  </r>
  <r>
    <x v="651"/>
    <x v="7"/>
    <x v="0"/>
    <n v="46.7"/>
    <n v="46.7"/>
    <x v="28"/>
    <x v="30"/>
    <x v="2"/>
    <x v="2"/>
    <x v="0"/>
    <x v="0"/>
    <x v="17"/>
    <x v="2"/>
    <x v="4"/>
    <x v="2"/>
    <x v="17"/>
  </r>
  <r>
    <x v="652"/>
    <x v="1"/>
    <x v="12"/>
    <n v="43"/>
    <n v="172"/>
    <x v="28"/>
    <x v="26"/>
    <x v="1"/>
    <x v="2"/>
    <x v="2"/>
    <x v="0"/>
    <x v="17"/>
    <x v="3"/>
    <x v="4"/>
    <x v="1"/>
    <x v="17"/>
  </r>
  <r>
    <x v="653"/>
    <x v="6"/>
    <x v="2"/>
    <n v="68.2"/>
    <n v="204.60000000000002"/>
    <x v="28"/>
    <x v="32"/>
    <x v="2"/>
    <x v="0"/>
    <x v="0"/>
    <x v="0"/>
    <x v="9"/>
    <x v="4"/>
    <x v="4"/>
    <x v="2"/>
    <x v="9"/>
  </r>
  <r>
    <x v="654"/>
    <x v="10"/>
    <x v="7"/>
    <n v="24.3"/>
    <n v="243"/>
    <x v="28"/>
    <x v="26"/>
    <x v="1"/>
    <x v="0"/>
    <x v="2"/>
    <x v="0"/>
    <x v="10"/>
    <x v="3"/>
    <x v="4"/>
    <x v="1"/>
    <x v="10"/>
  </r>
  <r>
    <x v="655"/>
    <x v="7"/>
    <x v="1"/>
    <n v="86.8"/>
    <n v="173.6"/>
    <x v="28"/>
    <x v="33"/>
    <x v="2"/>
    <x v="4"/>
    <x v="2"/>
    <x v="0"/>
    <x v="11"/>
    <x v="5"/>
    <x v="4"/>
    <x v="2"/>
    <x v="11"/>
  </r>
  <r>
    <x v="656"/>
    <x v="0"/>
    <x v="1"/>
    <n v="15.8"/>
    <n v="31.6"/>
    <x v="28"/>
    <x v="27"/>
    <x v="1"/>
    <x v="1"/>
    <x v="0"/>
    <x v="0"/>
    <x v="11"/>
    <x v="1"/>
    <x v="4"/>
    <x v="1"/>
    <x v="11"/>
  </r>
  <r>
    <x v="657"/>
    <x v="2"/>
    <x v="12"/>
    <n v="61.6"/>
    <n v="246.4"/>
    <x v="28"/>
    <x v="26"/>
    <x v="1"/>
    <x v="2"/>
    <x v="0"/>
    <x v="0"/>
    <x v="11"/>
    <x v="3"/>
    <x v="4"/>
    <x v="1"/>
    <x v="11"/>
  </r>
  <r>
    <x v="658"/>
    <x v="6"/>
    <x v="2"/>
    <n v="48.7"/>
    <n v="146.10000000000002"/>
    <x v="28"/>
    <x v="32"/>
    <x v="2"/>
    <x v="1"/>
    <x v="2"/>
    <x v="0"/>
    <x v="45"/>
    <x v="4"/>
    <x v="4"/>
    <x v="2"/>
    <x v="45"/>
  </r>
  <r>
    <x v="659"/>
    <x v="8"/>
    <x v="12"/>
    <n v="24.3"/>
    <n v="97.2"/>
    <x v="28"/>
    <x v="27"/>
    <x v="2"/>
    <x v="1"/>
    <x v="2"/>
    <x v="0"/>
    <x v="21"/>
    <x v="1"/>
    <x v="4"/>
    <x v="2"/>
    <x v="21"/>
  </r>
  <r>
    <x v="660"/>
    <x v="2"/>
    <x v="1"/>
    <n v="130.69999999999999"/>
    <n v="261.39999999999998"/>
    <x v="28"/>
    <x v="26"/>
    <x v="2"/>
    <x v="2"/>
    <x v="0"/>
    <x v="0"/>
    <x v="44"/>
    <x v="3"/>
    <x v="4"/>
    <x v="2"/>
    <x v="44"/>
  </r>
  <r>
    <x v="661"/>
    <x v="10"/>
    <x v="0"/>
    <n v="26"/>
    <n v="26"/>
    <x v="28"/>
    <x v="27"/>
    <x v="1"/>
    <x v="0"/>
    <x v="0"/>
    <x v="0"/>
    <x v="3"/>
    <x v="1"/>
    <x v="4"/>
    <x v="1"/>
    <x v="3"/>
  </r>
  <r>
    <x v="662"/>
    <x v="2"/>
    <x v="9"/>
    <n v="94.4"/>
    <n v="472"/>
    <x v="28"/>
    <x v="26"/>
    <x v="2"/>
    <x v="0"/>
    <x v="0"/>
    <x v="0"/>
    <x v="3"/>
    <x v="3"/>
    <x v="4"/>
    <x v="2"/>
    <x v="3"/>
  </r>
  <r>
    <x v="663"/>
    <x v="0"/>
    <x v="13"/>
    <n v="23.7"/>
    <n v="142.19999999999999"/>
    <x v="28"/>
    <x v="27"/>
    <x v="1"/>
    <x v="2"/>
    <x v="2"/>
    <x v="0"/>
    <x v="3"/>
    <x v="1"/>
    <x v="4"/>
    <x v="1"/>
    <x v="3"/>
  </r>
  <r>
    <x v="664"/>
    <x v="9"/>
    <x v="4"/>
    <n v="37.4"/>
    <n v="448.79999999999995"/>
    <x v="28"/>
    <x v="27"/>
    <x v="1"/>
    <x v="2"/>
    <x v="0"/>
    <x v="0"/>
    <x v="3"/>
    <x v="1"/>
    <x v="4"/>
    <x v="1"/>
    <x v="3"/>
  </r>
  <r>
    <x v="665"/>
    <x v="1"/>
    <x v="34"/>
    <n v="55.2"/>
    <n v="1987.2"/>
    <x v="28"/>
    <x v="28"/>
    <x v="2"/>
    <x v="3"/>
    <x v="1"/>
    <x v="0"/>
    <x v="3"/>
    <x v="7"/>
    <x v="4"/>
    <x v="2"/>
    <x v="3"/>
  </r>
  <r>
    <x v="666"/>
    <x v="2"/>
    <x v="11"/>
    <n v="57.1"/>
    <n v="513.9"/>
    <x v="28"/>
    <x v="27"/>
    <x v="1"/>
    <x v="0"/>
    <x v="2"/>
    <x v="0"/>
    <x v="3"/>
    <x v="1"/>
    <x v="4"/>
    <x v="1"/>
    <x v="3"/>
  </r>
  <r>
    <x v="667"/>
    <x v="12"/>
    <x v="0"/>
    <n v="55.3"/>
    <n v="55.3"/>
    <x v="28"/>
    <x v="26"/>
    <x v="2"/>
    <x v="2"/>
    <x v="2"/>
    <x v="0"/>
    <x v="3"/>
    <x v="3"/>
    <x v="4"/>
    <x v="2"/>
    <x v="3"/>
  </r>
  <r>
    <x v="668"/>
    <x v="15"/>
    <x v="3"/>
    <n v="23.9"/>
    <n v="167.29999999999998"/>
    <x v="28"/>
    <x v="26"/>
    <x v="2"/>
    <x v="4"/>
    <x v="1"/>
    <x v="0"/>
    <x v="3"/>
    <x v="3"/>
    <x v="4"/>
    <x v="2"/>
    <x v="3"/>
  </r>
  <r>
    <x v="669"/>
    <x v="0"/>
    <x v="0"/>
    <n v="34.1"/>
    <n v="34.1"/>
    <x v="28"/>
    <x v="36"/>
    <x v="2"/>
    <x v="2"/>
    <x v="0"/>
    <x v="0"/>
    <x v="3"/>
    <x v="6"/>
    <x v="4"/>
    <x v="2"/>
    <x v="3"/>
  </r>
  <r>
    <x v="670"/>
    <x v="12"/>
    <x v="12"/>
    <n v="38.5"/>
    <n v="154"/>
    <x v="28"/>
    <x v="35"/>
    <x v="2"/>
    <x v="0"/>
    <x v="0"/>
    <x v="0"/>
    <x v="3"/>
    <x v="11"/>
    <x v="4"/>
    <x v="2"/>
    <x v="3"/>
  </r>
  <r>
    <x v="671"/>
    <x v="7"/>
    <x v="1"/>
    <n v="105"/>
    <n v="210"/>
    <x v="28"/>
    <x v="32"/>
    <x v="2"/>
    <x v="0"/>
    <x v="2"/>
    <x v="0"/>
    <x v="3"/>
    <x v="4"/>
    <x v="4"/>
    <x v="2"/>
    <x v="3"/>
  </r>
  <r>
    <x v="672"/>
    <x v="8"/>
    <x v="9"/>
    <n v="45.2"/>
    <n v="226"/>
    <x v="28"/>
    <x v="27"/>
    <x v="2"/>
    <x v="0"/>
    <x v="2"/>
    <x v="0"/>
    <x v="3"/>
    <x v="1"/>
    <x v="4"/>
    <x v="2"/>
    <x v="3"/>
  </r>
  <r>
    <x v="673"/>
    <x v="17"/>
    <x v="2"/>
    <n v="24.8"/>
    <n v="74.400000000000006"/>
    <x v="28"/>
    <x v="28"/>
    <x v="0"/>
    <x v="0"/>
    <x v="1"/>
    <x v="0"/>
    <x v="3"/>
    <x v="7"/>
    <x v="4"/>
    <x v="0"/>
    <x v="3"/>
  </r>
  <r>
    <x v="674"/>
    <x v="11"/>
    <x v="12"/>
    <n v="43.8"/>
    <n v="175.2"/>
    <x v="28"/>
    <x v="36"/>
    <x v="2"/>
    <x v="1"/>
    <x v="2"/>
    <x v="0"/>
    <x v="6"/>
    <x v="6"/>
    <x v="4"/>
    <x v="2"/>
    <x v="6"/>
  </r>
  <r>
    <x v="675"/>
    <x v="1"/>
    <x v="0"/>
    <n v="75"/>
    <n v="75"/>
    <x v="28"/>
    <x v="27"/>
    <x v="2"/>
    <x v="4"/>
    <x v="1"/>
    <x v="0"/>
    <x v="6"/>
    <x v="1"/>
    <x v="4"/>
    <x v="2"/>
    <x v="6"/>
  </r>
  <r>
    <x v="676"/>
    <x v="2"/>
    <x v="0"/>
    <n v="169.9"/>
    <n v="169.9"/>
    <x v="28"/>
    <x v="26"/>
    <x v="1"/>
    <x v="2"/>
    <x v="0"/>
    <x v="0"/>
    <x v="6"/>
    <x v="3"/>
    <x v="4"/>
    <x v="1"/>
    <x v="6"/>
  </r>
  <r>
    <x v="677"/>
    <x v="9"/>
    <x v="1"/>
    <n v="72.2"/>
    <n v="144.4"/>
    <x v="28"/>
    <x v="27"/>
    <x v="2"/>
    <x v="4"/>
    <x v="1"/>
    <x v="0"/>
    <x v="6"/>
    <x v="1"/>
    <x v="4"/>
    <x v="2"/>
    <x v="6"/>
  </r>
  <r>
    <x v="678"/>
    <x v="0"/>
    <x v="0"/>
    <n v="20"/>
    <n v="20"/>
    <x v="29"/>
    <x v="33"/>
    <x v="2"/>
    <x v="2"/>
    <x v="1"/>
    <x v="0"/>
    <x v="7"/>
    <x v="2"/>
    <x v="4"/>
    <x v="2"/>
    <x v="7"/>
  </r>
  <r>
    <x v="679"/>
    <x v="9"/>
    <x v="1"/>
    <n v="40.799999999999997"/>
    <n v="81.599999999999994"/>
    <x v="29"/>
    <x v="30"/>
    <x v="2"/>
    <x v="3"/>
    <x v="2"/>
    <x v="0"/>
    <x v="8"/>
    <x v="1"/>
    <x v="4"/>
    <x v="2"/>
    <x v="8"/>
  </r>
  <r>
    <x v="680"/>
    <x v="10"/>
    <x v="12"/>
    <n v="58"/>
    <n v="232"/>
    <x v="29"/>
    <x v="34"/>
    <x v="2"/>
    <x v="0"/>
    <x v="0"/>
    <x v="0"/>
    <x v="8"/>
    <x v="5"/>
    <x v="4"/>
    <x v="2"/>
    <x v="8"/>
  </r>
  <r>
    <x v="681"/>
    <x v="12"/>
    <x v="1"/>
    <n v="43.1"/>
    <n v="86.2"/>
    <x v="29"/>
    <x v="27"/>
    <x v="2"/>
    <x v="1"/>
    <x v="2"/>
    <x v="0"/>
    <x v="8"/>
    <x v="3"/>
    <x v="4"/>
    <x v="2"/>
    <x v="8"/>
  </r>
  <r>
    <x v="682"/>
    <x v="6"/>
    <x v="11"/>
    <n v="74.7"/>
    <n v="672.30000000000007"/>
    <x v="29"/>
    <x v="30"/>
    <x v="1"/>
    <x v="0"/>
    <x v="2"/>
    <x v="0"/>
    <x v="8"/>
    <x v="1"/>
    <x v="4"/>
    <x v="1"/>
    <x v="8"/>
  </r>
  <r>
    <x v="683"/>
    <x v="6"/>
    <x v="0"/>
    <n v="128.19999999999999"/>
    <n v="128.19999999999999"/>
    <x v="29"/>
    <x v="26"/>
    <x v="1"/>
    <x v="1"/>
    <x v="0"/>
    <x v="0"/>
    <x v="8"/>
    <x v="7"/>
    <x v="4"/>
    <x v="1"/>
    <x v="8"/>
  </r>
  <r>
    <x v="684"/>
    <x v="14"/>
    <x v="12"/>
    <n v="26.7"/>
    <n v="106.8"/>
    <x v="29"/>
    <x v="27"/>
    <x v="1"/>
    <x v="1"/>
    <x v="0"/>
    <x v="0"/>
    <x v="8"/>
    <x v="3"/>
    <x v="4"/>
    <x v="1"/>
    <x v="8"/>
  </r>
  <r>
    <x v="685"/>
    <x v="17"/>
    <x v="13"/>
    <n v="31.5"/>
    <n v="189"/>
    <x v="29"/>
    <x v="27"/>
    <x v="2"/>
    <x v="2"/>
    <x v="0"/>
    <x v="0"/>
    <x v="17"/>
    <x v="3"/>
    <x v="4"/>
    <x v="2"/>
    <x v="17"/>
  </r>
  <r>
    <x v="686"/>
    <x v="3"/>
    <x v="3"/>
    <n v="64.7"/>
    <n v="452.90000000000003"/>
    <x v="29"/>
    <x v="27"/>
    <x v="2"/>
    <x v="0"/>
    <x v="2"/>
    <x v="0"/>
    <x v="9"/>
    <x v="3"/>
    <x v="4"/>
    <x v="2"/>
    <x v="9"/>
  </r>
  <r>
    <x v="687"/>
    <x v="5"/>
    <x v="1"/>
    <n v="55.6"/>
    <n v="111.2"/>
    <x v="29"/>
    <x v="33"/>
    <x v="2"/>
    <x v="3"/>
    <x v="0"/>
    <x v="0"/>
    <x v="11"/>
    <x v="2"/>
    <x v="4"/>
    <x v="2"/>
    <x v="11"/>
  </r>
  <r>
    <x v="688"/>
    <x v="3"/>
    <x v="1"/>
    <n v="36.200000000000003"/>
    <n v="72.400000000000006"/>
    <x v="29"/>
    <x v="27"/>
    <x v="2"/>
    <x v="3"/>
    <x v="0"/>
    <x v="0"/>
    <x v="11"/>
    <x v="3"/>
    <x v="4"/>
    <x v="2"/>
    <x v="11"/>
  </r>
  <r>
    <x v="689"/>
    <x v="0"/>
    <x v="0"/>
    <n v="26.6"/>
    <n v="26.6"/>
    <x v="29"/>
    <x v="27"/>
    <x v="0"/>
    <x v="1"/>
    <x v="1"/>
    <x v="0"/>
    <x v="19"/>
    <x v="3"/>
    <x v="4"/>
    <x v="0"/>
    <x v="19"/>
  </r>
  <r>
    <x v="690"/>
    <x v="10"/>
    <x v="12"/>
    <n v="31.5"/>
    <n v="126"/>
    <x v="29"/>
    <x v="30"/>
    <x v="1"/>
    <x v="0"/>
    <x v="0"/>
    <x v="0"/>
    <x v="31"/>
    <x v="1"/>
    <x v="4"/>
    <x v="1"/>
    <x v="31"/>
  </r>
  <r>
    <x v="691"/>
    <x v="10"/>
    <x v="0"/>
    <n v="27"/>
    <n v="27"/>
    <x v="29"/>
    <x v="30"/>
    <x v="2"/>
    <x v="1"/>
    <x v="2"/>
    <x v="0"/>
    <x v="13"/>
    <x v="1"/>
    <x v="4"/>
    <x v="2"/>
    <x v="13"/>
  </r>
  <r>
    <x v="692"/>
    <x v="4"/>
    <x v="0"/>
    <n v="32"/>
    <n v="32"/>
    <x v="29"/>
    <x v="33"/>
    <x v="1"/>
    <x v="3"/>
    <x v="0"/>
    <x v="0"/>
    <x v="21"/>
    <x v="2"/>
    <x v="4"/>
    <x v="1"/>
    <x v="21"/>
  </r>
  <r>
    <x v="693"/>
    <x v="1"/>
    <x v="2"/>
    <n v="48.1"/>
    <n v="144.30000000000001"/>
    <x v="29"/>
    <x v="30"/>
    <x v="1"/>
    <x v="2"/>
    <x v="1"/>
    <x v="0"/>
    <x v="1"/>
    <x v="1"/>
    <x v="4"/>
    <x v="1"/>
    <x v="1"/>
  </r>
  <r>
    <x v="694"/>
    <x v="9"/>
    <x v="1"/>
    <n v="43.4"/>
    <n v="86.8"/>
    <x v="29"/>
    <x v="27"/>
    <x v="1"/>
    <x v="1"/>
    <x v="1"/>
    <x v="0"/>
    <x v="22"/>
    <x v="3"/>
    <x v="4"/>
    <x v="1"/>
    <x v="22"/>
  </r>
  <r>
    <x v="695"/>
    <x v="6"/>
    <x v="1"/>
    <n v="42.6"/>
    <n v="85.2"/>
    <x v="29"/>
    <x v="33"/>
    <x v="2"/>
    <x v="3"/>
    <x v="0"/>
    <x v="0"/>
    <x v="22"/>
    <x v="2"/>
    <x v="4"/>
    <x v="2"/>
    <x v="22"/>
  </r>
  <r>
    <x v="696"/>
    <x v="8"/>
    <x v="1"/>
    <n v="15.9"/>
    <n v="31.8"/>
    <x v="29"/>
    <x v="27"/>
    <x v="2"/>
    <x v="0"/>
    <x v="0"/>
    <x v="0"/>
    <x v="34"/>
    <x v="3"/>
    <x v="4"/>
    <x v="2"/>
    <x v="34"/>
  </r>
  <r>
    <x v="697"/>
    <x v="9"/>
    <x v="1"/>
    <n v="63.2"/>
    <n v="126.4"/>
    <x v="29"/>
    <x v="27"/>
    <x v="1"/>
    <x v="1"/>
    <x v="0"/>
    <x v="0"/>
    <x v="3"/>
    <x v="3"/>
    <x v="4"/>
    <x v="1"/>
    <x v="3"/>
  </r>
  <r>
    <x v="698"/>
    <x v="7"/>
    <x v="12"/>
    <n v="64.8"/>
    <n v="259.2"/>
    <x v="29"/>
    <x v="30"/>
    <x v="0"/>
    <x v="4"/>
    <x v="1"/>
    <x v="0"/>
    <x v="3"/>
    <x v="1"/>
    <x v="4"/>
    <x v="0"/>
    <x v="3"/>
  </r>
  <r>
    <x v="699"/>
    <x v="7"/>
    <x v="2"/>
    <n v="79.8"/>
    <n v="239.39999999999998"/>
    <x v="29"/>
    <x v="27"/>
    <x v="1"/>
    <x v="0"/>
    <x v="0"/>
    <x v="0"/>
    <x v="3"/>
    <x v="3"/>
    <x v="4"/>
    <x v="1"/>
    <x v="3"/>
  </r>
  <r>
    <x v="700"/>
    <x v="9"/>
    <x v="0"/>
    <n v="54.4"/>
    <n v="54.4"/>
    <x v="29"/>
    <x v="30"/>
    <x v="2"/>
    <x v="4"/>
    <x v="2"/>
    <x v="0"/>
    <x v="3"/>
    <x v="1"/>
    <x v="4"/>
    <x v="2"/>
    <x v="3"/>
  </r>
  <r>
    <x v="701"/>
    <x v="6"/>
    <x v="0"/>
    <n v="87.3"/>
    <n v="87.3"/>
    <x v="29"/>
    <x v="27"/>
    <x v="1"/>
    <x v="1"/>
    <x v="0"/>
    <x v="0"/>
    <x v="3"/>
    <x v="3"/>
    <x v="4"/>
    <x v="1"/>
    <x v="3"/>
  </r>
  <r>
    <x v="702"/>
    <x v="8"/>
    <x v="12"/>
    <n v="32.4"/>
    <n v="129.6"/>
    <x v="29"/>
    <x v="26"/>
    <x v="1"/>
    <x v="1"/>
    <x v="0"/>
    <x v="0"/>
    <x v="3"/>
    <x v="7"/>
    <x v="4"/>
    <x v="1"/>
    <x v="3"/>
  </r>
  <r>
    <x v="703"/>
    <x v="2"/>
    <x v="0"/>
    <n v="177.4"/>
    <n v="177.4"/>
    <x v="29"/>
    <x v="34"/>
    <x v="1"/>
    <x v="0"/>
    <x v="2"/>
    <x v="0"/>
    <x v="3"/>
    <x v="5"/>
    <x v="4"/>
    <x v="1"/>
    <x v="3"/>
  </r>
  <r>
    <x v="704"/>
    <x v="7"/>
    <x v="1"/>
    <n v="70.099999999999994"/>
    <n v="140.19999999999999"/>
    <x v="29"/>
    <x v="27"/>
    <x v="1"/>
    <x v="3"/>
    <x v="1"/>
    <x v="0"/>
    <x v="3"/>
    <x v="3"/>
    <x v="4"/>
    <x v="1"/>
    <x v="3"/>
  </r>
  <r>
    <x v="705"/>
    <x v="9"/>
    <x v="13"/>
    <n v="51.1"/>
    <n v="306.60000000000002"/>
    <x v="29"/>
    <x v="27"/>
    <x v="2"/>
    <x v="0"/>
    <x v="0"/>
    <x v="0"/>
    <x v="3"/>
    <x v="3"/>
    <x v="4"/>
    <x v="2"/>
    <x v="3"/>
  </r>
  <r>
    <x v="706"/>
    <x v="2"/>
    <x v="9"/>
    <n v="79.900000000000006"/>
    <n v="399.5"/>
    <x v="29"/>
    <x v="30"/>
    <x v="1"/>
    <x v="3"/>
    <x v="2"/>
    <x v="0"/>
    <x v="24"/>
    <x v="1"/>
    <x v="4"/>
    <x v="1"/>
    <x v="24"/>
  </r>
  <r>
    <x v="707"/>
    <x v="6"/>
    <x v="0"/>
    <n v="57.6"/>
    <n v="57.6"/>
    <x v="30"/>
    <x v="36"/>
    <x v="1"/>
    <x v="0"/>
    <x v="2"/>
    <x v="0"/>
    <x v="49"/>
    <x v="0"/>
    <x v="4"/>
    <x v="1"/>
    <x v="49"/>
  </r>
  <r>
    <x v="708"/>
    <x v="8"/>
    <x v="7"/>
    <n v="59.7"/>
    <n v="597"/>
    <x v="30"/>
    <x v="32"/>
    <x v="1"/>
    <x v="2"/>
    <x v="0"/>
    <x v="0"/>
    <x v="25"/>
    <x v="5"/>
    <x v="4"/>
    <x v="1"/>
    <x v="25"/>
  </r>
  <r>
    <x v="709"/>
    <x v="8"/>
    <x v="9"/>
    <n v="30"/>
    <n v="150"/>
    <x v="30"/>
    <x v="33"/>
    <x v="1"/>
    <x v="1"/>
    <x v="0"/>
    <x v="0"/>
    <x v="6"/>
    <x v="1"/>
    <x v="4"/>
    <x v="1"/>
    <x v="6"/>
  </r>
  <r>
    <x v="710"/>
    <x v="10"/>
    <x v="1"/>
    <n v="69.2"/>
    <n v="138.4"/>
    <x v="30"/>
    <x v="33"/>
    <x v="0"/>
    <x v="2"/>
    <x v="1"/>
    <x v="0"/>
    <x v="6"/>
    <x v="1"/>
    <x v="4"/>
    <x v="0"/>
    <x v="6"/>
  </r>
  <r>
    <x v="711"/>
    <x v="0"/>
    <x v="8"/>
    <n v="10.9"/>
    <n v="87.2"/>
    <x v="30"/>
    <x v="30"/>
    <x v="2"/>
    <x v="0"/>
    <x v="2"/>
    <x v="0"/>
    <x v="6"/>
    <x v="3"/>
    <x v="4"/>
    <x v="2"/>
    <x v="6"/>
  </r>
  <r>
    <x v="712"/>
    <x v="16"/>
    <x v="1"/>
    <n v="48.6"/>
    <n v="97.2"/>
    <x v="30"/>
    <x v="32"/>
    <x v="1"/>
    <x v="1"/>
    <x v="2"/>
    <x v="0"/>
    <x v="6"/>
    <x v="5"/>
    <x v="4"/>
    <x v="1"/>
    <x v="6"/>
  </r>
  <r>
    <x v="713"/>
    <x v="2"/>
    <x v="1"/>
    <n v="61.1"/>
    <n v="122.2"/>
    <x v="30"/>
    <x v="34"/>
    <x v="2"/>
    <x v="1"/>
    <x v="2"/>
    <x v="0"/>
    <x v="7"/>
    <x v="2"/>
    <x v="4"/>
    <x v="2"/>
    <x v="7"/>
  </r>
  <r>
    <x v="714"/>
    <x v="8"/>
    <x v="1"/>
    <n v="23.2"/>
    <n v="46.4"/>
    <x v="30"/>
    <x v="30"/>
    <x v="1"/>
    <x v="3"/>
    <x v="2"/>
    <x v="0"/>
    <x v="8"/>
    <x v="3"/>
    <x v="4"/>
    <x v="1"/>
    <x v="8"/>
  </r>
  <r>
    <x v="715"/>
    <x v="12"/>
    <x v="12"/>
    <n v="55.8"/>
    <n v="223.2"/>
    <x v="30"/>
    <x v="30"/>
    <x v="1"/>
    <x v="0"/>
    <x v="0"/>
    <x v="0"/>
    <x v="8"/>
    <x v="3"/>
    <x v="4"/>
    <x v="1"/>
    <x v="8"/>
  </r>
  <r>
    <x v="716"/>
    <x v="9"/>
    <x v="12"/>
    <n v="24.8"/>
    <n v="99.2"/>
    <x v="30"/>
    <x v="30"/>
    <x v="2"/>
    <x v="0"/>
    <x v="2"/>
    <x v="0"/>
    <x v="8"/>
    <x v="3"/>
    <x v="4"/>
    <x v="2"/>
    <x v="8"/>
  </r>
  <r>
    <x v="717"/>
    <x v="10"/>
    <x v="1"/>
    <n v="27.9"/>
    <n v="55.8"/>
    <x v="30"/>
    <x v="27"/>
    <x v="1"/>
    <x v="2"/>
    <x v="2"/>
    <x v="0"/>
    <x v="8"/>
    <x v="7"/>
    <x v="4"/>
    <x v="1"/>
    <x v="8"/>
  </r>
  <r>
    <x v="718"/>
    <x v="10"/>
    <x v="13"/>
    <n v="51.1"/>
    <n v="306.60000000000002"/>
    <x v="30"/>
    <x v="27"/>
    <x v="2"/>
    <x v="3"/>
    <x v="0"/>
    <x v="0"/>
    <x v="8"/>
    <x v="7"/>
    <x v="4"/>
    <x v="2"/>
    <x v="8"/>
  </r>
  <r>
    <x v="719"/>
    <x v="17"/>
    <x v="5"/>
    <n v="32.700000000000003"/>
    <n v="359.70000000000005"/>
    <x v="30"/>
    <x v="30"/>
    <x v="1"/>
    <x v="4"/>
    <x v="2"/>
    <x v="0"/>
    <x v="17"/>
    <x v="3"/>
    <x v="4"/>
    <x v="1"/>
    <x v="17"/>
  </r>
  <r>
    <x v="720"/>
    <x v="8"/>
    <x v="12"/>
    <n v="22.5"/>
    <n v="90"/>
    <x v="30"/>
    <x v="27"/>
    <x v="1"/>
    <x v="0"/>
    <x v="2"/>
    <x v="0"/>
    <x v="26"/>
    <x v="7"/>
    <x v="4"/>
    <x v="1"/>
    <x v="26"/>
  </r>
  <r>
    <x v="721"/>
    <x v="0"/>
    <x v="3"/>
    <n v="14.6"/>
    <n v="102.2"/>
    <x v="30"/>
    <x v="30"/>
    <x v="2"/>
    <x v="2"/>
    <x v="0"/>
    <x v="0"/>
    <x v="41"/>
    <x v="3"/>
    <x v="4"/>
    <x v="2"/>
    <x v="41"/>
  </r>
  <r>
    <x v="722"/>
    <x v="5"/>
    <x v="2"/>
    <n v="32.5"/>
    <n v="97.5"/>
    <x v="30"/>
    <x v="34"/>
    <x v="1"/>
    <x v="0"/>
    <x v="0"/>
    <x v="0"/>
    <x v="10"/>
    <x v="2"/>
    <x v="4"/>
    <x v="1"/>
    <x v="10"/>
  </r>
  <r>
    <x v="723"/>
    <x v="18"/>
    <x v="0"/>
    <n v="78.099999999999994"/>
    <n v="78.099999999999994"/>
    <x v="30"/>
    <x v="34"/>
    <x v="1"/>
    <x v="0"/>
    <x v="2"/>
    <x v="0"/>
    <x v="11"/>
    <x v="2"/>
    <x v="4"/>
    <x v="1"/>
    <x v="11"/>
  </r>
  <r>
    <x v="724"/>
    <x v="12"/>
    <x v="13"/>
    <n v="110.2"/>
    <n v="661.2"/>
    <x v="30"/>
    <x v="27"/>
    <x v="1"/>
    <x v="1"/>
    <x v="4"/>
    <x v="0"/>
    <x v="13"/>
    <x v="7"/>
    <x v="4"/>
    <x v="1"/>
    <x v="13"/>
  </r>
  <r>
    <x v="725"/>
    <x v="6"/>
    <x v="2"/>
    <n v="86.3"/>
    <n v="258.89999999999998"/>
    <x v="30"/>
    <x v="33"/>
    <x v="2"/>
    <x v="3"/>
    <x v="0"/>
    <x v="0"/>
    <x v="21"/>
    <x v="1"/>
    <x v="4"/>
    <x v="2"/>
    <x v="21"/>
  </r>
  <r>
    <x v="726"/>
    <x v="1"/>
    <x v="13"/>
    <n v="73.599999999999994"/>
    <n v="441.59999999999997"/>
    <x v="30"/>
    <x v="33"/>
    <x v="3"/>
    <x v="3"/>
    <x v="4"/>
    <x v="0"/>
    <x v="44"/>
    <x v="1"/>
    <x v="4"/>
    <x v="3"/>
    <x v="44"/>
  </r>
  <r>
    <x v="727"/>
    <x v="6"/>
    <x v="15"/>
    <n v="67.7"/>
    <n v="880.1"/>
    <x v="30"/>
    <x v="33"/>
    <x v="2"/>
    <x v="0"/>
    <x v="2"/>
    <x v="0"/>
    <x v="3"/>
    <x v="1"/>
    <x v="4"/>
    <x v="2"/>
    <x v="3"/>
  </r>
  <r>
    <x v="728"/>
    <x v="7"/>
    <x v="13"/>
    <n v="142.19999999999999"/>
    <n v="853.19999999999993"/>
    <x v="30"/>
    <x v="30"/>
    <x v="2"/>
    <x v="2"/>
    <x v="4"/>
    <x v="0"/>
    <x v="3"/>
    <x v="3"/>
    <x v="4"/>
    <x v="2"/>
    <x v="3"/>
  </r>
  <r>
    <x v="729"/>
    <x v="1"/>
    <x v="11"/>
    <n v="45.8"/>
    <n v="412.2"/>
    <x v="30"/>
    <x v="33"/>
    <x v="2"/>
    <x v="1"/>
    <x v="2"/>
    <x v="0"/>
    <x v="3"/>
    <x v="1"/>
    <x v="4"/>
    <x v="2"/>
    <x v="3"/>
  </r>
  <r>
    <x v="730"/>
    <x v="10"/>
    <x v="1"/>
    <n v="24.2"/>
    <n v="48.4"/>
    <x v="31"/>
    <x v="32"/>
    <x v="2"/>
    <x v="3"/>
    <x v="2"/>
    <x v="0"/>
    <x v="3"/>
    <x v="2"/>
    <x v="4"/>
    <x v="2"/>
    <x v="3"/>
  </r>
  <r>
    <x v="731"/>
    <x v="2"/>
    <x v="2"/>
    <n v="144.9"/>
    <n v="434.70000000000005"/>
    <x v="31"/>
    <x v="33"/>
    <x v="3"/>
    <x v="2"/>
    <x v="2"/>
    <x v="0"/>
    <x v="3"/>
    <x v="3"/>
    <x v="4"/>
    <x v="3"/>
    <x v="3"/>
  </r>
  <r>
    <x v="732"/>
    <x v="11"/>
    <x v="9"/>
    <n v="32.799999999999997"/>
    <n v="164"/>
    <x v="31"/>
    <x v="32"/>
    <x v="2"/>
    <x v="2"/>
    <x v="0"/>
    <x v="0"/>
    <x v="23"/>
    <x v="2"/>
    <x v="4"/>
    <x v="2"/>
    <x v="23"/>
  </r>
  <r>
    <x v="733"/>
    <x v="7"/>
    <x v="7"/>
    <n v="35.700000000000003"/>
    <n v="357"/>
    <x v="31"/>
    <x v="30"/>
    <x v="2"/>
    <x v="0"/>
    <x v="1"/>
    <x v="0"/>
    <x v="6"/>
    <x v="7"/>
    <x v="4"/>
    <x v="2"/>
    <x v="6"/>
  </r>
  <r>
    <x v="734"/>
    <x v="9"/>
    <x v="1"/>
    <n v="54.6"/>
    <n v="109.2"/>
    <x v="31"/>
    <x v="33"/>
    <x v="2"/>
    <x v="2"/>
    <x v="0"/>
    <x v="0"/>
    <x v="6"/>
    <x v="3"/>
    <x v="4"/>
    <x v="2"/>
    <x v="6"/>
  </r>
  <r>
    <x v="735"/>
    <x v="8"/>
    <x v="1"/>
    <n v="35.700000000000003"/>
    <n v="71.400000000000006"/>
    <x v="31"/>
    <x v="32"/>
    <x v="0"/>
    <x v="0"/>
    <x v="1"/>
    <x v="0"/>
    <x v="6"/>
    <x v="2"/>
    <x v="4"/>
    <x v="0"/>
    <x v="6"/>
  </r>
  <r>
    <x v="736"/>
    <x v="10"/>
    <x v="1"/>
    <n v="52.4"/>
    <n v="104.8"/>
    <x v="31"/>
    <x v="30"/>
    <x v="2"/>
    <x v="0"/>
    <x v="3"/>
    <x v="0"/>
    <x v="6"/>
    <x v="7"/>
    <x v="4"/>
    <x v="2"/>
    <x v="6"/>
  </r>
  <r>
    <x v="737"/>
    <x v="8"/>
    <x v="21"/>
    <n v="16.2"/>
    <n v="226.79999999999998"/>
    <x v="31"/>
    <x v="33"/>
    <x v="0"/>
    <x v="0"/>
    <x v="1"/>
    <x v="0"/>
    <x v="8"/>
    <x v="3"/>
    <x v="4"/>
    <x v="0"/>
    <x v="8"/>
  </r>
  <r>
    <x v="738"/>
    <x v="6"/>
    <x v="35"/>
    <n v="42.8"/>
    <n v="2011.6"/>
    <x v="31"/>
    <x v="33"/>
    <x v="2"/>
    <x v="0"/>
    <x v="0"/>
    <x v="0"/>
    <x v="8"/>
    <x v="3"/>
    <x v="4"/>
    <x v="2"/>
    <x v="8"/>
  </r>
  <r>
    <x v="739"/>
    <x v="6"/>
    <x v="11"/>
    <n v="144.4"/>
    <n v="1299.6000000000001"/>
    <x v="31"/>
    <x v="32"/>
    <x v="2"/>
    <x v="4"/>
    <x v="0"/>
    <x v="0"/>
    <x v="8"/>
    <x v="2"/>
    <x v="4"/>
    <x v="2"/>
    <x v="8"/>
  </r>
  <r>
    <x v="740"/>
    <x v="3"/>
    <x v="34"/>
    <n v="30.6"/>
    <n v="1101.6000000000001"/>
    <x v="31"/>
    <x v="36"/>
    <x v="2"/>
    <x v="2"/>
    <x v="2"/>
    <x v="0"/>
    <x v="11"/>
    <x v="5"/>
    <x v="4"/>
    <x v="2"/>
    <x v="11"/>
  </r>
  <r>
    <x v="741"/>
    <x v="2"/>
    <x v="1"/>
    <n v="117.5"/>
    <n v="235"/>
    <x v="31"/>
    <x v="33"/>
    <x v="1"/>
    <x v="0"/>
    <x v="0"/>
    <x v="0"/>
    <x v="19"/>
    <x v="3"/>
    <x v="4"/>
    <x v="1"/>
    <x v="19"/>
  </r>
  <r>
    <x v="742"/>
    <x v="6"/>
    <x v="1"/>
    <n v="105.7"/>
    <n v="211.4"/>
    <x v="31"/>
    <x v="33"/>
    <x v="2"/>
    <x v="2"/>
    <x v="2"/>
    <x v="0"/>
    <x v="21"/>
    <x v="3"/>
    <x v="4"/>
    <x v="2"/>
    <x v="21"/>
  </r>
  <r>
    <x v="743"/>
    <x v="3"/>
    <x v="2"/>
    <n v="133.69999999999999"/>
    <n v="401.09999999999997"/>
    <x v="31"/>
    <x v="33"/>
    <x v="0"/>
    <x v="4"/>
    <x v="2"/>
    <x v="0"/>
    <x v="21"/>
    <x v="3"/>
    <x v="4"/>
    <x v="0"/>
    <x v="21"/>
  </r>
  <r>
    <x v="744"/>
    <x v="4"/>
    <x v="9"/>
    <n v="46.8"/>
    <n v="234"/>
    <x v="32"/>
    <x v="37"/>
    <x v="2"/>
    <x v="0"/>
    <x v="1"/>
    <x v="0"/>
    <x v="21"/>
    <x v="9"/>
    <x v="5"/>
    <x v="2"/>
    <x v="21"/>
  </r>
  <r>
    <x v="745"/>
    <x v="10"/>
    <x v="2"/>
    <n v="58.4"/>
    <n v="175.2"/>
    <x v="32"/>
    <x v="32"/>
    <x v="2"/>
    <x v="0"/>
    <x v="0"/>
    <x v="0"/>
    <x v="1"/>
    <x v="1"/>
    <x v="5"/>
    <x v="2"/>
    <x v="1"/>
  </r>
  <r>
    <x v="746"/>
    <x v="6"/>
    <x v="11"/>
    <n v="65.099999999999994"/>
    <n v="585.9"/>
    <x v="32"/>
    <x v="38"/>
    <x v="1"/>
    <x v="1"/>
    <x v="2"/>
    <x v="0"/>
    <x v="22"/>
    <x v="5"/>
    <x v="5"/>
    <x v="1"/>
    <x v="22"/>
  </r>
  <r>
    <x v="747"/>
    <x v="8"/>
    <x v="0"/>
    <n v="18.600000000000001"/>
    <n v="18.600000000000001"/>
    <x v="32"/>
    <x v="36"/>
    <x v="2"/>
    <x v="0"/>
    <x v="4"/>
    <x v="0"/>
    <x v="22"/>
    <x v="2"/>
    <x v="5"/>
    <x v="2"/>
    <x v="22"/>
  </r>
  <r>
    <x v="748"/>
    <x v="1"/>
    <x v="5"/>
    <n v="92.3"/>
    <n v="1015.3"/>
    <x v="32"/>
    <x v="32"/>
    <x v="1"/>
    <x v="1"/>
    <x v="0"/>
    <x v="0"/>
    <x v="3"/>
    <x v="1"/>
    <x v="5"/>
    <x v="1"/>
    <x v="3"/>
  </r>
  <r>
    <x v="749"/>
    <x v="6"/>
    <x v="2"/>
    <n v="81.7"/>
    <n v="245.10000000000002"/>
    <x v="32"/>
    <x v="34"/>
    <x v="0"/>
    <x v="4"/>
    <x v="4"/>
    <x v="0"/>
    <x v="3"/>
    <x v="3"/>
    <x v="5"/>
    <x v="0"/>
    <x v="3"/>
  </r>
  <r>
    <x v="750"/>
    <x v="8"/>
    <x v="1"/>
    <n v="40.9"/>
    <n v="81.8"/>
    <x v="32"/>
    <x v="32"/>
    <x v="1"/>
    <x v="0"/>
    <x v="1"/>
    <x v="0"/>
    <x v="3"/>
    <x v="1"/>
    <x v="5"/>
    <x v="1"/>
    <x v="3"/>
  </r>
  <r>
    <x v="751"/>
    <x v="6"/>
    <x v="12"/>
    <n v="43.2"/>
    <n v="172.8"/>
    <x v="32"/>
    <x v="39"/>
    <x v="2"/>
    <x v="0"/>
    <x v="1"/>
    <x v="0"/>
    <x v="3"/>
    <x v="4"/>
    <x v="5"/>
    <x v="2"/>
    <x v="3"/>
  </r>
  <r>
    <x v="752"/>
    <x v="8"/>
    <x v="5"/>
    <n v="25.8"/>
    <n v="283.8"/>
    <x v="32"/>
    <x v="36"/>
    <x v="1"/>
    <x v="2"/>
    <x v="1"/>
    <x v="0"/>
    <x v="3"/>
    <x v="2"/>
    <x v="5"/>
    <x v="1"/>
    <x v="3"/>
  </r>
  <r>
    <x v="753"/>
    <x v="15"/>
    <x v="12"/>
    <n v="36.4"/>
    <n v="145.6"/>
    <x v="32"/>
    <x v="34"/>
    <x v="1"/>
    <x v="0"/>
    <x v="0"/>
    <x v="0"/>
    <x v="3"/>
    <x v="3"/>
    <x v="5"/>
    <x v="1"/>
    <x v="3"/>
  </r>
  <r>
    <x v="754"/>
    <x v="10"/>
    <x v="0"/>
    <n v="59.1"/>
    <n v="59.1"/>
    <x v="32"/>
    <x v="34"/>
    <x v="2"/>
    <x v="2"/>
    <x v="0"/>
    <x v="0"/>
    <x v="7"/>
    <x v="3"/>
    <x v="5"/>
    <x v="2"/>
    <x v="7"/>
  </r>
  <r>
    <x v="755"/>
    <x v="2"/>
    <x v="14"/>
    <n v="74.5"/>
    <n v="1266.5"/>
    <x v="32"/>
    <x v="32"/>
    <x v="1"/>
    <x v="4"/>
    <x v="0"/>
    <x v="0"/>
    <x v="18"/>
    <x v="1"/>
    <x v="5"/>
    <x v="1"/>
    <x v="18"/>
  </r>
  <r>
    <x v="756"/>
    <x v="5"/>
    <x v="0"/>
    <n v="72.8"/>
    <n v="72.8"/>
    <x v="32"/>
    <x v="34"/>
    <x v="2"/>
    <x v="0"/>
    <x v="1"/>
    <x v="0"/>
    <x v="19"/>
    <x v="3"/>
    <x v="5"/>
    <x v="2"/>
    <x v="19"/>
  </r>
  <r>
    <x v="757"/>
    <x v="6"/>
    <x v="12"/>
    <n v="137.30000000000001"/>
    <n v="549.20000000000005"/>
    <x v="32"/>
    <x v="36"/>
    <x v="2"/>
    <x v="0"/>
    <x v="0"/>
    <x v="0"/>
    <x v="13"/>
    <x v="2"/>
    <x v="5"/>
    <x v="2"/>
    <x v="13"/>
  </r>
  <r>
    <x v="758"/>
    <x v="1"/>
    <x v="2"/>
    <n v="48.7"/>
    <n v="146.10000000000002"/>
    <x v="32"/>
    <x v="31"/>
    <x v="2"/>
    <x v="0"/>
    <x v="1"/>
    <x v="0"/>
    <x v="21"/>
    <x v="0"/>
    <x v="5"/>
    <x v="2"/>
    <x v="21"/>
  </r>
  <r>
    <x v="759"/>
    <x v="6"/>
    <x v="12"/>
    <n v="53.7"/>
    <n v="214.8"/>
    <x v="32"/>
    <x v="38"/>
    <x v="1"/>
    <x v="1"/>
    <x v="4"/>
    <x v="0"/>
    <x v="2"/>
    <x v="5"/>
    <x v="5"/>
    <x v="1"/>
    <x v="2"/>
  </r>
  <r>
    <x v="760"/>
    <x v="2"/>
    <x v="3"/>
    <n v="100.9"/>
    <n v="706.30000000000007"/>
    <x v="32"/>
    <x v="32"/>
    <x v="2"/>
    <x v="0"/>
    <x v="1"/>
    <x v="0"/>
    <x v="2"/>
    <x v="1"/>
    <x v="5"/>
    <x v="2"/>
    <x v="2"/>
  </r>
  <r>
    <x v="761"/>
    <x v="10"/>
    <x v="1"/>
    <n v="41.8"/>
    <n v="83.6"/>
    <x v="32"/>
    <x v="38"/>
    <x v="1"/>
    <x v="3"/>
    <x v="2"/>
    <x v="0"/>
    <x v="22"/>
    <x v="5"/>
    <x v="5"/>
    <x v="1"/>
    <x v="22"/>
  </r>
  <r>
    <x v="762"/>
    <x v="4"/>
    <x v="8"/>
    <n v="28.5"/>
    <n v="228"/>
    <x v="32"/>
    <x v="32"/>
    <x v="1"/>
    <x v="2"/>
    <x v="1"/>
    <x v="0"/>
    <x v="3"/>
    <x v="1"/>
    <x v="5"/>
    <x v="1"/>
    <x v="3"/>
  </r>
  <r>
    <x v="763"/>
    <x v="7"/>
    <x v="12"/>
    <n v="88.9"/>
    <n v="355.6"/>
    <x v="32"/>
    <x v="36"/>
    <x v="2"/>
    <x v="0"/>
    <x v="2"/>
    <x v="0"/>
    <x v="3"/>
    <x v="2"/>
    <x v="5"/>
    <x v="2"/>
    <x v="3"/>
  </r>
  <r>
    <x v="764"/>
    <x v="6"/>
    <x v="0"/>
    <n v="62.5"/>
    <n v="62.5"/>
    <x v="32"/>
    <x v="40"/>
    <x v="2"/>
    <x v="0"/>
    <x v="2"/>
    <x v="0"/>
    <x v="3"/>
    <x v="8"/>
    <x v="5"/>
    <x v="2"/>
    <x v="3"/>
  </r>
  <r>
    <x v="765"/>
    <x v="1"/>
    <x v="2"/>
    <n v="46.9"/>
    <n v="140.69999999999999"/>
    <x v="32"/>
    <x v="34"/>
    <x v="1"/>
    <x v="0"/>
    <x v="2"/>
    <x v="0"/>
    <x v="3"/>
    <x v="3"/>
    <x v="5"/>
    <x v="1"/>
    <x v="3"/>
  </r>
  <r>
    <x v="766"/>
    <x v="8"/>
    <x v="2"/>
    <n v="45"/>
    <n v="135"/>
    <x v="32"/>
    <x v="41"/>
    <x v="1"/>
    <x v="1"/>
    <x v="0"/>
    <x v="0"/>
    <x v="3"/>
    <x v="12"/>
    <x v="5"/>
    <x v="1"/>
    <x v="3"/>
  </r>
  <r>
    <x v="767"/>
    <x v="6"/>
    <x v="2"/>
    <n v="45.2"/>
    <n v="135.60000000000002"/>
    <x v="32"/>
    <x v="32"/>
    <x v="1"/>
    <x v="4"/>
    <x v="2"/>
    <x v="0"/>
    <x v="3"/>
    <x v="1"/>
    <x v="5"/>
    <x v="1"/>
    <x v="3"/>
  </r>
  <r>
    <x v="768"/>
    <x v="4"/>
    <x v="1"/>
    <n v="60.1"/>
    <n v="120.2"/>
    <x v="32"/>
    <x v="34"/>
    <x v="2"/>
    <x v="0"/>
    <x v="2"/>
    <x v="0"/>
    <x v="3"/>
    <x v="3"/>
    <x v="5"/>
    <x v="2"/>
    <x v="3"/>
  </r>
  <r>
    <x v="769"/>
    <x v="12"/>
    <x v="12"/>
    <n v="118.7"/>
    <n v="474.8"/>
    <x v="32"/>
    <x v="32"/>
    <x v="2"/>
    <x v="0"/>
    <x v="0"/>
    <x v="0"/>
    <x v="3"/>
    <x v="1"/>
    <x v="5"/>
    <x v="2"/>
    <x v="3"/>
  </r>
  <r>
    <x v="770"/>
    <x v="9"/>
    <x v="0"/>
    <n v="57.8"/>
    <n v="57.8"/>
    <x v="32"/>
    <x v="40"/>
    <x v="2"/>
    <x v="1"/>
    <x v="0"/>
    <x v="0"/>
    <x v="3"/>
    <x v="8"/>
    <x v="5"/>
    <x v="2"/>
    <x v="3"/>
  </r>
  <r>
    <x v="771"/>
    <x v="4"/>
    <x v="0"/>
    <n v="19.5"/>
    <n v="19.5"/>
    <x v="32"/>
    <x v="34"/>
    <x v="1"/>
    <x v="1"/>
    <x v="1"/>
    <x v="0"/>
    <x v="3"/>
    <x v="3"/>
    <x v="5"/>
    <x v="1"/>
    <x v="3"/>
  </r>
  <r>
    <x v="772"/>
    <x v="12"/>
    <x v="0"/>
    <n v="42.6"/>
    <n v="42.6"/>
    <x v="32"/>
    <x v="34"/>
    <x v="1"/>
    <x v="0"/>
    <x v="1"/>
    <x v="0"/>
    <x v="3"/>
    <x v="3"/>
    <x v="5"/>
    <x v="1"/>
    <x v="3"/>
  </r>
  <r>
    <x v="773"/>
    <x v="6"/>
    <x v="1"/>
    <n v="74.8"/>
    <n v="149.6"/>
    <x v="32"/>
    <x v="34"/>
    <x v="2"/>
    <x v="3"/>
    <x v="2"/>
    <x v="0"/>
    <x v="37"/>
    <x v="3"/>
    <x v="5"/>
    <x v="2"/>
    <x v="37"/>
  </r>
  <r>
    <x v="774"/>
    <x v="8"/>
    <x v="2"/>
    <n v="32.5"/>
    <n v="97.5"/>
    <x v="32"/>
    <x v="34"/>
    <x v="1"/>
    <x v="2"/>
    <x v="4"/>
    <x v="0"/>
    <x v="16"/>
    <x v="3"/>
    <x v="5"/>
    <x v="1"/>
    <x v="16"/>
  </r>
  <r>
    <x v="775"/>
    <x v="2"/>
    <x v="2"/>
    <n v="60.5"/>
    <n v="181.5"/>
    <x v="32"/>
    <x v="33"/>
    <x v="2"/>
    <x v="1"/>
    <x v="2"/>
    <x v="0"/>
    <x v="25"/>
    <x v="7"/>
    <x v="5"/>
    <x v="2"/>
    <x v="25"/>
  </r>
  <r>
    <x v="776"/>
    <x v="1"/>
    <x v="3"/>
    <n v="57.2"/>
    <n v="400.40000000000003"/>
    <x v="32"/>
    <x v="32"/>
    <x v="0"/>
    <x v="2"/>
    <x v="0"/>
    <x v="0"/>
    <x v="25"/>
    <x v="1"/>
    <x v="5"/>
    <x v="0"/>
    <x v="25"/>
  </r>
  <r>
    <x v="777"/>
    <x v="16"/>
    <x v="1"/>
    <n v="112"/>
    <n v="224"/>
    <x v="32"/>
    <x v="34"/>
    <x v="2"/>
    <x v="1"/>
    <x v="1"/>
    <x v="0"/>
    <x v="5"/>
    <x v="3"/>
    <x v="5"/>
    <x v="2"/>
    <x v="5"/>
  </r>
  <r>
    <x v="778"/>
    <x v="7"/>
    <x v="7"/>
    <n v="49"/>
    <n v="490"/>
    <x v="32"/>
    <x v="34"/>
    <x v="3"/>
    <x v="2"/>
    <x v="1"/>
    <x v="0"/>
    <x v="6"/>
    <x v="3"/>
    <x v="5"/>
    <x v="3"/>
    <x v="6"/>
  </r>
  <r>
    <x v="779"/>
    <x v="0"/>
    <x v="1"/>
    <n v="33.700000000000003"/>
    <n v="67.400000000000006"/>
    <x v="32"/>
    <x v="38"/>
    <x v="2"/>
    <x v="3"/>
    <x v="0"/>
    <x v="0"/>
    <x v="6"/>
    <x v="5"/>
    <x v="5"/>
    <x v="2"/>
    <x v="6"/>
  </r>
  <r>
    <x v="780"/>
    <x v="4"/>
    <x v="2"/>
    <n v="35.6"/>
    <n v="106.80000000000001"/>
    <x v="32"/>
    <x v="36"/>
    <x v="2"/>
    <x v="0"/>
    <x v="2"/>
    <x v="0"/>
    <x v="6"/>
    <x v="2"/>
    <x v="5"/>
    <x v="2"/>
    <x v="6"/>
  </r>
  <r>
    <x v="781"/>
    <x v="4"/>
    <x v="36"/>
    <n v="30.4"/>
    <n v="1064"/>
    <x v="33"/>
    <x v="34"/>
    <x v="2"/>
    <x v="0"/>
    <x v="1"/>
    <x v="0"/>
    <x v="7"/>
    <x v="7"/>
    <x v="5"/>
    <x v="2"/>
    <x v="7"/>
  </r>
  <r>
    <x v="782"/>
    <x v="10"/>
    <x v="4"/>
    <n v="50.2"/>
    <n v="602.40000000000009"/>
    <x v="33"/>
    <x v="32"/>
    <x v="1"/>
    <x v="4"/>
    <x v="0"/>
    <x v="0"/>
    <x v="8"/>
    <x v="3"/>
    <x v="5"/>
    <x v="1"/>
    <x v="8"/>
  </r>
  <r>
    <x v="783"/>
    <x v="1"/>
    <x v="1"/>
    <n v="43.7"/>
    <n v="87.4"/>
    <x v="33"/>
    <x v="36"/>
    <x v="2"/>
    <x v="0"/>
    <x v="0"/>
    <x v="0"/>
    <x v="8"/>
    <x v="1"/>
    <x v="5"/>
    <x v="2"/>
    <x v="8"/>
  </r>
  <r>
    <x v="784"/>
    <x v="10"/>
    <x v="0"/>
    <n v="33.299999999999997"/>
    <n v="33.299999999999997"/>
    <x v="33"/>
    <x v="32"/>
    <x v="2"/>
    <x v="2"/>
    <x v="1"/>
    <x v="0"/>
    <x v="8"/>
    <x v="3"/>
    <x v="5"/>
    <x v="2"/>
    <x v="8"/>
  </r>
  <r>
    <x v="785"/>
    <x v="8"/>
    <x v="12"/>
    <n v="15.1"/>
    <n v="60.4"/>
    <x v="33"/>
    <x v="36"/>
    <x v="2"/>
    <x v="4"/>
    <x v="2"/>
    <x v="0"/>
    <x v="8"/>
    <x v="1"/>
    <x v="5"/>
    <x v="2"/>
    <x v="8"/>
  </r>
  <r>
    <x v="786"/>
    <x v="6"/>
    <x v="9"/>
    <n v="118.2"/>
    <n v="591"/>
    <x v="33"/>
    <x v="32"/>
    <x v="2"/>
    <x v="3"/>
    <x v="4"/>
    <x v="0"/>
    <x v="8"/>
    <x v="3"/>
    <x v="5"/>
    <x v="2"/>
    <x v="8"/>
  </r>
  <r>
    <x v="787"/>
    <x v="10"/>
    <x v="2"/>
    <n v="28.9"/>
    <n v="86.699999999999989"/>
    <x v="33"/>
    <x v="36"/>
    <x v="2"/>
    <x v="2"/>
    <x v="1"/>
    <x v="0"/>
    <x v="8"/>
    <x v="1"/>
    <x v="5"/>
    <x v="2"/>
    <x v="8"/>
  </r>
  <r>
    <x v="788"/>
    <x v="4"/>
    <x v="2"/>
    <n v="55.6"/>
    <n v="166.8"/>
    <x v="33"/>
    <x v="32"/>
    <x v="1"/>
    <x v="0"/>
    <x v="1"/>
    <x v="0"/>
    <x v="8"/>
    <x v="3"/>
    <x v="5"/>
    <x v="1"/>
    <x v="8"/>
  </r>
  <r>
    <x v="789"/>
    <x v="9"/>
    <x v="12"/>
    <n v="25.6"/>
    <n v="102.4"/>
    <x v="33"/>
    <x v="36"/>
    <x v="2"/>
    <x v="0"/>
    <x v="1"/>
    <x v="0"/>
    <x v="8"/>
    <x v="1"/>
    <x v="5"/>
    <x v="2"/>
    <x v="8"/>
  </r>
  <r>
    <x v="790"/>
    <x v="7"/>
    <x v="2"/>
    <n v="31.3"/>
    <n v="93.9"/>
    <x v="33"/>
    <x v="32"/>
    <x v="1"/>
    <x v="0"/>
    <x v="0"/>
    <x v="0"/>
    <x v="17"/>
    <x v="3"/>
    <x v="5"/>
    <x v="1"/>
    <x v="17"/>
  </r>
  <r>
    <x v="791"/>
    <x v="0"/>
    <x v="2"/>
    <n v="22.1"/>
    <n v="66.300000000000011"/>
    <x v="33"/>
    <x v="31"/>
    <x v="1"/>
    <x v="0"/>
    <x v="0"/>
    <x v="0"/>
    <x v="17"/>
    <x v="5"/>
    <x v="5"/>
    <x v="1"/>
    <x v="17"/>
  </r>
  <r>
    <x v="792"/>
    <x v="2"/>
    <x v="21"/>
    <n v="99.4"/>
    <n v="1391.6000000000001"/>
    <x v="33"/>
    <x v="32"/>
    <x v="1"/>
    <x v="1"/>
    <x v="0"/>
    <x v="0"/>
    <x v="11"/>
    <x v="3"/>
    <x v="5"/>
    <x v="1"/>
    <x v="11"/>
  </r>
  <r>
    <x v="793"/>
    <x v="7"/>
    <x v="13"/>
    <n v="66.599999999999994"/>
    <n v="399.59999999999997"/>
    <x v="33"/>
    <x v="32"/>
    <x v="2"/>
    <x v="0"/>
    <x v="0"/>
    <x v="0"/>
    <x v="11"/>
    <x v="3"/>
    <x v="5"/>
    <x v="2"/>
    <x v="11"/>
  </r>
  <r>
    <x v="794"/>
    <x v="8"/>
    <x v="1"/>
    <n v="22.6"/>
    <n v="45.2"/>
    <x v="33"/>
    <x v="38"/>
    <x v="1"/>
    <x v="0"/>
    <x v="0"/>
    <x v="0"/>
    <x v="11"/>
    <x v="2"/>
    <x v="5"/>
    <x v="1"/>
    <x v="11"/>
  </r>
  <r>
    <x v="795"/>
    <x v="2"/>
    <x v="16"/>
    <n v="66.8"/>
    <n v="1202.3999999999999"/>
    <x v="33"/>
    <x v="32"/>
    <x v="2"/>
    <x v="0"/>
    <x v="4"/>
    <x v="0"/>
    <x v="13"/>
    <x v="3"/>
    <x v="5"/>
    <x v="2"/>
    <x v="13"/>
  </r>
  <r>
    <x v="796"/>
    <x v="0"/>
    <x v="12"/>
    <n v="20.8"/>
    <n v="83.2"/>
    <x v="33"/>
    <x v="37"/>
    <x v="1"/>
    <x v="1"/>
    <x v="4"/>
    <x v="0"/>
    <x v="1"/>
    <x v="6"/>
    <x v="5"/>
    <x v="1"/>
    <x v="1"/>
  </r>
  <r>
    <x v="797"/>
    <x v="2"/>
    <x v="3"/>
    <n v="102.5"/>
    <n v="717.5"/>
    <x v="33"/>
    <x v="32"/>
    <x v="2"/>
    <x v="4"/>
    <x v="2"/>
    <x v="0"/>
    <x v="3"/>
    <x v="3"/>
    <x v="5"/>
    <x v="2"/>
    <x v="3"/>
  </r>
  <r>
    <x v="798"/>
    <x v="0"/>
    <x v="16"/>
    <n v="24.8"/>
    <n v="446.40000000000003"/>
    <x v="33"/>
    <x v="31"/>
    <x v="2"/>
    <x v="0"/>
    <x v="0"/>
    <x v="0"/>
    <x v="3"/>
    <x v="5"/>
    <x v="5"/>
    <x v="2"/>
    <x v="3"/>
  </r>
  <r>
    <x v="799"/>
    <x v="4"/>
    <x v="37"/>
    <n v="31.4"/>
    <n v="973.4"/>
    <x v="33"/>
    <x v="32"/>
    <x v="2"/>
    <x v="3"/>
    <x v="0"/>
    <x v="0"/>
    <x v="3"/>
    <x v="3"/>
    <x v="5"/>
    <x v="2"/>
    <x v="3"/>
  </r>
  <r>
    <x v="800"/>
    <x v="9"/>
    <x v="9"/>
    <n v="59.3"/>
    <n v="296.5"/>
    <x v="33"/>
    <x v="38"/>
    <x v="1"/>
    <x v="1"/>
    <x v="2"/>
    <x v="0"/>
    <x v="43"/>
    <x v="2"/>
    <x v="5"/>
    <x v="1"/>
    <x v="43"/>
  </r>
  <r>
    <x v="801"/>
    <x v="11"/>
    <x v="13"/>
    <n v="39"/>
    <n v="234"/>
    <x v="33"/>
    <x v="38"/>
    <x v="1"/>
    <x v="1"/>
    <x v="0"/>
    <x v="0"/>
    <x v="6"/>
    <x v="2"/>
    <x v="5"/>
    <x v="1"/>
    <x v="6"/>
  </r>
  <r>
    <x v="802"/>
    <x v="5"/>
    <x v="13"/>
    <n v="98.6"/>
    <n v="591.59999999999991"/>
    <x v="33"/>
    <x v="36"/>
    <x v="2"/>
    <x v="1"/>
    <x v="0"/>
    <x v="0"/>
    <x v="6"/>
    <x v="1"/>
    <x v="5"/>
    <x v="2"/>
    <x v="6"/>
  </r>
  <r>
    <x v="803"/>
    <x v="8"/>
    <x v="0"/>
    <n v="20"/>
    <n v="20"/>
    <x v="34"/>
    <x v="36"/>
    <x v="1"/>
    <x v="3"/>
    <x v="2"/>
    <x v="0"/>
    <x v="8"/>
    <x v="3"/>
    <x v="5"/>
    <x v="1"/>
    <x v="8"/>
  </r>
  <r>
    <x v="804"/>
    <x v="1"/>
    <x v="1"/>
    <n v="42.9"/>
    <n v="85.8"/>
    <x v="34"/>
    <x v="38"/>
    <x v="2"/>
    <x v="0"/>
    <x v="2"/>
    <x v="0"/>
    <x v="8"/>
    <x v="1"/>
    <x v="5"/>
    <x v="2"/>
    <x v="8"/>
  </r>
  <r>
    <x v="805"/>
    <x v="7"/>
    <x v="3"/>
    <n v="55.6"/>
    <n v="389.2"/>
    <x v="34"/>
    <x v="38"/>
    <x v="2"/>
    <x v="2"/>
    <x v="1"/>
    <x v="0"/>
    <x v="8"/>
    <x v="1"/>
    <x v="5"/>
    <x v="2"/>
    <x v="8"/>
  </r>
  <r>
    <x v="806"/>
    <x v="8"/>
    <x v="12"/>
    <n v="19.2"/>
    <n v="76.8"/>
    <x v="34"/>
    <x v="35"/>
    <x v="2"/>
    <x v="0"/>
    <x v="0"/>
    <x v="0"/>
    <x v="41"/>
    <x v="0"/>
    <x v="5"/>
    <x v="2"/>
    <x v="41"/>
  </r>
  <r>
    <x v="807"/>
    <x v="5"/>
    <x v="1"/>
    <n v="28.8"/>
    <n v="57.6"/>
    <x v="34"/>
    <x v="38"/>
    <x v="1"/>
    <x v="1"/>
    <x v="0"/>
    <x v="0"/>
    <x v="18"/>
    <x v="1"/>
    <x v="5"/>
    <x v="1"/>
    <x v="18"/>
  </r>
  <r>
    <x v="808"/>
    <x v="4"/>
    <x v="0"/>
    <n v="29.7"/>
    <n v="29.7"/>
    <x v="34"/>
    <x v="38"/>
    <x v="2"/>
    <x v="2"/>
    <x v="4"/>
    <x v="0"/>
    <x v="20"/>
    <x v="1"/>
    <x v="5"/>
    <x v="2"/>
    <x v="20"/>
  </r>
  <r>
    <x v="809"/>
    <x v="6"/>
    <x v="13"/>
    <n v="63.3"/>
    <n v="379.79999999999995"/>
    <x v="34"/>
    <x v="36"/>
    <x v="0"/>
    <x v="0"/>
    <x v="2"/>
    <x v="0"/>
    <x v="21"/>
    <x v="3"/>
    <x v="5"/>
    <x v="0"/>
    <x v="21"/>
  </r>
  <r>
    <x v="810"/>
    <x v="4"/>
    <x v="0"/>
    <n v="46"/>
    <n v="46"/>
    <x v="34"/>
    <x v="36"/>
    <x v="2"/>
    <x v="0"/>
    <x v="2"/>
    <x v="0"/>
    <x v="21"/>
    <x v="3"/>
    <x v="5"/>
    <x v="2"/>
    <x v="21"/>
  </r>
  <r>
    <x v="811"/>
    <x v="11"/>
    <x v="2"/>
    <n v="38"/>
    <n v="114"/>
    <x v="34"/>
    <x v="38"/>
    <x v="2"/>
    <x v="1"/>
    <x v="2"/>
    <x v="0"/>
    <x v="21"/>
    <x v="1"/>
    <x v="5"/>
    <x v="2"/>
    <x v="21"/>
  </r>
  <r>
    <x v="812"/>
    <x v="10"/>
    <x v="15"/>
    <n v="34.6"/>
    <n v="449.8"/>
    <x v="34"/>
    <x v="38"/>
    <x v="2"/>
    <x v="0"/>
    <x v="1"/>
    <x v="0"/>
    <x v="21"/>
    <x v="1"/>
    <x v="5"/>
    <x v="2"/>
    <x v="21"/>
  </r>
  <r>
    <x v="813"/>
    <x v="3"/>
    <x v="7"/>
    <n v="79.7"/>
    <n v="797"/>
    <x v="34"/>
    <x v="36"/>
    <x v="2"/>
    <x v="4"/>
    <x v="1"/>
    <x v="0"/>
    <x v="21"/>
    <x v="3"/>
    <x v="5"/>
    <x v="2"/>
    <x v="21"/>
  </r>
  <r>
    <x v="814"/>
    <x v="8"/>
    <x v="8"/>
    <n v="30.5"/>
    <n v="244"/>
    <x v="34"/>
    <x v="39"/>
    <x v="1"/>
    <x v="3"/>
    <x v="0"/>
    <x v="0"/>
    <x v="1"/>
    <x v="5"/>
    <x v="5"/>
    <x v="1"/>
    <x v="1"/>
  </r>
  <r>
    <x v="815"/>
    <x v="0"/>
    <x v="1"/>
    <n v="20.8"/>
    <n v="41.6"/>
    <x v="34"/>
    <x v="36"/>
    <x v="2"/>
    <x v="0"/>
    <x v="0"/>
    <x v="0"/>
    <x v="2"/>
    <x v="3"/>
    <x v="5"/>
    <x v="2"/>
    <x v="2"/>
  </r>
  <r>
    <x v="816"/>
    <x v="11"/>
    <x v="3"/>
    <n v="48.5"/>
    <n v="339.5"/>
    <x v="34"/>
    <x v="39"/>
    <x v="2"/>
    <x v="2"/>
    <x v="2"/>
    <x v="0"/>
    <x v="2"/>
    <x v="5"/>
    <x v="5"/>
    <x v="2"/>
    <x v="2"/>
  </r>
  <r>
    <x v="817"/>
    <x v="2"/>
    <x v="12"/>
    <n v="61.8"/>
    <n v="247.2"/>
    <x v="34"/>
    <x v="39"/>
    <x v="2"/>
    <x v="4"/>
    <x v="0"/>
    <x v="0"/>
    <x v="22"/>
    <x v="5"/>
    <x v="5"/>
    <x v="2"/>
    <x v="22"/>
  </r>
  <r>
    <x v="818"/>
    <x v="10"/>
    <x v="0"/>
    <n v="46.1"/>
    <n v="46.1"/>
    <x v="34"/>
    <x v="36"/>
    <x v="3"/>
    <x v="2"/>
    <x v="0"/>
    <x v="0"/>
    <x v="3"/>
    <x v="3"/>
    <x v="5"/>
    <x v="3"/>
    <x v="3"/>
  </r>
  <r>
    <x v="819"/>
    <x v="4"/>
    <x v="13"/>
    <n v="44"/>
    <n v="264"/>
    <x v="34"/>
    <x v="36"/>
    <x v="2"/>
    <x v="0"/>
    <x v="0"/>
    <x v="0"/>
    <x v="3"/>
    <x v="3"/>
    <x v="5"/>
    <x v="2"/>
    <x v="3"/>
  </r>
  <r>
    <x v="820"/>
    <x v="18"/>
    <x v="1"/>
    <n v="95.7"/>
    <n v="191.4"/>
    <x v="34"/>
    <x v="37"/>
    <x v="2"/>
    <x v="3"/>
    <x v="2"/>
    <x v="0"/>
    <x v="3"/>
    <x v="4"/>
    <x v="5"/>
    <x v="2"/>
    <x v="3"/>
  </r>
  <r>
    <x v="821"/>
    <x v="7"/>
    <x v="9"/>
    <n v="46.4"/>
    <n v="232"/>
    <x v="34"/>
    <x v="31"/>
    <x v="2"/>
    <x v="0"/>
    <x v="0"/>
    <x v="0"/>
    <x v="3"/>
    <x v="2"/>
    <x v="5"/>
    <x v="2"/>
    <x v="3"/>
  </r>
  <r>
    <x v="822"/>
    <x v="6"/>
    <x v="1"/>
    <n v="47.2"/>
    <n v="94.4"/>
    <x v="34"/>
    <x v="38"/>
    <x v="2"/>
    <x v="0"/>
    <x v="2"/>
    <x v="0"/>
    <x v="3"/>
    <x v="1"/>
    <x v="5"/>
    <x v="2"/>
    <x v="3"/>
  </r>
  <r>
    <x v="823"/>
    <x v="7"/>
    <x v="1"/>
    <n v="58.6"/>
    <n v="117.2"/>
    <x v="34"/>
    <x v="36"/>
    <x v="2"/>
    <x v="2"/>
    <x v="1"/>
    <x v="0"/>
    <x v="3"/>
    <x v="3"/>
    <x v="5"/>
    <x v="2"/>
    <x v="3"/>
  </r>
  <r>
    <x v="824"/>
    <x v="4"/>
    <x v="2"/>
    <n v="57"/>
    <n v="171"/>
    <x v="34"/>
    <x v="36"/>
    <x v="1"/>
    <x v="0"/>
    <x v="2"/>
    <x v="0"/>
    <x v="3"/>
    <x v="3"/>
    <x v="5"/>
    <x v="1"/>
    <x v="3"/>
  </r>
  <r>
    <x v="825"/>
    <x v="8"/>
    <x v="12"/>
    <n v="28.9"/>
    <n v="115.6"/>
    <x v="34"/>
    <x v="39"/>
    <x v="1"/>
    <x v="2"/>
    <x v="0"/>
    <x v="0"/>
    <x v="3"/>
    <x v="5"/>
    <x v="5"/>
    <x v="1"/>
    <x v="3"/>
  </r>
  <r>
    <x v="826"/>
    <x v="12"/>
    <x v="9"/>
    <n v="60.7"/>
    <n v="303.5"/>
    <x v="34"/>
    <x v="39"/>
    <x v="0"/>
    <x v="1"/>
    <x v="1"/>
    <x v="0"/>
    <x v="3"/>
    <x v="5"/>
    <x v="5"/>
    <x v="0"/>
    <x v="3"/>
  </r>
  <r>
    <x v="827"/>
    <x v="6"/>
    <x v="9"/>
    <n v="60.8"/>
    <n v="304"/>
    <x v="34"/>
    <x v="39"/>
    <x v="1"/>
    <x v="0"/>
    <x v="1"/>
    <x v="0"/>
    <x v="3"/>
    <x v="5"/>
    <x v="5"/>
    <x v="1"/>
    <x v="3"/>
  </r>
  <r>
    <x v="828"/>
    <x v="6"/>
    <x v="9"/>
    <n v="64.599999999999994"/>
    <n v="323"/>
    <x v="34"/>
    <x v="36"/>
    <x v="2"/>
    <x v="3"/>
    <x v="0"/>
    <x v="0"/>
    <x v="3"/>
    <x v="3"/>
    <x v="5"/>
    <x v="2"/>
    <x v="3"/>
  </r>
  <r>
    <x v="829"/>
    <x v="8"/>
    <x v="0"/>
    <n v="21.9"/>
    <n v="21.9"/>
    <x v="34"/>
    <x v="31"/>
    <x v="1"/>
    <x v="1"/>
    <x v="2"/>
    <x v="0"/>
    <x v="4"/>
    <x v="2"/>
    <x v="5"/>
    <x v="1"/>
    <x v="4"/>
  </r>
  <r>
    <x v="830"/>
    <x v="4"/>
    <x v="4"/>
    <n v="33.4"/>
    <n v="400.79999999999995"/>
    <x v="34"/>
    <x v="38"/>
    <x v="2"/>
    <x v="0"/>
    <x v="0"/>
    <x v="0"/>
    <x v="23"/>
    <x v="1"/>
    <x v="5"/>
    <x v="2"/>
    <x v="23"/>
  </r>
  <r>
    <x v="831"/>
    <x v="2"/>
    <x v="0"/>
    <n v="51.7"/>
    <n v="51.7"/>
    <x v="34"/>
    <x v="36"/>
    <x v="0"/>
    <x v="0"/>
    <x v="0"/>
    <x v="0"/>
    <x v="6"/>
    <x v="3"/>
    <x v="5"/>
    <x v="0"/>
    <x v="6"/>
  </r>
  <r>
    <x v="832"/>
    <x v="1"/>
    <x v="12"/>
    <n v="84.9"/>
    <n v="339.6"/>
    <x v="34"/>
    <x v="36"/>
    <x v="2"/>
    <x v="1"/>
    <x v="1"/>
    <x v="0"/>
    <x v="6"/>
    <x v="3"/>
    <x v="5"/>
    <x v="2"/>
    <x v="6"/>
  </r>
  <r>
    <x v="833"/>
    <x v="1"/>
    <x v="5"/>
    <n v="62.3"/>
    <n v="685.3"/>
    <x v="34"/>
    <x v="36"/>
    <x v="2"/>
    <x v="2"/>
    <x v="2"/>
    <x v="0"/>
    <x v="7"/>
    <x v="3"/>
    <x v="5"/>
    <x v="2"/>
    <x v="7"/>
  </r>
  <r>
    <x v="834"/>
    <x v="4"/>
    <x v="0"/>
    <n v="50.7"/>
    <n v="50.7"/>
    <x v="34"/>
    <x v="38"/>
    <x v="1"/>
    <x v="2"/>
    <x v="2"/>
    <x v="0"/>
    <x v="8"/>
    <x v="1"/>
    <x v="5"/>
    <x v="1"/>
    <x v="8"/>
  </r>
  <r>
    <x v="835"/>
    <x v="18"/>
    <x v="0"/>
    <n v="39.5"/>
    <n v="39.5"/>
    <x v="34"/>
    <x v="36"/>
    <x v="1"/>
    <x v="4"/>
    <x v="1"/>
    <x v="0"/>
    <x v="8"/>
    <x v="3"/>
    <x v="5"/>
    <x v="1"/>
    <x v="8"/>
  </r>
  <r>
    <x v="836"/>
    <x v="12"/>
    <x v="2"/>
    <n v="30.9"/>
    <n v="92.699999999999989"/>
    <x v="34"/>
    <x v="36"/>
    <x v="0"/>
    <x v="4"/>
    <x v="2"/>
    <x v="0"/>
    <x v="8"/>
    <x v="3"/>
    <x v="5"/>
    <x v="0"/>
    <x v="8"/>
  </r>
  <r>
    <x v="837"/>
    <x v="1"/>
    <x v="3"/>
    <n v="36.4"/>
    <n v="254.79999999999998"/>
    <x v="34"/>
    <x v="31"/>
    <x v="2"/>
    <x v="0"/>
    <x v="2"/>
    <x v="0"/>
    <x v="8"/>
    <x v="2"/>
    <x v="5"/>
    <x v="2"/>
    <x v="8"/>
  </r>
  <r>
    <x v="838"/>
    <x v="6"/>
    <x v="8"/>
    <n v="105.6"/>
    <n v="844.8"/>
    <x v="34"/>
    <x v="42"/>
    <x v="2"/>
    <x v="0"/>
    <x v="0"/>
    <x v="0"/>
    <x v="8"/>
    <x v="14"/>
    <x v="5"/>
    <x v="2"/>
    <x v="8"/>
  </r>
  <r>
    <x v="839"/>
    <x v="8"/>
    <x v="1"/>
    <n v="22.1"/>
    <n v="44.2"/>
    <x v="34"/>
    <x v="36"/>
    <x v="2"/>
    <x v="0"/>
    <x v="2"/>
    <x v="0"/>
    <x v="17"/>
    <x v="3"/>
    <x v="5"/>
    <x v="2"/>
    <x v="17"/>
  </r>
  <r>
    <x v="840"/>
    <x v="0"/>
    <x v="2"/>
    <n v="22.6"/>
    <n v="67.800000000000011"/>
    <x v="34"/>
    <x v="36"/>
    <x v="2"/>
    <x v="2"/>
    <x v="0"/>
    <x v="0"/>
    <x v="17"/>
    <x v="3"/>
    <x v="5"/>
    <x v="2"/>
    <x v="17"/>
  </r>
  <r>
    <x v="841"/>
    <x v="10"/>
    <x v="13"/>
    <n v="26.3"/>
    <n v="157.80000000000001"/>
    <x v="34"/>
    <x v="32"/>
    <x v="2"/>
    <x v="2"/>
    <x v="0"/>
    <x v="0"/>
    <x v="9"/>
    <x v="7"/>
    <x v="5"/>
    <x v="2"/>
    <x v="9"/>
  </r>
  <r>
    <x v="842"/>
    <x v="1"/>
    <x v="12"/>
    <n v="37.799999999999997"/>
    <n v="151.19999999999999"/>
    <x v="34"/>
    <x v="36"/>
    <x v="2"/>
    <x v="0"/>
    <x v="2"/>
    <x v="0"/>
    <x v="11"/>
    <x v="3"/>
    <x v="5"/>
    <x v="2"/>
    <x v="11"/>
  </r>
  <r>
    <x v="843"/>
    <x v="6"/>
    <x v="14"/>
    <n v="96"/>
    <n v="1632"/>
    <x v="34"/>
    <x v="31"/>
    <x v="2"/>
    <x v="4"/>
    <x v="1"/>
    <x v="0"/>
    <x v="18"/>
    <x v="2"/>
    <x v="5"/>
    <x v="2"/>
    <x v="18"/>
  </r>
  <r>
    <x v="844"/>
    <x v="1"/>
    <x v="0"/>
    <n v="83.6"/>
    <n v="83.6"/>
    <x v="34"/>
    <x v="31"/>
    <x v="2"/>
    <x v="2"/>
    <x v="1"/>
    <x v="0"/>
    <x v="19"/>
    <x v="2"/>
    <x v="5"/>
    <x v="2"/>
    <x v="19"/>
  </r>
  <r>
    <x v="845"/>
    <x v="2"/>
    <x v="13"/>
    <n v="72.599999999999994"/>
    <n v="435.59999999999997"/>
    <x v="34"/>
    <x v="36"/>
    <x v="2"/>
    <x v="0"/>
    <x v="0"/>
    <x v="0"/>
    <x v="21"/>
    <x v="3"/>
    <x v="5"/>
    <x v="2"/>
    <x v="21"/>
  </r>
  <r>
    <x v="846"/>
    <x v="5"/>
    <x v="28"/>
    <n v="69.099999999999994"/>
    <n v="1382"/>
    <x v="35"/>
    <x v="40"/>
    <x v="1"/>
    <x v="0"/>
    <x v="2"/>
    <x v="0"/>
    <x v="21"/>
    <x v="4"/>
    <x v="5"/>
    <x v="1"/>
    <x v="21"/>
  </r>
  <r>
    <x v="847"/>
    <x v="4"/>
    <x v="1"/>
    <n v="22.6"/>
    <n v="45.2"/>
    <x v="35"/>
    <x v="31"/>
    <x v="2"/>
    <x v="1"/>
    <x v="2"/>
    <x v="0"/>
    <x v="21"/>
    <x v="1"/>
    <x v="5"/>
    <x v="2"/>
    <x v="21"/>
  </r>
  <r>
    <x v="848"/>
    <x v="6"/>
    <x v="1"/>
    <n v="45.3"/>
    <n v="90.6"/>
    <x v="35"/>
    <x v="35"/>
    <x v="1"/>
    <x v="4"/>
    <x v="2"/>
    <x v="0"/>
    <x v="21"/>
    <x v="5"/>
    <x v="5"/>
    <x v="1"/>
    <x v="21"/>
  </r>
  <r>
    <x v="849"/>
    <x v="2"/>
    <x v="1"/>
    <n v="115.1"/>
    <n v="230.2"/>
    <x v="35"/>
    <x v="38"/>
    <x v="2"/>
    <x v="1"/>
    <x v="0"/>
    <x v="0"/>
    <x v="1"/>
    <x v="3"/>
    <x v="5"/>
    <x v="2"/>
    <x v="1"/>
  </r>
  <r>
    <x v="850"/>
    <x v="18"/>
    <x v="12"/>
    <n v="79"/>
    <n v="316"/>
    <x v="35"/>
    <x v="31"/>
    <x v="1"/>
    <x v="2"/>
    <x v="4"/>
    <x v="0"/>
    <x v="1"/>
    <x v="1"/>
    <x v="5"/>
    <x v="1"/>
    <x v="1"/>
  </r>
  <r>
    <x v="851"/>
    <x v="6"/>
    <x v="9"/>
    <n v="52.8"/>
    <n v="264"/>
    <x v="35"/>
    <x v="38"/>
    <x v="2"/>
    <x v="0"/>
    <x v="0"/>
    <x v="0"/>
    <x v="42"/>
    <x v="3"/>
    <x v="5"/>
    <x v="2"/>
    <x v="42"/>
  </r>
  <r>
    <x v="852"/>
    <x v="8"/>
    <x v="1"/>
    <n v="34.1"/>
    <n v="68.2"/>
    <x v="35"/>
    <x v="38"/>
    <x v="1"/>
    <x v="3"/>
    <x v="2"/>
    <x v="0"/>
    <x v="44"/>
    <x v="3"/>
    <x v="5"/>
    <x v="1"/>
    <x v="44"/>
  </r>
  <r>
    <x v="853"/>
    <x v="6"/>
    <x v="9"/>
    <n v="107.9"/>
    <n v="539.5"/>
    <x v="35"/>
    <x v="36"/>
    <x v="2"/>
    <x v="0"/>
    <x v="2"/>
    <x v="0"/>
    <x v="50"/>
    <x v="7"/>
    <x v="5"/>
    <x v="2"/>
    <x v="50"/>
  </r>
  <r>
    <x v="854"/>
    <x v="8"/>
    <x v="15"/>
    <n v="48.5"/>
    <n v="630.5"/>
    <x v="35"/>
    <x v="36"/>
    <x v="1"/>
    <x v="2"/>
    <x v="2"/>
    <x v="0"/>
    <x v="3"/>
    <x v="7"/>
    <x v="5"/>
    <x v="1"/>
    <x v="3"/>
  </r>
  <r>
    <x v="855"/>
    <x v="5"/>
    <x v="2"/>
    <n v="34.700000000000003"/>
    <n v="104.10000000000001"/>
    <x v="35"/>
    <x v="38"/>
    <x v="0"/>
    <x v="4"/>
    <x v="1"/>
    <x v="0"/>
    <x v="3"/>
    <x v="3"/>
    <x v="5"/>
    <x v="0"/>
    <x v="3"/>
  </r>
  <r>
    <x v="856"/>
    <x v="8"/>
    <x v="0"/>
    <n v="16.8"/>
    <n v="16.8"/>
    <x v="35"/>
    <x v="31"/>
    <x v="2"/>
    <x v="3"/>
    <x v="0"/>
    <x v="0"/>
    <x v="3"/>
    <x v="1"/>
    <x v="5"/>
    <x v="2"/>
    <x v="3"/>
  </r>
  <r>
    <x v="857"/>
    <x v="8"/>
    <x v="13"/>
    <n v="18.3"/>
    <n v="109.80000000000001"/>
    <x v="35"/>
    <x v="39"/>
    <x v="2"/>
    <x v="0"/>
    <x v="0"/>
    <x v="0"/>
    <x v="3"/>
    <x v="2"/>
    <x v="5"/>
    <x v="2"/>
    <x v="3"/>
  </r>
  <r>
    <x v="858"/>
    <x v="18"/>
    <x v="2"/>
    <n v="55.9"/>
    <n v="167.7"/>
    <x v="35"/>
    <x v="40"/>
    <x v="1"/>
    <x v="3"/>
    <x v="1"/>
    <x v="0"/>
    <x v="3"/>
    <x v="4"/>
    <x v="5"/>
    <x v="1"/>
    <x v="3"/>
  </r>
  <r>
    <x v="859"/>
    <x v="8"/>
    <x v="2"/>
    <n v="39.200000000000003"/>
    <n v="117.60000000000001"/>
    <x v="35"/>
    <x v="31"/>
    <x v="2"/>
    <x v="0"/>
    <x v="1"/>
    <x v="0"/>
    <x v="3"/>
    <x v="1"/>
    <x v="5"/>
    <x v="2"/>
    <x v="3"/>
  </r>
  <r>
    <x v="860"/>
    <x v="15"/>
    <x v="12"/>
    <n v="66.5"/>
    <n v="266"/>
    <x v="35"/>
    <x v="31"/>
    <x v="0"/>
    <x v="3"/>
    <x v="1"/>
    <x v="0"/>
    <x v="3"/>
    <x v="1"/>
    <x v="5"/>
    <x v="0"/>
    <x v="3"/>
  </r>
  <r>
    <x v="861"/>
    <x v="6"/>
    <x v="13"/>
    <n v="52.1"/>
    <n v="312.60000000000002"/>
    <x v="35"/>
    <x v="31"/>
    <x v="1"/>
    <x v="1"/>
    <x v="1"/>
    <x v="0"/>
    <x v="16"/>
    <x v="1"/>
    <x v="5"/>
    <x v="1"/>
    <x v="16"/>
  </r>
  <r>
    <x v="862"/>
    <x v="8"/>
    <x v="1"/>
    <n v="19"/>
    <n v="38"/>
    <x v="35"/>
    <x v="38"/>
    <x v="1"/>
    <x v="4"/>
    <x v="2"/>
    <x v="0"/>
    <x v="6"/>
    <x v="3"/>
    <x v="5"/>
    <x v="1"/>
    <x v="6"/>
  </r>
  <r>
    <x v="863"/>
    <x v="7"/>
    <x v="2"/>
    <n v="84.8"/>
    <n v="254.39999999999998"/>
    <x v="35"/>
    <x v="31"/>
    <x v="2"/>
    <x v="2"/>
    <x v="0"/>
    <x v="0"/>
    <x v="8"/>
    <x v="1"/>
    <x v="5"/>
    <x v="2"/>
    <x v="8"/>
  </r>
  <r>
    <x v="864"/>
    <x v="2"/>
    <x v="12"/>
    <n v="63.9"/>
    <n v="255.6"/>
    <x v="35"/>
    <x v="39"/>
    <x v="2"/>
    <x v="0"/>
    <x v="0"/>
    <x v="0"/>
    <x v="8"/>
    <x v="2"/>
    <x v="5"/>
    <x v="2"/>
    <x v="8"/>
  </r>
  <r>
    <x v="865"/>
    <x v="2"/>
    <x v="2"/>
    <n v="65.5"/>
    <n v="196.5"/>
    <x v="35"/>
    <x v="36"/>
    <x v="2"/>
    <x v="1"/>
    <x v="1"/>
    <x v="0"/>
    <x v="8"/>
    <x v="7"/>
    <x v="5"/>
    <x v="2"/>
    <x v="8"/>
  </r>
  <r>
    <x v="866"/>
    <x v="12"/>
    <x v="1"/>
    <n v="116.2"/>
    <n v="232.4"/>
    <x v="35"/>
    <x v="40"/>
    <x v="1"/>
    <x v="3"/>
    <x v="0"/>
    <x v="0"/>
    <x v="17"/>
    <x v="4"/>
    <x v="5"/>
    <x v="1"/>
    <x v="17"/>
  </r>
  <r>
    <x v="867"/>
    <x v="10"/>
    <x v="12"/>
    <n v="22.9"/>
    <n v="91.6"/>
    <x v="35"/>
    <x v="31"/>
    <x v="2"/>
    <x v="2"/>
    <x v="1"/>
    <x v="0"/>
    <x v="38"/>
    <x v="1"/>
    <x v="5"/>
    <x v="2"/>
    <x v="38"/>
  </r>
  <r>
    <x v="868"/>
    <x v="10"/>
    <x v="2"/>
    <n v="53.7"/>
    <n v="161.10000000000002"/>
    <x v="35"/>
    <x v="38"/>
    <x v="1"/>
    <x v="0"/>
    <x v="4"/>
    <x v="0"/>
    <x v="18"/>
    <x v="3"/>
    <x v="5"/>
    <x v="1"/>
    <x v="18"/>
  </r>
  <r>
    <x v="869"/>
    <x v="6"/>
    <x v="9"/>
    <n v="43.2"/>
    <n v="216"/>
    <x v="35"/>
    <x v="31"/>
    <x v="2"/>
    <x v="0"/>
    <x v="0"/>
    <x v="0"/>
    <x v="19"/>
    <x v="1"/>
    <x v="5"/>
    <x v="2"/>
    <x v="19"/>
  </r>
  <r>
    <x v="870"/>
    <x v="1"/>
    <x v="2"/>
    <n v="84.5"/>
    <n v="253.5"/>
    <x v="35"/>
    <x v="31"/>
    <x v="1"/>
    <x v="2"/>
    <x v="2"/>
    <x v="0"/>
    <x v="51"/>
    <x v="1"/>
    <x v="5"/>
    <x v="1"/>
    <x v="51"/>
  </r>
  <r>
    <x v="871"/>
    <x v="3"/>
    <x v="1"/>
    <n v="42.2"/>
    <n v="84.4"/>
    <x v="35"/>
    <x v="38"/>
    <x v="2"/>
    <x v="1"/>
    <x v="2"/>
    <x v="0"/>
    <x v="1"/>
    <x v="3"/>
    <x v="5"/>
    <x v="2"/>
    <x v="1"/>
  </r>
  <r>
    <x v="872"/>
    <x v="2"/>
    <x v="13"/>
    <n v="94.7"/>
    <n v="568.20000000000005"/>
    <x v="35"/>
    <x v="39"/>
    <x v="2"/>
    <x v="1"/>
    <x v="2"/>
    <x v="0"/>
    <x v="2"/>
    <x v="2"/>
    <x v="5"/>
    <x v="2"/>
    <x v="2"/>
  </r>
  <r>
    <x v="873"/>
    <x v="8"/>
    <x v="16"/>
    <n v="16.7"/>
    <n v="300.59999999999997"/>
    <x v="35"/>
    <x v="43"/>
    <x v="2"/>
    <x v="0"/>
    <x v="2"/>
    <x v="0"/>
    <x v="2"/>
    <x v="13"/>
    <x v="5"/>
    <x v="2"/>
    <x v="2"/>
  </r>
  <r>
    <x v="874"/>
    <x v="2"/>
    <x v="1"/>
    <n v="83.6"/>
    <n v="167.2"/>
    <x v="35"/>
    <x v="40"/>
    <x v="2"/>
    <x v="1"/>
    <x v="0"/>
    <x v="0"/>
    <x v="3"/>
    <x v="4"/>
    <x v="5"/>
    <x v="2"/>
    <x v="3"/>
  </r>
  <r>
    <x v="875"/>
    <x v="7"/>
    <x v="13"/>
    <n v="33.6"/>
    <n v="201.60000000000002"/>
    <x v="36"/>
    <x v="31"/>
    <x v="2"/>
    <x v="3"/>
    <x v="0"/>
    <x v="0"/>
    <x v="3"/>
    <x v="3"/>
    <x v="5"/>
    <x v="2"/>
    <x v="3"/>
  </r>
  <r>
    <x v="876"/>
    <x v="7"/>
    <x v="1"/>
    <n v="64.7"/>
    <n v="129.4"/>
    <x v="36"/>
    <x v="39"/>
    <x v="1"/>
    <x v="1"/>
    <x v="2"/>
    <x v="0"/>
    <x v="3"/>
    <x v="1"/>
    <x v="5"/>
    <x v="1"/>
    <x v="3"/>
  </r>
  <r>
    <x v="877"/>
    <x v="0"/>
    <x v="2"/>
    <n v="15.7"/>
    <n v="47.099999999999994"/>
    <x v="36"/>
    <x v="44"/>
    <x v="2"/>
    <x v="0"/>
    <x v="0"/>
    <x v="0"/>
    <x v="3"/>
    <x v="4"/>
    <x v="5"/>
    <x v="2"/>
    <x v="3"/>
  </r>
  <r>
    <x v="878"/>
    <x v="15"/>
    <x v="13"/>
    <n v="49.4"/>
    <n v="296.39999999999998"/>
    <x v="36"/>
    <x v="38"/>
    <x v="1"/>
    <x v="1"/>
    <x v="0"/>
    <x v="0"/>
    <x v="3"/>
    <x v="7"/>
    <x v="5"/>
    <x v="1"/>
    <x v="3"/>
  </r>
  <r>
    <x v="879"/>
    <x v="10"/>
    <x v="13"/>
    <n v="37"/>
    <n v="222"/>
    <x v="36"/>
    <x v="35"/>
    <x v="2"/>
    <x v="1"/>
    <x v="2"/>
    <x v="0"/>
    <x v="3"/>
    <x v="2"/>
    <x v="5"/>
    <x v="2"/>
    <x v="3"/>
  </r>
  <r>
    <x v="880"/>
    <x v="2"/>
    <x v="1"/>
    <n v="83.7"/>
    <n v="167.4"/>
    <x v="36"/>
    <x v="39"/>
    <x v="2"/>
    <x v="3"/>
    <x v="2"/>
    <x v="0"/>
    <x v="3"/>
    <x v="1"/>
    <x v="5"/>
    <x v="2"/>
    <x v="3"/>
  </r>
  <r>
    <x v="881"/>
    <x v="1"/>
    <x v="9"/>
    <n v="35.1"/>
    <n v="175.5"/>
    <x v="36"/>
    <x v="31"/>
    <x v="2"/>
    <x v="0"/>
    <x v="0"/>
    <x v="0"/>
    <x v="3"/>
    <x v="3"/>
    <x v="5"/>
    <x v="2"/>
    <x v="3"/>
  </r>
  <r>
    <x v="882"/>
    <x v="16"/>
    <x v="8"/>
    <n v="74"/>
    <n v="592"/>
    <x v="36"/>
    <x v="31"/>
    <x v="2"/>
    <x v="4"/>
    <x v="0"/>
    <x v="0"/>
    <x v="37"/>
    <x v="3"/>
    <x v="5"/>
    <x v="2"/>
    <x v="37"/>
  </r>
  <r>
    <x v="883"/>
    <x v="6"/>
    <x v="25"/>
    <n v="55.5"/>
    <n v="1332"/>
    <x v="36"/>
    <x v="35"/>
    <x v="1"/>
    <x v="3"/>
    <x v="0"/>
    <x v="0"/>
    <x v="49"/>
    <x v="2"/>
    <x v="5"/>
    <x v="1"/>
    <x v="49"/>
  </r>
  <r>
    <x v="884"/>
    <x v="11"/>
    <x v="1"/>
    <n v="38.9"/>
    <n v="77.8"/>
    <x v="36"/>
    <x v="39"/>
    <x v="2"/>
    <x v="1"/>
    <x v="2"/>
    <x v="0"/>
    <x v="25"/>
    <x v="1"/>
    <x v="5"/>
    <x v="2"/>
    <x v="25"/>
  </r>
  <r>
    <x v="885"/>
    <x v="16"/>
    <x v="1"/>
    <n v="64.599999999999994"/>
    <n v="129.19999999999999"/>
    <x v="36"/>
    <x v="45"/>
    <x v="1"/>
    <x v="2"/>
    <x v="1"/>
    <x v="0"/>
    <x v="25"/>
    <x v="6"/>
    <x v="5"/>
    <x v="1"/>
    <x v="25"/>
  </r>
  <r>
    <x v="886"/>
    <x v="2"/>
    <x v="2"/>
    <n v="95.3"/>
    <n v="285.89999999999998"/>
    <x v="36"/>
    <x v="31"/>
    <x v="1"/>
    <x v="0"/>
    <x v="0"/>
    <x v="0"/>
    <x v="5"/>
    <x v="3"/>
    <x v="5"/>
    <x v="1"/>
    <x v="5"/>
  </r>
  <r>
    <x v="887"/>
    <x v="13"/>
    <x v="2"/>
    <n v="25.8"/>
    <n v="77.400000000000006"/>
    <x v="36"/>
    <x v="31"/>
    <x v="2"/>
    <x v="1"/>
    <x v="1"/>
    <x v="0"/>
    <x v="6"/>
    <x v="3"/>
    <x v="5"/>
    <x v="2"/>
    <x v="6"/>
  </r>
  <r>
    <x v="888"/>
    <x v="0"/>
    <x v="1"/>
    <n v="11.6"/>
    <n v="23.2"/>
    <x v="36"/>
    <x v="37"/>
    <x v="2"/>
    <x v="1"/>
    <x v="1"/>
    <x v="0"/>
    <x v="6"/>
    <x v="5"/>
    <x v="5"/>
    <x v="2"/>
    <x v="6"/>
  </r>
  <r>
    <x v="889"/>
    <x v="7"/>
    <x v="0"/>
    <n v="52.3"/>
    <n v="52.3"/>
    <x v="36"/>
    <x v="31"/>
    <x v="2"/>
    <x v="1"/>
    <x v="0"/>
    <x v="0"/>
    <x v="8"/>
    <x v="3"/>
    <x v="5"/>
    <x v="2"/>
    <x v="8"/>
  </r>
  <r>
    <x v="890"/>
    <x v="2"/>
    <x v="7"/>
    <n v="112.2"/>
    <n v="1122"/>
    <x v="36"/>
    <x v="31"/>
    <x v="2"/>
    <x v="1"/>
    <x v="1"/>
    <x v="0"/>
    <x v="8"/>
    <x v="3"/>
    <x v="5"/>
    <x v="2"/>
    <x v="8"/>
  </r>
  <r>
    <x v="891"/>
    <x v="4"/>
    <x v="9"/>
    <n v="34.6"/>
    <n v="173"/>
    <x v="36"/>
    <x v="39"/>
    <x v="1"/>
    <x v="2"/>
    <x v="0"/>
    <x v="0"/>
    <x v="8"/>
    <x v="1"/>
    <x v="5"/>
    <x v="1"/>
    <x v="8"/>
  </r>
  <r>
    <x v="892"/>
    <x v="14"/>
    <x v="12"/>
    <n v="20.100000000000001"/>
    <n v="80.400000000000006"/>
    <x v="36"/>
    <x v="44"/>
    <x v="1"/>
    <x v="1"/>
    <x v="2"/>
    <x v="0"/>
    <x v="8"/>
    <x v="4"/>
    <x v="5"/>
    <x v="1"/>
    <x v="8"/>
  </r>
  <r>
    <x v="893"/>
    <x v="2"/>
    <x v="12"/>
    <n v="56.4"/>
    <n v="225.6"/>
    <x v="36"/>
    <x v="39"/>
    <x v="2"/>
    <x v="2"/>
    <x v="0"/>
    <x v="0"/>
    <x v="10"/>
    <x v="1"/>
    <x v="5"/>
    <x v="2"/>
    <x v="10"/>
  </r>
  <r>
    <x v="894"/>
    <x v="13"/>
    <x v="11"/>
    <n v="55.3"/>
    <n v="497.7"/>
    <x v="36"/>
    <x v="39"/>
    <x v="2"/>
    <x v="1"/>
    <x v="4"/>
    <x v="0"/>
    <x v="11"/>
    <x v="1"/>
    <x v="5"/>
    <x v="2"/>
    <x v="11"/>
  </r>
  <r>
    <x v="895"/>
    <x v="2"/>
    <x v="31"/>
    <n v="75.5"/>
    <n v="2114"/>
    <x v="36"/>
    <x v="31"/>
    <x v="2"/>
    <x v="0"/>
    <x v="0"/>
    <x v="0"/>
    <x v="11"/>
    <x v="3"/>
    <x v="5"/>
    <x v="2"/>
    <x v="11"/>
  </r>
  <r>
    <x v="896"/>
    <x v="8"/>
    <x v="0"/>
    <n v="23.6"/>
    <n v="23.6"/>
    <x v="36"/>
    <x v="40"/>
    <x v="2"/>
    <x v="0"/>
    <x v="0"/>
    <x v="0"/>
    <x v="19"/>
    <x v="0"/>
    <x v="5"/>
    <x v="2"/>
    <x v="19"/>
  </r>
  <r>
    <x v="897"/>
    <x v="9"/>
    <x v="1"/>
    <n v="70.7"/>
    <n v="141.4"/>
    <x v="36"/>
    <x v="39"/>
    <x v="2"/>
    <x v="2"/>
    <x v="0"/>
    <x v="0"/>
    <x v="19"/>
    <x v="1"/>
    <x v="5"/>
    <x v="2"/>
    <x v="19"/>
  </r>
  <r>
    <x v="898"/>
    <x v="12"/>
    <x v="1"/>
    <n v="43.2"/>
    <n v="86.4"/>
    <x v="36"/>
    <x v="31"/>
    <x v="2"/>
    <x v="2"/>
    <x v="0"/>
    <x v="0"/>
    <x v="31"/>
    <x v="3"/>
    <x v="5"/>
    <x v="2"/>
    <x v="31"/>
  </r>
  <r>
    <x v="899"/>
    <x v="9"/>
    <x v="11"/>
    <n v="70"/>
    <n v="630"/>
    <x v="36"/>
    <x v="31"/>
    <x v="0"/>
    <x v="1"/>
    <x v="0"/>
    <x v="0"/>
    <x v="52"/>
    <x v="3"/>
    <x v="5"/>
    <x v="0"/>
    <x v="52"/>
  </r>
  <r>
    <x v="900"/>
    <x v="0"/>
    <x v="1"/>
    <n v="20.5"/>
    <n v="41"/>
    <x v="36"/>
    <x v="39"/>
    <x v="2"/>
    <x v="2"/>
    <x v="4"/>
    <x v="0"/>
    <x v="13"/>
    <x v="1"/>
    <x v="5"/>
    <x v="2"/>
    <x v="13"/>
  </r>
  <r>
    <x v="901"/>
    <x v="0"/>
    <x v="12"/>
    <n v="29.1"/>
    <n v="116.4"/>
    <x v="36"/>
    <x v="31"/>
    <x v="2"/>
    <x v="3"/>
    <x v="0"/>
    <x v="0"/>
    <x v="28"/>
    <x v="3"/>
    <x v="5"/>
    <x v="2"/>
    <x v="28"/>
  </r>
  <r>
    <x v="902"/>
    <x v="6"/>
    <x v="11"/>
    <n v="53.6"/>
    <n v="482.40000000000003"/>
    <x v="36"/>
    <x v="31"/>
    <x v="1"/>
    <x v="2"/>
    <x v="1"/>
    <x v="0"/>
    <x v="3"/>
    <x v="3"/>
    <x v="5"/>
    <x v="1"/>
    <x v="3"/>
  </r>
  <r>
    <x v="903"/>
    <x v="6"/>
    <x v="9"/>
    <n v="72.3"/>
    <n v="361.5"/>
    <x v="36"/>
    <x v="39"/>
    <x v="2"/>
    <x v="1"/>
    <x v="0"/>
    <x v="0"/>
    <x v="3"/>
    <x v="1"/>
    <x v="5"/>
    <x v="2"/>
    <x v="3"/>
  </r>
  <r>
    <x v="904"/>
    <x v="13"/>
    <x v="12"/>
    <n v="22.6"/>
    <n v="90.4"/>
    <x v="36"/>
    <x v="35"/>
    <x v="3"/>
    <x v="0"/>
    <x v="1"/>
    <x v="0"/>
    <x v="3"/>
    <x v="2"/>
    <x v="5"/>
    <x v="3"/>
    <x v="3"/>
  </r>
  <r>
    <x v="905"/>
    <x v="9"/>
    <x v="1"/>
    <n v="44.2"/>
    <n v="88.4"/>
    <x v="36"/>
    <x v="37"/>
    <x v="0"/>
    <x v="2"/>
    <x v="4"/>
    <x v="0"/>
    <x v="3"/>
    <x v="5"/>
    <x v="5"/>
    <x v="0"/>
    <x v="3"/>
  </r>
  <r>
    <x v="906"/>
    <x v="9"/>
    <x v="2"/>
    <n v="94.1"/>
    <n v="282.29999999999995"/>
    <x v="36"/>
    <x v="46"/>
    <x v="2"/>
    <x v="2"/>
    <x v="2"/>
    <x v="0"/>
    <x v="3"/>
    <x v="10"/>
    <x v="5"/>
    <x v="2"/>
    <x v="3"/>
  </r>
  <r>
    <x v="907"/>
    <x v="8"/>
    <x v="2"/>
    <n v="17.899999999999999"/>
    <n v="53.699999999999996"/>
    <x v="36"/>
    <x v="39"/>
    <x v="1"/>
    <x v="1"/>
    <x v="1"/>
    <x v="0"/>
    <x v="3"/>
    <x v="1"/>
    <x v="5"/>
    <x v="1"/>
    <x v="3"/>
  </r>
  <r>
    <x v="908"/>
    <x v="12"/>
    <x v="3"/>
    <n v="52.7"/>
    <n v="368.90000000000003"/>
    <x v="36"/>
    <x v="31"/>
    <x v="1"/>
    <x v="1"/>
    <x v="1"/>
    <x v="0"/>
    <x v="3"/>
    <x v="3"/>
    <x v="5"/>
    <x v="1"/>
    <x v="3"/>
  </r>
  <r>
    <x v="909"/>
    <x v="8"/>
    <x v="0"/>
    <n v="36.799999999999997"/>
    <n v="36.799999999999997"/>
    <x v="36"/>
    <x v="38"/>
    <x v="0"/>
    <x v="0"/>
    <x v="2"/>
    <x v="0"/>
    <x v="3"/>
    <x v="7"/>
    <x v="5"/>
    <x v="0"/>
    <x v="3"/>
  </r>
  <r>
    <x v="910"/>
    <x v="4"/>
    <x v="0"/>
    <n v="52.5"/>
    <n v="52.5"/>
    <x v="36"/>
    <x v="31"/>
    <x v="1"/>
    <x v="0"/>
    <x v="1"/>
    <x v="0"/>
    <x v="6"/>
    <x v="3"/>
    <x v="5"/>
    <x v="1"/>
    <x v="6"/>
  </r>
  <r>
    <x v="911"/>
    <x v="2"/>
    <x v="1"/>
    <n v="133.80000000000001"/>
    <n v="267.60000000000002"/>
    <x v="36"/>
    <x v="39"/>
    <x v="1"/>
    <x v="0"/>
    <x v="1"/>
    <x v="0"/>
    <x v="7"/>
    <x v="1"/>
    <x v="5"/>
    <x v="1"/>
    <x v="7"/>
  </r>
  <r>
    <x v="912"/>
    <x v="6"/>
    <x v="1"/>
    <n v="53.2"/>
    <n v="106.4"/>
    <x v="36"/>
    <x v="39"/>
    <x v="1"/>
    <x v="0"/>
    <x v="0"/>
    <x v="0"/>
    <x v="17"/>
    <x v="1"/>
    <x v="5"/>
    <x v="1"/>
    <x v="17"/>
  </r>
  <r>
    <x v="913"/>
    <x v="14"/>
    <x v="13"/>
    <n v="18.7"/>
    <n v="112.19999999999999"/>
    <x v="36"/>
    <x v="39"/>
    <x v="0"/>
    <x v="0"/>
    <x v="1"/>
    <x v="0"/>
    <x v="10"/>
    <x v="1"/>
    <x v="5"/>
    <x v="0"/>
    <x v="10"/>
  </r>
  <r>
    <x v="914"/>
    <x v="6"/>
    <x v="12"/>
    <n v="108.8"/>
    <n v="435.2"/>
    <x v="36"/>
    <x v="31"/>
    <x v="2"/>
    <x v="3"/>
    <x v="2"/>
    <x v="0"/>
    <x v="11"/>
    <x v="3"/>
    <x v="5"/>
    <x v="2"/>
    <x v="11"/>
  </r>
  <r>
    <x v="915"/>
    <x v="15"/>
    <x v="9"/>
    <n v="38.5"/>
    <n v="192.5"/>
    <x v="36"/>
    <x v="37"/>
    <x v="2"/>
    <x v="0"/>
    <x v="1"/>
    <x v="0"/>
    <x v="14"/>
    <x v="5"/>
    <x v="5"/>
    <x v="2"/>
    <x v="14"/>
  </r>
  <r>
    <x v="916"/>
    <x v="10"/>
    <x v="7"/>
    <n v="46.5"/>
    <n v="465"/>
    <x v="36"/>
    <x v="39"/>
    <x v="1"/>
    <x v="2"/>
    <x v="1"/>
    <x v="0"/>
    <x v="2"/>
    <x v="1"/>
    <x v="5"/>
    <x v="1"/>
    <x v="2"/>
  </r>
  <r>
    <x v="917"/>
    <x v="2"/>
    <x v="2"/>
    <n v="75.8"/>
    <n v="227.39999999999998"/>
    <x v="36"/>
    <x v="37"/>
    <x v="2"/>
    <x v="1"/>
    <x v="4"/>
    <x v="0"/>
    <x v="44"/>
    <x v="5"/>
    <x v="5"/>
    <x v="2"/>
    <x v="44"/>
  </r>
  <r>
    <x v="918"/>
    <x v="8"/>
    <x v="0"/>
    <n v="20.9"/>
    <n v="20.9"/>
    <x v="36"/>
    <x v="37"/>
    <x v="1"/>
    <x v="0"/>
    <x v="0"/>
    <x v="0"/>
    <x v="22"/>
    <x v="5"/>
    <x v="5"/>
    <x v="1"/>
    <x v="22"/>
  </r>
  <r>
    <x v="919"/>
    <x v="18"/>
    <x v="2"/>
    <n v="47.4"/>
    <n v="142.19999999999999"/>
    <x v="36"/>
    <x v="35"/>
    <x v="2"/>
    <x v="0"/>
    <x v="0"/>
    <x v="0"/>
    <x v="3"/>
    <x v="2"/>
    <x v="5"/>
    <x v="2"/>
    <x v="3"/>
  </r>
  <r>
    <x v="920"/>
    <x v="9"/>
    <x v="1"/>
    <n v="53.8"/>
    <n v="107.6"/>
    <x v="36"/>
    <x v="31"/>
    <x v="0"/>
    <x v="0"/>
    <x v="1"/>
    <x v="0"/>
    <x v="3"/>
    <x v="3"/>
    <x v="5"/>
    <x v="0"/>
    <x v="3"/>
  </r>
  <r>
    <x v="921"/>
    <x v="8"/>
    <x v="2"/>
    <n v="24.6"/>
    <n v="73.800000000000011"/>
    <x v="36"/>
    <x v="39"/>
    <x v="3"/>
    <x v="1"/>
    <x v="2"/>
    <x v="0"/>
    <x v="3"/>
    <x v="1"/>
    <x v="5"/>
    <x v="3"/>
    <x v="3"/>
  </r>
  <r>
    <x v="922"/>
    <x v="9"/>
    <x v="2"/>
    <n v="70.900000000000006"/>
    <n v="212.70000000000002"/>
    <x v="36"/>
    <x v="40"/>
    <x v="2"/>
    <x v="2"/>
    <x v="2"/>
    <x v="0"/>
    <x v="3"/>
    <x v="0"/>
    <x v="5"/>
    <x v="2"/>
    <x v="3"/>
  </r>
  <r>
    <x v="923"/>
    <x v="17"/>
    <x v="2"/>
    <n v="31.9"/>
    <n v="95.699999999999989"/>
    <x v="36"/>
    <x v="39"/>
    <x v="2"/>
    <x v="2"/>
    <x v="2"/>
    <x v="0"/>
    <x v="3"/>
    <x v="1"/>
    <x v="5"/>
    <x v="2"/>
    <x v="3"/>
  </r>
  <r>
    <x v="924"/>
    <x v="0"/>
    <x v="1"/>
    <n v="20.399999999999999"/>
    <n v="40.799999999999997"/>
    <x v="36"/>
    <x v="37"/>
    <x v="1"/>
    <x v="3"/>
    <x v="2"/>
    <x v="0"/>
    <x v="3"/>
    <x v="5"/>
    <x v="5"/>
    <x v="1"/>
    <x v="3"/>
  </r>
  <r>
    <x v="925"/>
    <x v="8"/>
    <x v="1"/>
    <n v="18.600000000000001"/>
    <n v="37.200000000000003"/>
    <x v="36"/>
    <x v="39"/>
    <x v="0"/>
    <x v="0"/>
    <x v="1"/>
    <x v="0"/>
    <x v="3"/>
    <x v="1"/>
    <x v="5"/>
    <x v="0"/>
    <x v="3"/>
  </r>
  <r>
    <x v="926"/>
    <x v="4"/>
    <x v="9"/>
    <n v="48.3"/>
    <n v="241.5"/>
    <x v="36"/>
    <x v="39"/>
    <x v="2"/>
    <x v="1"/>
    <x v="0"/>
    <x v="0"/>
    <x v="3"/>
    <x v="1"/>
    <x v="5"/>
    <x v="2"/>
    <x v="3"/>
  </r>
  <r>
    <x v="927"/>
    <x v="0"/>
    <x v="12"/>
    <n v="27.7"/>
    <n v="110.8"/>
    <x v="36"/>
    <x v="39"/>
    <x v="2"/>
    <x v="0"/>
    <x v="0"/>
    <x v="0"/>
    <x v="3"/>
    <x v="1"/>
    <x v="5"/>
    <x v="2"/>
    <x v="3"/>
  </r>
  <r>
    <x v="928"/>
    <x v="4"/>
    <x v="9"/>
    <n v="22.5"/>
    <n v="112.5"/>
    <x v="36"/>
    <x v="39"/>
    <x v="2"/>
    <x v="4"/>
    <x v="2"/>
    <x v="0"/>
    <x v="3"/>
    <x v="1"/>
    <x v="5"/>
    <x v="2"/>
    <x v="3"/>
  </r>
  <r>
    <x v="929"/>
    <x v="17"/>
    <x v="9"/>
    <n v="21.6"/>
    <n v="108"/>
    <x v="36"/>
    <x v="42"/>
    <x v="2"/>
    <x v="0"/>
    <x v="1"/>
    <x v="0"/>
    <x v="3"/>
    <x v="9"/>
    <x v="5"/>
    <x v="2"/>
    <x v="3"/>
  </r>
  <r>
    <x v="930"/>
    <x v="10"/>
    <x v="3"/>
    <n v="26.3"/>
    <n v="184.1"/>
    <x v="36"/>
    <x v="38"/>
    <x v="2"/>
    <x v="2"/>
    <x v="1"/>
    <x v="0"/>
    <x v="3"/>
    <x v="7"/>
    <x v="5"/>
    <x v="2"/>
    <x v="3"/>
  </r>
  <r>
    <x v="931"/>
    <x v="6"/>
    <x v="3"/>
    <n v="103"/>
    <n v="721"/>
    <x v="37"/>
    <x v="39"/>
    <x v="1"/>
    <x v="0"/>
    <x v="2"/>
    <x v="0"/>
    <x v="6"/>
    <x v="3"/>
    <x v="5"/>
    <x v="1"/>
    <x v="6"/>
  </r>
  <r>
    <x v="932"/>
    <x v="5"/>
    <x v="20"/>
    <n v="46.6"/>
    <n v="699"/>
    <x v="37"/>
    <x v="39"/>
    <x v="2"/>
    <x v="0"/>
    <x v="1"/>
    <x v="0"/>
    <x v="6"/>
    <x v="3"/>
    <x v="5"/>
    <x v="2"/>
    <x v="6"/>
  </r>
  <r>
    <x v="933"/>
    <x v="0"/>
    <x v="9"/>
    <n v="32.200000000000003"/>
    <n v="161"/>
    <x v="37"/>
    <x v="37"/>
    <x v="2"/>
    <x v="0"/>
    <x v="2"/>
    <x v="0"/>
    <x v="36"/>
    <x v="2"/>
    <x v="5"/>
    <x v="2"/>
    <x v="36"/>
  </r>
  <r>
    <x v="934"/>
    <x v="8"/>
    <x v="2"/>
    <n v="22"/>
    <n v="66"/>
    <x v="37"/>
    <x v="42"/>
    <x v="1"/>
    <x v="1"/>
    <x v="0"/>
    <x v="0"/>
    <x v="7"/>
    <x v="6"/>
    <x v="5"/>
    <x v="1"/>
    <x v="7"/>
  </r>
  <r>
    <x v="935"/>
    <x v="0"/>
    <x v="1"/>
    <n v="25.2"/>
    <n v="50.4"/>
    <x v="37"/>
    <x v="40"/>
    <x v="2"/>
    <x v="0"/>
    <x v="0"/>
    <x v="0"/>
    <x v="7"/>
    <x v="5"/>
    <x v="5"/>
    <x v="2"/>
    <x v="7"/>
  </r>
  <r>
    <x v="936"/>
    <x v="1"/>
    <x v="13"/>
    <n v="68.7"/>
    <n v="412.20000000000005"/>
    <x v="37"/>
    <x v="35"/>
    <x v="1"/>
    <x v="4"/>
    <x v="0"/>
    <x v="0"/>
    <x v="8"/>
    <x v="1"/>
    <x v="5"/>
    <x v="1"/>
    <x v="8"/>
  </r>
  <r>
    <x v="937"/>
    <x v="0"/>
    <x v="2"/>
    <n v="22.2"/>
    <n v="66.599999999999994"/>
    <x v="37"/>
    <x v="37"/>
    <x v="1"/>
    <x v="2"/>
    <x v="2"/>
    <x v="0"/>
    <x v="8"/>
    <x v="2"/>
    <x v="5"/>
    <x v="1"/>
    <x v="8"/>
  </r>
  <r>
    <x v="938"/>
    <x v="1"/>
    <x v="3"/>
    <n v="36"/>
    <n v="252"/>
    <x v="37"/>
    <x v="39"/>
    <x v="2"/>
    <x v="1"/>
    <x v="0"/>
    <x v="0"/>
    <x v="8"/>
    <x v="3"/>
    <x v="5"/>
    <x v="2"/>
    <x v="8"/>
  </r>
  <r>
    <x v="939"/>
    <x v="18"/>
    <x v="0"/>
    <n v="50.6"/>
    <n v="50.6"/>
    <x v="37"/>
    <x v="35"/>
    <x v="2"/>
    <x v="0"/>
    <x v="1"/>
    <x v="0"/>
    <x v="8"/>
    <x v="1"/>
    <x v="5"/>
    <x v="2"/>
    <x v="8"/>
  </r>
  <r>
    <x v="940"/>
    <x v="15"/>
    <x v="1"/>
    <n v="44.9"/>
    <n v="89.8"/>
    <x v="37"/>
    <x v="35"/>
    <x v="1"/>
    <x v="0"/>
    <x v="1"/>
    <x v="0"/>
    <x v="8"/>
    <x v="1"/>
    <x v="5"/>
    <x v="1"/>
    <x v="8"/>
  </r>
  <r>
    <x v="941"/>
    <x v="6"/>
    <x v="2"/>
    <n v="71.599999999999994"/>
    <n v="214.79999999999998"/>
    <x v="37"/>
    <x v="40"/>
    <x v="1"/>
    <x v="1"/>
    <x v="2"/>
    <x v="0"/>
    <x v="10"/>
    <x v="5"/>
    <x v="5"/>
    <x v="1"/>
    <x v="10"/>
  </r>
  <r>
    <x v="942"/>
    <x v="6"/>
    <x v="13"/>
    <n v="51.5"/>
    <n v="309"/>
    <x v="37"/>
    <x v="35"/>
    <x v="0"/>
    <x v="4"/>
    <x v="0"/>
    <x v="0"/>
    <x v="11"/>
    <x v="1"/>
    <x v="5"/>
    <x v="0"/>
    <x v="11"/>
  </r>
  <r>
    <x v="943"/>
    <x v="7"/>
    <x v="9"/>
    <n v="55.5"/>
    <n v="277.5"/>
    <x v="37"/>
    <x v="39"/>
    <x v="1"/>
    <x v="1"/>
    <x v="1"/>
    <x v="0"/>
    <x v="11"/>
    <x v="3"/>
    <x v="5"/>
    <x v="1"/>
    <x v="11"/>
  </r>
  <r>
    <x v="944"/>
    <x v="6"/>
    <x v="0"/>
    <n v="51.7"/>
    <n v="51.7"/>
    <x v="37"/>
    <x v="47"/>
    <x v="1"/>
    <x v="2"/>
    <x v="0"/>
    <x v="0"/>
    <x v="19"/>
    <x v="12"/>
    <x v="5"/>
    <x v="1"/>
    <x v="19"/>
  </r>
  <r>
    <x v="945"/>
    <x v="8"/>
    <x v="38"/>
    <n v="45.5"/>
    <n v="955.5"/>
    <x v="37"/>
    <x v="39"/>
    <x v="2"/>
    <x v="3"/>
    <x v="2"/>
    <x v="0"/>
    <x v="19"/>
    <x v="3"/>
    <x v="5"/>
    <x v="2"/>
    <x v="19"/>
  </r>
  <r>
    <x v="946"/>
    <x v="8"/>
    <x v="1"/>
    <n v="33.799999999999997"/>
    <n v="67.599999999999994"/>
    <x v="37"/>
    <x v="45"/>
    <x v="2"/>
    <x v="3"/>
    <x v="0"/>
    <x v="0"/>
    <x v="20"/>
    <x v="4"/>
    <x v="5"/>
    <x v="2"/>
    <x v="20"/>
  </r>
  <r>
    <x v="947"/>
    <x v="3"/>
    <x v="2"/>
    <n v="76.5"/>
    <n v="229.5"/>
    <x v="37"/>
    <x v="39"/>
    <x v="2"/>
    <x v="0"/>
    <x v="1"/>
    <x v="0"/>
    <x v="21"/>
    <x v="3"/>
    <x v="5"/>
    <x v="2"/>
    <x v="21"/>
  </r>
  <r>
    <x v="948"/>
    <x v="9"/>
    <x v="2"/>
    <n v="42.6"/>
    <n v="127.80000000000001"/>
    <x v="37"/>
    <x v="45"/>
    <x v="2"/>
    <x v="2"/>
    <x v="2"/>
    <x v="0"/>
    <x v="2"/>
    <x v="4"/>
    <x v="5"/>
    <x v="2"/>
    <x v="2"/>
  </r>
  <r>
    <x v="949"/>
    <x v="6"/>
    <x v="2"/>
    <n v="44.1"/>
    <n v="132.30000000000001"/>
    <x v="37"/>
    <x v="35"/>
    <x v="2"/>
    <x v="1"/>
    <x v="1"/>
    <x v="0"/>
    <x v="22"/>
    <x v="1"/>
    <x v="5"/>
    <x v="2"/>
    <x v="22"/>
  </r>
  <r>
    <x v="950"/>
    <x v="8"/>
    <x v="1"/>
    <n v="40.9"/>
    <n v="81.8"/>
    <x v="37"/>
    <x v="40"/>
    <x v="1"/>
    <x v="0"/>
    <x v="0"/>
    <x v="0"/>
    <x v="3"/>
    <x v="5"/>
    <x v="5"/>
    <x v="1"/>
    <x v="3"/>
  </r>
  <r>
    <x v="951"/>
    <x v="9"/>
    <x v="2"/>
    <n v="49.1"/>
    <n v="147.30000000000001"/>
    <x v="37"/>
    <x v="40"/>
    <x v="2"/>
    <x v="3"/>
    <x v="1"/>
    <x v="0"/>
    <x v="3"/>
    <x v="5"/>
    <x v="5"/>
    <x v="2"/>
    <x v="3"/>
  </r>
  <r>
    <x v="952"/>
    <x v="18"/>
    <x v="0"/>
    <n v="85.3"/>
    <n v="85.3"/>
    <x v="37"/>
    <x v="40"/>
    <x v="1"/>
    <x v="1"/>
    <x v="1"/>
    <x v="0"/>
    <x v="3"/>
    <x v="5"/>
    <x v="5"/>
    <x v="1"/>
    <x v="3"/>
  </r>
  <r>
    <x v="953"/>
    <x v="6"/>
    <x v="12"/>
    <n v="43.1"/>
    <n v="172.4"/>
    <x v="38"/>
    <x v="40"/>
    <x v="1"/>
    <x v="0"/>
    <x v="0"/>
    <x v="0"/>
    <x v="3"/>
    <x v="2"/>
    <x v="5"/>
    <x v="1"/>
    <x v="3"/>
  </r>
  <r>
    <x v="954"/>
    <x v="4"/>
    <x v="12"/>
    <n v="46.2"/>
    <n v="184.8"/>
    <x v="38"/>
    <x v="35"/>
    <x v="1"/>
    <x v="2"/>
    <x v="0"/>
    <x v="0"/>
    <x v="3"/>
    <x v="3"/>
    <x v="5"/>
    <x v="1"/>
    <x v="3"/>
  </r>
  <r>
    <x v="955"/>
    <x v="1"/>
    <x v="0"/>
    <n v="74.400000000000006"/>
    <n v="74.400000000000006"/>
    <x v="38"/>
    <x v="37"/>
    <x v="1"/>
    <x v="4"/>
    <x v="2"/>
    <x v="0"/>
    <x v="3"/>
    <x v="1"/>
    <x v="5"/>
    <x v="1"/>
    <x v="3"/>
  </r>
  <r>
    <x v="956"/>
    <x v="17"/>
    <x v="1"/>
    <n v="51.2"/>
    <n v="102.4"/>
    <x v="38"/>
    <x v="35"/>
    <x v="1"/>
    <x v="1"/>
    <x v="0"/>
    <x v="0"/>
    <x v="3"/>
    <x v="3"/>
    <x v="5"/>
    <x v="1"/>
    <x v="3"/>
  </r>
  <r>
    <x v="957"/>
    <x v="14"/>
    <x v="12"/>
    <n v="11.8"/>
    <n v="47.2"/>
    <x v="38"/>
    <x v="39"/>
    <x v="1"/>
    <x v="2"/>
    <x v="0"/>
    <x v="0"/>
    <x v="3"/>
    <x v="7"/>
    <x v="5"/>
    <x v="1"/>
    <x v="3"/>
  </r>
  <r>
    <x v="958"/>
    <x v="10"/>
    <x v="6"/>
    <n v="40.799999999999997"/>
    <n v="1101.5999999999999"/>
    <x v="38"/>
    <x v="35"/>
    <x v="2"/>
    <x v="3"/>
    <x v="2"/>
    <x v="0"/>
    <x v="3"/>
    <x v="3"/>
    <x v="5"/>
    <x v="2"/>
    <x v="3"/>
  </r>
  <r>
    <x v="959"/>
    <x v="8"/>
    <x v="0"/>
    <n v="24.7"/>
    <n v="24.7"/>
    <x v="38"/>
    <x v="37"/>
    <x v="2"/>
    <x v="2"/>
    <x v="1"/>
    <x v="0"/>
    <x v="3"/>
    <x v="1"/>
    <x v="5"/>
    <x v="2"/>
    <x v="3"/>
  </r>
  <r>
    <x v="960"/>
    <x v="8"/>
    <x v="3"/>
    <n v="22.1"/>
    <n v="154.70000000000002"/>
    <x v="38"/>
    <x v="39"/>
    <x v="2"/>
    <x v="2"/>
    <x v="4"/>
    <x v="0"/>
    <x v="3"/>
    <x v="7"/>
    <x v="5"/>
    <x v="2"/>
    <x v="3"/>
  </r>
  <r>
    <x v="961"/>
    <x v="8"/>
    <x v="0"/>
    <n v="18.100000000000001"/>
    <n v="18.100000000000001"/>
    <x v="38"/>
    <x v="44"/>
    <x v="1"/>
    <x v="3"/>
    <x v="2"/>
    <x v="0"/>
    <x v="3"/>
    <x v="5"/>
    <x v="5"/>
    <x v="1"/>
    <x v="3"/>
  </r>
  <r>
    <x v="962"/>
    <x v="17"/>
    <x v="1"/>
    <n v="58.8"/>
    <n v="117.6"/>
    <x v="38"/>
    <x v="40"/>
    <x v="2"/>
    <x v="0"/>
    <x v="0"/>
    <x v="0"/>
    <x v="25"/>
    <x v="2"/>
    <x v="5"/>
    <x v="2"/>
    <x v="25"/>
  </r>
  <r>
    <x v="963"/>
    <x v="18"/>
    <x v="1"/>
    <n v="30.8"/>
    <n v="61.6"/>
    <x v="38"/>
    <x v="35"/>
    <x v="2"/>
    <x v="0"/>
    <x v="0"/>
    <x v="0"/>
    <x v="6"/>
    <x v="3"/>
    <x v="5"/>
    <x v="2"/>
    <x v="6"/>
  </r>
  <r>
    <x v="964"/>
    <x v="0"/>
    <x v="1"/>
    <n v="12"/>
    <n v="24"/>
    <x v="38"/>
    <x v="44"/>
    <x v="2"/>
    <x v="0"/>
    <x v="0"/>
    <x v="0"/>
    <x v="6"/>
    <x v="5"/>
    <x v="5"/>
    <x v="2"/>
    <x v="6"/>
  </r>
  <r>
    <x v="965"/>
    <x v="0"/>
    <x v="12"/>
    <n v="13.6"/>
    <n v="54.4"/>
    <x v="38"/>
    <x v="40"/>
    <x v="1"/>
    <x v="2"/>
    <x v="0"/>
    <x v="0"/>
    <x v="6"/>
    <x v="2"/>
    <x v="5"/>
    <x v="1"/>
    <x v="6"/>
  </r>
  <r>
    <x v="966"/>
    <x v="0"/>
    <x v="0"/>
    <n v="17.899999999999999"/>
    <n v="17.899999999999999"/>
    <x v="38"/>
    <x v="35"/>
    <x v="1"/>
    <x v="3"/>
    <x v="0"/>
    <x v="0"/>
    <x v="6"/>
    <x v="3"/>
    <x v="5"/>
    <x v="1"/>
    <x v="6"/>
  </r>
  <r>
    <x v="967"/>
    <x v="9"/>
    <x v="1"/>
    <n v="38.6"/>
    <n v="77.2"/>
    <x v="38"/>
    <x v="44"/>
    <x v="2"/>
    <x v="4"/>
    <x v="0"/>
    <x v="0"/>
    <x v="7"/>
    <x v="5"/>
    <x v="5"/>
    <x v="2"/>
    <x v="7"/>
  </r>
  <r>
    <x v="968"/>
    <x v="5"/>
    <x v="9"/>
    <n v="32.700000000000003"/>
    <n v="163.5"/>
    <x v="38"/>
    <x v="35"/>
    <x v="1"/>
    <x v="2"/>
    <x v="2"/>
    <x v="0"/>
    <x v="8"/>
    <x v="3"/>
    <x v="5"/>
    <x v="1"/>
    <x v="8"/>
  </r>
  <r>
    <x v="969"/>
    <x v="3"/>
    <x v="1"/>
    <n v="111.4"/>
    <n v="222.8"/>
    <x v="38"/>
    <x v="35"/>
    <x v="2"/>
    <x v="1"/>
    <x v="0"/>
    <x v="0"/>
    <x v="8"/>
    <x v="3"/>
    <x v="5"/>
    <x v="2"/>
    <x v="8"/>
  </r>
  <r>
    <x v="970"/>
    <x v="2"/>
    <x v="13"/>
    <n v="80.3"/>
    <n v="481.79999999999995"/>
    <x v="38"/>
    <x v="37"/>
    <x v="2"/>
    <x v="1"/>
    <x v="0"/>
    <x v="0"/>
    <x v="8"/>
    <x v="1"/>
    <x v="5"/>
    <x v="2"/>
    <x v="8"/>
  </r>
  <r>
    <x v="971"/>
    <x v="6"/>
    <x v="1"/>
    <n v="58.9"/>
    <n v="117.8"/>
    <x v="38"/>
    <x v="35"/>
    <x v="1"/>
    <x v="1"/>
    <x v="0"/>
    <x v="0"/>
    <x v="8"/>
    <x v="3"/>
    <x v="5"/>
    <x v="1"/>
    <x v="8"/>
  </r>
  <r>
    <x v="972"/>
    <x v="6"/>
    <x v="2"/>
    <n v="51.9"/>
    <n v="155.69999999999999"/>
    <x v="38"/>
    <x v="37"/>
    <x v="2"/>
    <x v="1"/>
    <x v="4"/>
    <x v="0"/>
    <x v="8"/>
    <x v="1"/>
    <x v="5"/>
    <x v="2"/>
    <x v="8"/>
  </r>
  <r>
    <x v="973"/>
    <x v="2"/>
    <x v="2"/>
    <n v="50.3"/>
    <n v="150.89999999999998"/>
    <x v="38"/>
    <x v="35"/>
    <x v="1"/>
    <x v="2"/>
    <x v="0"/>
    <x v="0"/>
    <x v="17"/>
    <x v="3"/>
    <x v="5"/>
    <x v="1"/>
    <x v="17"/>
  </r>
  <r>
    <x v="974"/>
    <x v="11"/>
    <x v="13"/>
    <n v="45"/>
    <n v="270"/>
    <x v="38"/>
    <x v="42"/>
    <x v="2"/>
    <x v="3"/>
    <x v="0"/>
    <x v="0"/>
    <x v="9"/>
    <x v="4"/>
    <x v="5"/>
    <x v="2"/>
    <x v="9"/>
  </r>
  <r>
    <x v="975"/>
    <x v="10"/>
    <x v="13"/>
    <n v="44.7"/>
    <n v="268.20000000000005"/>
    <x v="38"/>
    <x v="37"/>
    <x v="2"/>
    <x v="2"/>
    <x v="0"/>
    <x v="0"/>
    <x v="11"/>
    <x v="1"/>
    <x v="5"/>
    <x v="2"/>
    <x v="11"/>
  </r>
  <r>
    <x v="976"/>
    <x v="18"/>
    <x v="20"/>
    <n v="33"/>
    <n v="495"/>
    <x v="38"/>
    <x v="35"/>
    <x v="2"/>
    <x v="2"/>
    <x v="0"/>
    <x v="0"/>
    <x v="11"/>
    <x v="3"/>
    <x v="5"/>
    <x v="2"/>
    <x v="11"/>
  </r>
  <r>
    <x v="977"/>
    <x v="1"/>
    <x v="9"/>
    <n v="44.9"/>
    <n v="224.5"/>
    <x v="38"/>
    <x v="40"/>
    <x v="2"/>
    <x v="2"/>
    <x v="2"/>
    <x v="0"/>
    <x v="18"/>
    <x v="2"/>
    <x v="5"/>
    <x v="2"/>
    <x v="18"/>
  </r>
  <r>
    <x v="978"/>
    <x v="10"/>
    <x v="1"/>
    <n v="34.6"/>
    <n v="69.2"/>
    <x v="38"/>
    <x v="44"/>
    <x v="2"/>
    <x v="0"/>
    <x v="1"/>
    <x v="0"/>
    <x v="19"/>
    <x v="5"/>
    <x v="5"/>
    <x v="2"/>
    <x v="19"/>
  </r>
  <r>
    <x v="979"/>
    <x v="7"/>
    <x v="3"/>
    <n v="47.1"/>
    <n v="329.7"/>
    <x v="38"/>
    <x v="45"/>
    <x v="2"/>
    <x v="0"/>
    <x v="0"/>
    <x v="0"/>
    <x v="13"/>
    <x v="0"/>
    <x v="5"/>
    <x v="2"/>
    <x v="13"/>
  </r>
  <r>
    <x v="980"/>
    <x v="4"/>
    <x v="9"/>
    <n v="26.1"/>
    <n v="130.5"/>
    <x v="38"/>
    <x v="45"/>
    <x v="1"/>
    <x v="0"/>
    <x v="2"/>
    <x v="0"/>
    <x v="21"/>
    <x v="0"/>
    <x v="5"/>
    <x v="1"/>
    <x v="21"/>
  </r>
  <r>
    <x v="981"/>
    <x v="12"/>
    <x v="9"/>
    <n v="66.8"/>
    <n v="334"/>
    <x v="38"/>
    <x v="40"/>
    <x v="2"/>
    <x v="0"/>
    <x v="0"/>
    <x v="0"/>
    <x v="21"/>
    <x v="2"/>
    <x v="5"/>
    <x v="2"/>
    <x v="21"/>
  </r>
  <r>
    <x v="982"/>
    <x v="2"/>
    <x v="1"/>
    <n v="167.9"/>
    <n v="335.8"/>
    <x v="38"/>
    <x v="35"/>
    <x v="2"/>
    <x v="3"/>
    <x v="2"/>
    <x v="0"/>
    <x v="21"/>
    <x v="3"/>
    <x v="5"/>
    <x v="2"/>
    <x v="21"/>
  </r>
  <r>
    <x v="983"/>
    <x v="10"/>
    <x v="11"/>
    <n v="34.6"/>
    <n v="311.40000000000003"/>
    <x v="38"/>
    <x v="35"/>
    <x v="2"/>
    <x v="2"/>
    <x v="1"/>
    <x v="0"/>
    <x v="21"/>
    <x v="3"/>
    <x v="5"/>
    <x v="2"/>
    <x v="21"/>
  </r>
  <r>
    <x v="984"/>
    <x v="8"/>
    <x v="2"/>
    <n v="35.1"/>
    <n v="105.30000000000001"/>
    <x v="39"/>
    <x v="45"/>
    <x v="1"/>
    <x v="4"/>
    <x v="2"/>
    <x v="0"/>
    <x v="1"/>
    <x v="5"/>
    <x v="6"/>
    <x v="1"/>
    <x v="1"/>
  </r>
  <r>
    <x v="985"/>
    <x v="6"/>
    <x v="12"/>
    <n v="104.5"/>
    <n v="418"/>
    <x v="39"/>
    <x v="37"/>
    <x v="1"/>
    <x v="1"/>
    <x v="1"/>
    <x v="0"/>
    <x v="1"/>
    <x v="3"/>
    <x v="6"/>
    <x v="1"/>
    <x v="1"/>
  </r>
  <r>
    <x v="986"/>
    <x v="8"/>
    <x v="0"/>
    <n v="37.9"/>
    <n v="37.9"/>
    <x v="39"/>
    <x v="40"/>
    <x v="0"/>
    <x v="1"/>
    <x v="2"/>
    <x v="0"/>
    <x v="2"/>
    <x v="1"/>
    <x v="6"/>
    <x v="0"/>
    <x v="2"/>
  </r>
  <r>
    <x v="987"/>
    <x v="4"/>
    <x v="2"/>
    <n v="25.5"/>
    <n v="76.5"/>
    <x v="39"/>
    <x v="44"/>
    <x v="1"/>
    <x v="3"/>
    <x v="0"/>
    <x v="0"/>
    <x v="2"/>
    <x v="2"/>
    <x v="6"/>
    <x v="1"/>
    <x v="2"/>
  </r>
  <r>
    <x v="988"/>
    <x v="0"/>
    <x v="2"/>
    <n v="32"/>
    <n v="96"/>
    <x v="39"/>
    <x v="45"/>
    <x v="2"/>
    <x v="1"/>
    <x v="0"/>
    <x v="0"/>
    <x v="22"/>
    <x v="5"/>
    <x v="6"/>
    <x v="2"/>
    <x v="22"/>
  </r>
  <r>
    <x v="989"/>
    <x v="1"/>
    <x v="0"/>
    <n v="47.1"/>
    <n v="47.1"/>
    <x v="39"/>
    <x v="37"/>
    <x v="2"/>
    <x v="0"/>
    <x v="0"/>
    <x v="0"/>
    <x v="34"/>
    <x v="3"/>
    <x v="6"/>
    <x v="2"/>
    <x v="34"/>
  </r>
  <r>
    <x v="990"/>
    <x v="6"/>
    <x v="1"/>
    <n v="50.6"/>
    <n v="101.2"/>
    <x v="39"/>
    <x v="48"/>
    <x v="0"/>
    <x v="0"/>
    <x v="0"/>
    <x v="0"/>
    <x v="3"/>
    <x v="4"/>
    <x v="6"/>
    <x v="0"/>
    <x v="3"/>
  </r>
  <r>
    <x v="991"/>
    <x v="6"/>
    <x v="9"/>
    <n v="81.7"/>
    <n v="408.5"/>
    <x v="39"/>
    <x v="37"/>
    <x v="2"/>
    <x v="1"/>
    <x v="2"/>
    <x v="0"/>
    <x v="3"/>
    <x v="3"/>
    <x v="6"/>
    <x v="2"/>
    <x v="3"/>
  </r>
  <r>
    <x v="992"/>
    <x v="5"/>
    <x v="1"/>
    <n v="50.7"/>
    <n v="101.4"/>
    <x v="39"/>
    <x v="37"/>
    <x v="3"/>
    <x v="2"/>
    <x v="2"/>
    <x v="0"/>
    <x v="3"/>
    <x v="3"/>
    <x v="6"/>
    <x v="3"/>
    <x v="3"/>
  </r>
  <r>
    <x v="993"/>
    <x v="2"/>
    <x v="10"/>
    <n v="67.3"/>
    <n v="1278.7"/>
    <x v="39"/>
    <x v="45"/>
    <x v="2"/>
    <x v="2"/>
    <x v="0"/>
    <x v="0"/>
    <x v="3"/>
    <x v="5"/>
    <x v="6"/>
    <x v="2"/>
    <x v="3"/>
  </r>
  <r>
    <x v="994"/>
    <x v="2"/>
    <x v="12"/>
    <n v="64.8"/>
    <n v="259.2"/>
    <x v="39"/>
    <x v="44"/>
    <x v="2"/>
    <x v="3"/>
    <x v="0"/>
    <x v="0"/>
    <x v="3"/>
    <x v="2"/>
    <x v="6"/>
    <x v="2"/>
    <x v="3"/>
  </r>
  <r>
    <x v="995"/>
    <x v="5"/>
    <x v="32"/>
    <n v="61.3"/>
    <n v="1348.6"/>
    <x v="39"/>
    <x v="37"/>
    <x v="2"/>
    <x v="0"/>
    <x v="2"/>
    <x v="0"/>
    <x v="3"/>
    <x v="3"/>
    <x v="6"/>
    <x v="2"/>
    <x v="3"/>
  </r>
  <r>
    <x v="996"/>
    <x v="14"/>
    <x v="0"/>
    <n v="32.9"/>
    <n v="32.9"/>
    <x v="39"/>
    <x v="44"/>
    <x v="2"/>
    <x v="4"/>
    <x v="0"/>
    <x v="0"/>
    <x v="3"/>
    <x v="2"/>
    <x v="6"/>
    <x v="2"/>
    <x v="3"/>
  </r>
  <r>
    <x v="997"/>
    <x v="6"/>
    <x v="1"/>
    <n v="100.8"/>
    <n v="201.6"/>
    <x v="39"/>
    <x v="44"/>
    <x v="2"/>
    <x v="0"/>
    <x v="0"/>
    <x v="0"/>
    <x v="3"/>
    <x v="2"/>
    <x v="6"/>
    <x v="2"/>
    <x v="3"/>
  </r>
  <r>
    <x v="998"/>
    <x v="8"/>
    <x v="12"/>
    <n v="25.1"/>
    <n v="100.4"/>
    <x v="39"/>
    <x v="40"/>
    <x v="2"/>
    <x v="1"/>
    <x v="0"/>
    <x v="0"/>
    <x v="3"/>
    <x v="1"/>
    <x v="6"/>
    <x v="2"/>
    <x v="3"/>
  </r>
  <r>
    <x v="999"/>
    <x v="17"/>
    <x v="0"/>
    <n v="48.5"/>
    <n v="48.5"/>
    <x v="39"/>
    <x v="37"/>
    <x v="2"/>
    <x v="0"/>
    <x v="1"/>
    <x v="0"/>
    <x v="3"/>
    <x v="3"/>
    <x v="6"/>
    <x v="2"/>
    <x v="3"/>
  </r>
  <r>
    <x v="1000"/>
    <x v="7"/>
    <x v="1"/>
    <n v="33.6"/>
    <n v="67.2"/>
    <x v="39"/>
    <x v="45"/>
    <x v="2"/>
    <x v="2"/>
    <x v="2"/>
    <x v="0"/>
    <x v="3"/>
    <x v="5"/>
    <x v="6"/>
    <x v="2"/>
    <x v="3"/>
  </r>
  <r>
    <x v="1001"/>
    <x v="8"/>
    <x v="0"/>
    <n v="39.299999999999997"/>
    <n v="39.299999999999997"/>
    <x v="39"/>
    <x v="49"/>
    <x v="2"/>
    <x v="1"/>
    <x v="1"/>
    <x v="0"/>
    <x v="49"/>
    <x v="11"/>
    <x v="6"/>
    <x v="2"/>
    <x v="49"/>
  </r>
  <r>
    <x v="1002"/>
    <x v="4"/>
    <x v="7"/>
    <n v="48.8"/>
    <n v="488"/>
    <x v="39"/>
    <x v="40"/>
    <x v="2"/>
    <x v="3"/>
    <x v="1"/>
    <x v="0"/>
    <x v="25"/>
    <x v="1"/>
    <x v="6"/>
    <x v="2"/>
    <x v="25"/>
  </r>
  <r>
    <x v="1003"/>
    <x v="6"/>
    <x v="8"/>
    <n v="72.8"/>
    <n v="582.4"/>
    <x v="39"/>
    <x v="40"/>
    <x v="1"/>
    <x v="1"/>
    <x v="2"/>
    <x v="0"/>
    <x v="5"/>
    <x v="1"/>
    <x v="6"/>
    <x v="1"/>
    <x v="5"/>
  </r>
  <r>
    <x v="1004"/>
    <x v="10"/>
    <x v="8"/>
    <n v="46.2"/>
    <n v="369.6"/>
    <x v="39"/>
    <x v="37"/>
    <x v="1"/>
    <x v="3"/>
    <x v="4"/>
    <x v="0"/>
    <x v="5"/>
    <x v="3"/>
    <x v="6"/>
    <x v="1"/>
    <x v="5"/>
  </r>
  <r>
    <x v="1005"/>
    <x v="4"/>
    <x v="1"/>
    <n v="20.7"/>
    <n v="41.4"/>
    <x v="39"/>
    <x v="37"/>
    <x v="2"/>
    <x v="2"/>
    <x v="3"/>
    <x v="0"/>
    <x v="6"/>
    <x v="3"/>
    <x v="6"/>
    <x v="2"/>
    <x v="6"/>
  </r>
  <r>
    <x v="1006"/>
    <x v="0"/>
    <x v="0"/>
    <n v="35.700000000000003"/>
    <n v="35.700000000000003"/>
    <x v="39"/>
    <x v="40"/>
    <x v="2"/>
    <x v="3"/>
    <x v="0"/>
    <x v="0"/>
    <x v="6"/>
    <x v="1"/>
    <x v="6"/>
    <x v="2"/>
    <x v="6"/>
  </r>
  <r>
    <x v="1007"/>
    <x v="2"/>
    <x v="27"/>
    <n v="166.2"/>
    <n v="2659.2"/>
    <x v="39"/>
    <x v="40"/>
    <x v="0"/>
    <x v="2"/>
    <x v="0"/>
    <x v="0"/>
    <x v="7"/>
    <x v="1"/>
    <x v="6"/>
    <x v="0"/>
    <x v="7"/>
  </r>
  <r>
    <x v="1008"/>
    <x v="6"/>
    <x v="12"/>
    <n v="85.8"/>
    <n v="343.2"/>
    <x v="39"/>
    <x v="37"/>
    <x v="2"/>
    <x v="1"/>
    <x v="1"/>
    <x v="0"/>
    <x v="7"/>
    <x v="3"/>
    <x v="6"/>
    <x v="2"/>
    <x v="7"/>
  </r>
  <r>
    <x v="1009"/>
    <x v="8"/>
    <x v="2"/>
    <n v="26"/>
    <n v="78"/>
    <x v="39"/>
    <x v="40"/>
    <x v="3"/>
    <x v="1"/>
    <x v="0"/>
    <x v="0"/>
    <x v="7"/>
    <x v="1"/>
    <x v="6"/>
    <x v="3"/>
    <x v="7"/>
  </r>
  <r>
    <x v="1010"/>
    <x v="2"/>
    <x v="15"/>
    <n v="116.6"/>
    <n v="1515.8"/>
    <x v="39"/>
    <x v="44"/>
    <x v="2"/>
    <x v="0"/>
    <x v="0"/>
    <x v="0"/>
    <x v="8"/>
    <x v="2"/>
    <x v="6"/>
    <x v="2"/>
    <x v="8"/>
  </r>
  <r>
    <x v="1011"/>
    <x v="9"/>
    <x v="3"/>
    <n v="53.9"/>
    <n v="377.3"/>
    <x v="39"/>
    <x v="44"/>
    <x v="3"/>
    <x v="0"/>
    <x v="2"/>
    <x v="0"/>
    <x v="8"/>
    <x v="2"/>
    <x v="6"/>
    <x v="3"/>
    <x v="8"/>
  </r>
  <r>
    <x v="1012"/>
    <x v="12"/>
    <x v="9"/>
    <n v="72.3"/>
    <n v="361.5"/>
    <x v="39"/>
    <x v="40"/>
    <x v="0"/>
    <x v="2"/>
    <x v="2"/>
    <x v="0"/>
    <x v="8"/>
    <x v="1"/>
    <x v="6"/>
    <x v="0"/>
    <x v="8"/>
  </r>
  <r>
    <x v="1013"/>
    <x v="5"/>
    <x v="1"/>
    <n v="31.4"/>
    <n v="62.8"/>
    <x v="39"/>
    <x v="40"/>
    <x v="2"/>
    <x v="0"/>
    <x v="0"/>
    <x v="0"/>
    <x v="8"/>
    <x v="1"/>
    <x v="6"/>
    <x v="2"/>
    <x v="8"/>
  </r>
  <r>
    <x v="1014"/>
    <x v="13"/>
    <x v="1"/>
    <n v="53.1"/>
    <n v="106.2"/>
    <x v="39"/>
    <x v="44"/>
    <x v="1"/>
    <x v="1"/>
    <x v="0"/>
    <x v="0"/>
    <x v="8"/>
    <x v="2"/>
    <x v="6"/>
    <x v="1"/>
    <x v="8"/>
  </r>
  <r>
    <x v="1015"/>
    <x v="2"/>
    <x v="12"/>
    <n v="56.2"/>
    <n v="224.8"/>
    <x v="39"/>
    <x v="37"/>
    <x v="2"/>
    <x v="0"/>
    <x v="0"/>
    <x v="0"/>
    <x v="8"/>
    <x v="3"/>
    <x v="6"/>
    <x v="2"/>
    <x v="8"/>
  </r>
  <r>
    <x v="1016"/>
    <x v="1"/>
    <x v="7"/>
    <n v="77.3"/>
    <n v="773"/>
    <x v="39"/>
    <x v="37"/>
    <x v="2"/>
    <x v="2"/>
    <x v="0"/>
    <x v="0"/>
    <x v="11"/>
    <x v="3"/>
    <x v="6"/>
    <x v="2"/>
    <x v="11"/>
  </r>
  <r>
    <x v="1017"/>
    <x v="6"/>
    <x v="15"/>
    <n v="57.8"/>
    <n v="751.4"/>
    <x v="39"/>
    <x v="37"/>
    <x v="0"/>
    <x v="0"/>
    <x v="0"/>
    <x v="0"/>
    <x v="53"/>
    <x v="3"/>
    <x v="6"/>
    <x v="0"/>
    <x v="53"/>
  </r>
  <r>
    <x v="1018"/>
    <x v="12"/>
    <x v="20"/>
    <n v="42.1"/>
    <n v="631.5"/>
    <x v="39"/>
    <x v="40"/>
    <x v="2"/>
    <x v="1"/>
    <x v="1"/>
    <x v="0"/>
    <x v="53"/>
    <x v="1"/>
    <x v="6"/>
    <x v="2"/>
    <x v="53"/>
  </r>
  <r>
    <x v="1019"/>
    <x v="8"/>
    <x v="11"/>
    <n v="22.8"/>
    <n v="205.20000000000002"/>
    <x v="39"/>
    <x v="45"/>
    <x v="1"/>
    <x v="2"/>
    <x v="2"/>
    <x v="0"/>
    <x v="19"/>
    <x v="5"/>
    <x v="6"/>
    <x v="1"/>
    <x v="19"/>
  </r>
  <r>
    <x v="1020"/>
    <x v="2"/>
    <x v="2"/>
    <n v="171.1"/>
    <n v="513.29999999999995"/>
    <x v="40"/>
    <x v="43"/>
    <x v="2"/>
    <x v="2"/>
    <x v="1"/>
    <x v="0"/>
    <x v="19"/>
    <x v="6"/>
    <x v="6"/>
    <x v="2"/>
    <x v="19"/>
  </r>
  <r>
    <x v="1021"/>
    <x v="8"/>
    <x v="0"/>
    <n v="28"/>
    <n v="28"/>
    <x v="40"/>
    <x v="44"/>
    <x v="1"/>
    <x v="2"/>
    <x v="2"/>
    <x v="0"/>
    <x v="21"/>
    <x v="1"/>
    <x v="6"/>
    <x v="1"/>
    <x v="21"/>
  </r>
  <r>
    <x v="1022"/>
    <x v="6"/>
    <x v="3"/>
    <n v="50.2"/>
    <n v="351.40000000000003"/>
    <x v="40"/>
    <x v="44"/>
    <x v="1"/>
    <x v="2"/>
    <x v="0"/>
    <x v="0"/>
    <x v="21"/>
    <x v="1"/>
    <x v="6"/>
    <x v="1"/>
    <x v="21"/>
  </r>
  <r>
    <x v="1023"/>
    <x v="6"/>
    <x v="1"/>
    <n v="56"/>
    <n v="112"/>
    <x v="40"/>
    <x v="37"/>
    <x v="1"/>
    <x v="0"/>
    <x v="2"/>
    <x v="0"/>
    <x v="22"/>
    <x v="7"/>
    <x v="6"/>
    <x v="1"/>
    <x v="22"/>
  </r>
  <r>
    <x v="1024"/>
    <x v="1"/>
    <x v="1"/>
    <n v="38.299999999999997"/>
    <n v="76.599999999999994"/>
    <x v="40"/>
    <x v="40"/>
    <x v="2"/>
    <x v="1"/>
    <x v="0"/>
    <x v="0"/>
    <x v="3"/>
    <x v="3"/>
    <x v="6"/>
    <x v="2"/>
    <x v="3"/>
  </r>
  <r>
    <x v="1025"/>
    <x v="0"/>
    <x v="9"/>
    <n v="22.3"/>
    <n v="111.5"/>
    <x v="40"/>
    <x v="42"/>
    <x v="2"/>
    <x v="2"/>
    <x v="1"/>
    <x v="0"/>
    <x v="3"/>
    <x v="5"/>
    <x v="6"/>
    <x v="2"/>
    <x v="3"/>
  </r>
  <r>
    <x v="1026"/>
    <x v="0"/>
    <x v="2"/>
    <n v="22.3"/>
    <n v="66.900000000000006"/>
    <x v="40"/>
    <x v="45"/>
    <x v="2"/>
    <x v="2"/>
    <x v="0"/>
    <x v="0"/>
    <x v="3"/>
    <x v="2"/>
    <x v="6"/>
    <x v="2"/>
    <x v="3"/>
  </r>
  <r>
    <x v="1027"/>
    <x v="1"/>
    <x v="0"/>
    <n v="32.9"/>
    <n v="32.9"/>
    <x v="40"/>
    <x v="48"/>
    <x v="2"/>
    <x v="0"/>
    <x v="0"/>
    <x v="0"/>
    <x v="3"/>
    <x v="0"/>
    <x v="6"/>
    <x v="2"/>
    <x v="3"/>
  </r>
  <r>
    <x v="1028"/>
    <x v="10"/>
    <x v="2"/>
    <n v="31.9"/>
    <n v="95.699999999999989"/>
    <x v="40"/>
    <x v="48"/>
    <x v="2"/>
    <x v="0"/>
    <x v="0"/>
    <x v="0"/>
    <x v="3"/>
    <x v="0"/>
    <x v="6"/>
    <x v="2"/>
    <x v="3"/>
  </r>
  <r>
    <x v="1029"/>
    <x v="6"/>
    <x v="1"/>
    <n v="94"/>
    <n v="188"/>
    <x v="40"/>
    <x v="40"/>
    <x v="1"/>
    <x v="2"/>
    <x v="2"/>
    <x v="0"/>
    <x v="3"/>
    <x v="3"/>
    <x v="6"/>
    <x v="1"/>
    <x v="3"/>
  </r>
  <r>
    <x v="1030"/>
    <x v="10"/>
    <x v="1"/>
    <n v="30.7"/>
    <n v="61.4"/>
    <x v="40"/>
    <x v="40"/>
    <x v="2"/>
    <x v="0"/>
    <x v="1"/>
    <x v="0"/>
    <x v="3"/>
    <x v="3"/>
    <x v="6"/>
    <x v="2"/>
    <x v="3"/>
  </r>
  <r>
    <x v="1031"/>
    <x v="5"/>
    <x v="9"/>
    <n v="90.5"/>
    <n v="452.5"/>
    <x v="40"/>
    <x v="43"/>
    <x v="1"/>
    <x v="0"/>
    <x v="2"/>
    <x v="0"/>
    <x v="3"/>
    <x v="6"/>
    <x v="6"/>
    <x v="1"/>
    <x v="3"/>
  </r>
  <r>
    <x v="1032"/>
    <x v="8"/>
    <x v="9"/>
    <n v="25.3"/>
    <n v="126.5"/>
    <x v="40"/>
    <x v="42"/>
    <x v="2"/>
    <x v="0"/>
    <x v="2"/>
    <x v="0"/>
    <x v="3"/>
    <x v="5"/>
    <x v="6"/>
    <x v="2"/>
    <x v="3"/>
  </r>
  <r>
    <x v="1033"/>
    <x v="6"/>
    <x v="2"/>
    <n v="58.1"/>
    <n v="174.3"/>
    <x v="40"/>
    <x v="42"/>
    <x v="0"/>
    <x v="0"/>
    <x v="2"/>
    <x v="0"/>
    <x v="3"/>
    <x v="5"/>
    <x v="6"/>
    <x v="0"/>
    <x v="3"/>
  </r>
  <r>
    <x v="1034"/>
    <x v="2"/>
    <x v="2"/>
    <n v="74.900000000000006"/>
    <n v="224.70000000000002"/>
    <x v="40"/>
    <x v="40"/>
    <x v="2"/>
    <x v="4"/>
    <x v="0"/>
    <x v="0"/>
    <x v="3"/>
    <x v="3"/>
    <x v="6"/>
    <x v="2"/>
    <x v="3"/>
  </r>
  <r>
    <x v="1035"/>
    <x v="4"/>
    <x v="1"/>
    <n v="32.5"/>
    <n v="65"/>
    <x v="40"/>
    <x v="40"/>
    <x v="1"/>
    <x v="2"/>
    <x v="2"/>
    <x v="0"/>
    <x v="43"/>
    <x v="3"/>
    <x v="6"/>
    <x v="1"/>
    <x v="43"/>
  </r>
  <r>
    <x v="1036"/>
    <x v="4"/>
    <x v="9"/>
    <n v="62"/>
    <n v="310"/>
    <x v="40"/>
    <x v="40"/>
    <x v="1"/>
    <x v="4"/>
    <x v="2"/>
    <x v="0"/>
    <x v="25"/>
    <x v="3"/>
    <x v="6"/>
    <x v="1"/>
    <x v="25"/>
  </r>
  <r>
    <x v="1037"/>
    <x v="13"/>
    <x v="13"/>
    <n v="28.9"/>
    <n v="173.39999999999998"/>
    <x v="40"/>
    <x v="45"/>
    <x v="2"/>
    <x v="0"/>
    <x v="1"/>
    <x v="0"/>
    <x v="6"/>
    <x v="2"/>
    <x v="6"/>
    <x v="2"/>
    <x v="6"/>
  </r>
  <r>
    <x v="1038"/>
    <x v="6"/>
    <x v="8"/>
    <n v="42.8"/>
    <n v="342.4"/>
    <x v="40"/>
    <x v="44"/>
    <x v="2"/>
    <x v="0"/>
    <x v="2"/>
    <x v="0"/>
    <x v="6"/>
    <x v="1"/>
    <x v="6"/>
    <x v="2"/>
    <x v="6"/>
  </r>
  <r>
    <x v="1039"/>
    <x v="8"/>
    <x v="8"/>
    <n v="39.4"/>
    <n v="315.2"/>
    <x v="40"/>
    <x v="44"/>
    <x v="1"/>
    <x v="0"/>
    <x v="0"/>
    <x v="0"/>
    <x v="36"/>
    <x v="1"/>
    <x v="6"/>
    <x v="1"/>
    <x v="36"/>
  </r>
  <r>
    <x v="1040"/>
    <x v="18"/>
    <x v="2"/>
    <n v="66.400000000000006"/>
    <n v="199.20000000000002"/>
    <x v="40"/>
    <x v="40"/>
    <x v="0"/>
    <x v="2"/>
    <x v="1"/>
    <x v="0"/>
    <x v="7"/>
    <x v="3"/>
    <x v="6"/>
    <x v="0"/>
    <x v="7"/>
  </r>
  <r>
    <x v="1041"/>
    <x v="17"/>
    <x v="12"/>
    <n v="35.9"/>
    <n v="143.6"/>
    <x v="40"/>
    <x v="43"/>
    <x v="2"/>
    <x v="1"/>
    <x v="0"/>
    <x v="0"/>
    <x v="7"/>
    <x v="6"/>
    <x v="6"/>
    <x v="2"/>
    <x v="7"/>
  </r>
  <r>
    <x v="1042"/>
    <x v="0"/>
    <x v="12"/>
    <n v="26.9"/>
    <n v="107.6"/>
    <x v="40"/>
    <x v="40"/>
    <x v="1"/>
    <x v="1"/>
    <x v="0"/>
    <x v="0"/>
    <x v="7"/>
    <x v="3"/>
    <x v="6"/>
    <x v="1"/>
    <x v="7"/>
  </r>
  <r>
    <x v="1043"/>
    <x v="2"/>
    <x v="0"/>
    <n v="55.1"/>
    <n v="55.1"/>
    <x v="40"/>
    <x v="40"/>
    <x v="2"/>
    <x v="0"/>
    <x v="0"/>
    <x v="0"/>
    <x v="7"/>
    <x v="3"/>
    <x v="6"/>
    <x v="2"/>
    <x v="7"/>
  </r>
  <r>
    <x v="1044"/>
    <x v="4"/>
    <x v="1"/>
    <n v="23.9"/>
    <n v="47.8"/>
    <x v="40"/>
    <x v="40"/>
    <x v="1"/>
    <x v="0"/>
    <x v="2"/>
    <x v="0"/>
    <x v="8"/>
    <x v="3"/>
    <x v="6"/>
    <x v="1"/>
    <x v="8"/>
  </r>
  <r>
    <x v="1045"/>
    <x v="9"/>
    <x v="15"/>
    <n v="21.1"/>
    <n v="274.3"/>
    <x v="40"/>
    <x v="50"/>
    <x v="2"/>
    <x v="0"/>
    <x v="1"/>
    <x v="0"/>
    <x v="8"/>
    <x v="9"/>
    <x v="6"/>
    <x v="2"/>
    <x v="8"/>
  </r>
  <r>
    <x v="1046"/>
    <x v="8"/>
    <x v="9"/>
    <n v="33.799999999999997"/>
    <n v="169"/>
    <x v="40"/>
    <x v="44"/>
    <x v="2"/>
    <x v="0"/>
    <x v="0"/>
    <x v="0"/>
    <x v="8"/>
    <x v="1"/>
    <x v="6"/>
    <x v="2"/>
    <x v="8"/>
  </r>
  <r>
    <x v="1047"/>
    <x v="2"/>
    <x v="12"/>
    <n v="56.1"/>
    <n v="224.4"/>
    <x v="40"/>
    <x v="37"/>
    <x v="2"/>
    <x v="3"/>
    <x v="2"/>
    <x v="0"/>
    <x v="9"/>
    <x v="7"/>
    <x v="6"/>
    <x v="2"/>
    <x v="9"/>
  </r>
  <r>
    <x v="1048"/>
    <x v="3"/>
    <x v="0"/>
    <n v="58.5"/>
    <n v="58.5"/>
    <x v="41"/>
    <x v="48"/>
    <x v="2"/>
    <x v="1"/>
    <x v="2"/>
    <x v="0"/>
    <x v="9"/>
    <x v="5"/>
    <x v="6"/>
    <x v="2"/>
    <x v="9"/>
  </r>
  <r>
    <x v="1049"/>
    <x v="6"/>
    <x v="0"/>
    <n v="84.2"/>
    <n v="84.2"/>
    <x v="41"/>
    <x v="45"/>
    <x v="1"/>
    <x v="3"/>
    <x v="0"/>
    <x v="0"/>
    <x v="11"/>
    <x v="1"/>
    <x v="6"/>
    <x v="1"/>
    <x v="11"/>
  </r>
  <r>
    <x v="1050"/>
    <x v="11"/>
    <x v="12"/>
    <n v="52"/>
    <n v="208"/>
    <x v="41"/>
    <x v="42"/>
    <x v="1"/>
    <x v="0"/>
    <x v="0"/>
    <x v="0"/>
    <x v="11"/>
    <x v="2"/>
    <x v="6"/>
    <x v="1"/>
    <x v="11"/>
  </r>
  <r>
    <x v="1051"/>
    <x v="4"/>
    <x v="9"/>
    <n v="31.5"/>
    <n v="157.5"/>
    <x v="41"/>
    <x v="44"/>
    <x v="2"/>
    <x v="0"/>
    <x v="2"/>
    <x v="0"/>
    <x v="11"/>
    <x v="3"/>
    <x v="6"/>
    <x v="2"/>
    <x v="11"/>
  </r>
  <r>
    <x v="1052"/>
    <x v="16"/>
    <x v="2"/>
    <n v="46.2"/>
    <n v="138.60000000000002"/>
    <x v="41"/>
    <x v="44"/>
    <x v="1"/>
    <x v="0"/>
    <x v="0"/>
    <x v="0"/>
    <x v="53"/>
    <x v="3"/>
    <x v="6"/>
    <x v="1"/>
    <x v="53"/>
  </r>
  <r>
    <x v="1053"/>
    <x v="2"/>
    <x v="13"/>
    <n v="135"/>
    <n v="810"/>
    <x v="41"/>
    <x v="44"/>
    <x v="2"/>
    <x v="1"/>
    <x v="2"/>
    <x v="0"/>
    <x v="18"/>
    <x v="3"/>
    <x v="6"/>
    <x v="2"/>
    <x v="18"/>
  </r>
  <r>
    <x v="1054"/>
    <x v="12"/>
    <x v="2"/>
    <n v="92.2"/>
    <n v="276.60000000000002"/>
    <x v="41"/>
    <x v="48"/>
    <x v="1"/>
    <x v="0"/>
    <x v="0"/>
    <x v="0"/>
    <x v="21"/>
    <x v="5"/>
    <x v="6"/>
    <x v="1"/>
    <x v="21"/>
  </r>
  <r>
    <x v="1055"/>
    <x v="8"/>
    <x v="0"/>
    <n v="36.6"/>
    <n v="36.6"/>
    <x v="41"/>
    <x v="45"/>
    <x v="1"/>
    <x v="2"/>
    <x v="2"/>
    <x v="0"/>
    <x v="21"/>
    <x v="1"/>
    <x v="6"/>
    <x v="1"/>
    <x v="21"/>
  </r>
  <r>
    <x v="1056"/>
    <x v="9"/>
    <x v="1"/>
    <n v="50.6"/>
    <n v="101.2"/>
    <x v="41"/>
    <x v="42"/>
    <x v="2"/>
    <x v="0"/>
    <x v="0"/>
    <x v="0"/>
    <x v="2"/>
    <x v="2"/>
    <x v="6"/>
    <x v="2"/>
    <x v="2"/>
  </r>
  <r>
    <x v="1057"/>
    <x v="18"/>
    <x v="3"/>
    <n v="56.7"/>
    <n v="396.90000000000003"/>
    <x v="41"/>
    <x v="42"/>
    <x v="2"/>
    <x v="0"/>
    <x v="0"/>
    <x v="0"/>
    <x v="2"/>
    <x v="2"/>
    <x v="6"/>
    <x v="2"/>
    <x v="2"/>
  </r>
  <r>
    <x v="1058"/>
    <x v="9"/>
    <x v="15"/>
    <n v="22.9"/>
    <n v="297.7"/>
    <x v="41"/>
    <x v="44"/>
    <x v="2"/>
    <x v="0"/>
    <x v="1"/>
    <x v="0"/>
    <x v="44"/>
    <x v="3"/>
    <x v="6"/>
    <x v="2"/>
    <x v="44"/>
  </r>
  <r>
    <x v="1059"/>
    <x v="15"/>
    <x v="10"/>
    <n v="53.6"/>
    <n v="1018.4"/>
    <x v="41"/>
    <x v="44"/>
    <x v="1"/>
    <x v="0"/>
    <x v="0"/>
    <x v="0"/>
    <x v="22"/>
    <x v="3"/>
    <x v="6"/>
    <x v="1"/>
    <x v="22"/>
  </r>
  <r>
    <x v="1060"/>
    <x v="18"/>
    <x v="1"/>
    <n v="30.2"/>
    <n v="60.4"/>
    <x v="41"/>
    <x v="45"/>
    <x v="0"/>
    <x v="2"/>
    <x v="2"/>
    <x v="0"/>
    <x v="3"/>
    <x v="1"/>
    <x v="6"/>
    <x v="0"/>
    <x v="3"/>
  </r>
  <r>
    <x v="1061"/>
    <x v="15"/>
    <x v="13"/>
    <n v="83.4"/>
    <n v="500.40000000000003"/>
    <x v="41"/>
    <x v="44"/>
    <x v="1"/>
    <x v="1"/>
    <x v="2"/>
    <x v="0"/>
    <x v="3"/>
    <x v="3"/>
    <x v="6"/>
    <x v="1"/>
    <x v="3"/>
  </r>
  <r>
    <x v="1062"/>
    <x v="13"/>
    <x v="4"/>
    <n v="16.600000000000001"/>
    <n v="199.20000000000002"/>
    <x v="41"/>
    <x v="45"/>
    <x v="1"/>
    <x v="1"/>
    <x v="0"/>
    <x v="0"/>
    <x v="3"/>
    <x v="1"/>
    <x v="6"/>
    <x v="1"/>
    <x v="3"/>
  </r>
  <r>
    <x v="1063"/>
    <x v="8"/>
    <x v="14"/>
    <n v="21.9"/>
    <n v="372.29999999999995"/>
    <x v="41"/>
    <x v="45"/>
    <x v="2"/>
    <x v="4"/>
    <x v="1"/>
    <x v="0"/>
    <x v="3"/>
    <x v="1"/>
    <x v="6"/>
    <x v="2"/>
    <x v="3"/>
  </r>
  <r>
    <x v="1064"/>
    <x v="8"/>
    <x v="31"/>
    <n v="33.799999999999997"/>
    <n v="946.39999999999986"/>
    <x v="41"/>
    <x v="45"/>
    <x v="1"/>
    <x v="2"/>
    <x v="4"/>
    <x v="0"/>
    <x v="3"/>
    <x v="1"/>
    <x v="6"/>
    <x v="1"/>
    <x v="3"/>
  </r>
  <r>
    <x v="1065"/>
    <x v="18"/>
    <x v="1"/>
    <n v="53.2"/>
    <n v="106.4"/>
    <x v="41"/>
    <x v="40"/>
    <x v="1"/>
    <x v="1"/>
    <x v="0"/>
    <x v="0"/>
    <x v="3"/>
    <x v="7"/>
    <x v="6"/>
    <x v="1"/>
    <x v="3"/>
  </r>
  <r>
    <x v="1066"/>
    <x v="2"/>
    <x v="1"/>
    <n v="176.7"/>
    <n v="353.4"/>
    <x v="41"/>
    <x v="42"/>
    <x v="2"/>
    <x v="2"/>
    <x v="0"/>
    <x v="0"/>
    <x v="3"/>
    <x v="2"/>
    <x v="6"/>
    <x v="2"/>
    <x v="3"/>
  </r>
  <r>
    <x v="1067"/>
    <x v="12"/>
    <x v="2"/>
    <n v="54"/>
    <n v="162"/>
    <x v="41"/>
    <x v="42"/>
    <x v="1"/>
    <x v="0"/>
    <x v="1"/>
    <x v="0"/>
    <x v="3"/>
    <x v="2"/>
    <x v="6"/>
    <x v="1"/>
    <x v="3"/>
  </r>
  <r>
    <x v="1068"/>
    <x v="9"/>
    <x v="1"/>
    <n v="70.099999999999994"/>
    <n v="140.19999999999999"/>
    <x v="41"/>
    <x v="46"/>
    <x v="2"/>
    <x v="3"/>
    <x v="2"/>
    <x v="0"/>
    <x v="3"/>
    <x v="9"/>
    <x v="6"/>
    <x v="2"/>
    <x v="3"/>
  </r>
  <r>
    <x v="1069"/>
    <x v="8"/>
    <x v="0"/>
    <n v="26.5"/>
    <n v="26.5"/>
    <x v="41"/>
    <x v="45"/>
    <x v="2"/>
    <x v="1"/>
    <x v="0"/>
    <x v="0"/>
    <x v="3"/>
    <x v="1"/>
    <x v="6"/>
    <x v="2"/>
    <x v="3"/>
  </r>
  <r>
    <x v="1070"/>
    <x v="7"/>
    <x v="9"/>
    <n v="89"/>
    <n v="445"/>
    <x v="41"/>
    <x v="45"/>
    <x v="1"/>
    <x v="2"/>
    <x v="4"/>
    <x v="0"/>
    <x v="3"/>
    <x v="1"/>
    <x v="6"/>
    <x v="1"/>
    <x v="3"/>
  </r>
  <r>
    <x v="1071"/>
    <x v="1"/>
    <x v="13"/>
    <n v="47"/>
    <n v="282"/>
    <x v="41"/>
    <x v="42"/>
    <x v="2"/>
    <x v="3"/>
    <x v="0"/>
    <x v="0"/>
    <x v="24"/>
    <x v="2"/>
    <x v="6"/>
    <x v="2"/>
    <x v="24"/>
  </r>
  <r>
    <x v="1072"/>
    <x v="3"/>
    <x v="1"/>
    <n v="55.2"/>
    <n v="110.4"/>
    <x v="41"/>
    <x v="42"/>
    <x v="1"/>
    <x v="1"/>
    <x v="1"/>
    <x v="0"/>
    <x v="6"/>
    <x v="2"/>
    <x v="6"/>
    <x v="1"/>
    <x v="6"/>
  </r>
  <r>
    <x v="1073"/>
    <x v="8"/>
    <x v="39"/>
    <n v="33.299999999999997"/>
    <n v="1398.6"/>
    <x v="41"/>
    <x v="51"/>
    <x v="1"/>
    <x v="1"/>
    <x v="2"/>
    <x v="0"/>
    <x v="6"/>
    <x v="12"/>
    <x v="6"/>
    <x v="1"/>
    <x v="6"/>
  </r>
  <r>
    <x v="1074"/>
    <x v="2"/>
    <x v="12"/>
    <n v="110.9"/>
    <n v="443.6"/>
    <x v="42"/>
    <x v="44"/>
    <x v="1"/>
    <x v="2"/>
    <x v="4"/>
    <x v="0"/>
    <x v="6"/>
    <x v="7"/>
    <x v="6"/>
    <x v="1"/>
    <x v="6"/>
  </r>
  <r>
    <x v="1075"/>
    <x v="2"/>
    <x v="13"/>
    <n v="67.3"/>
    <n v="403.79999999999995"/>
    <x v="42"/>
    <x v="45"/>
    <x v="1"/>
    <x v="0"/>
    <x v="0"/>
    <x v="0"/>
    <x v="8"/>
    <x v="3"/>
    <x v="6"/>
    <x v="1"/>
    <x v="8"/>
  </r>
  <r>
    <x v="1076"/>
    <x v="6"/>
    <x v="2"/>
    <n v="69.7"/>
    <n v="209.10000000000002"/>
    <x v="42"/>
    <x v="45"/>
    <x v="1"/>
    <x v="2"/>
    <x v="1"/>
    <x v="0"/>
    <x v="8"/>
    <x v="3"/>
    <x v="6"/>
    <x v="1"/>
    <x v="8"/>
  </r>
  <r>
    <x v="1077"/>
    <x v="5"/>
    <x v="0"/>
    <n v="39.1"/>
    <n v="39.1"/>
    <x v="42"/>
    <x v="43"/>
    <x v="1"/>
    <x v="0"/>
    <x v="1"/>
    <x v="0"/>
    <x v="17"/>
    <x v="0"/>
    <x v="6"/>
    <x v="1"/>
    <x v="17"/>
  </r>
  <r>
    <x v="1078"/>
    <x v="2"/>
    <x v="2"/>
    <n v="208.6"/>
    <n v="625.79999999999995"/>
    <x v="42"/>
    <x v="44"/>
    <x v="1"/>
    <x v="4"/>
    <x v="2"/>
    <x v="0"/>
    <x v="17"/>
    <x v="7"/>
    <x v="6"/>
    <x v="1"/>
    <x v="17"/>
  </r>
  <r>
    <x v="1079"/>
    <x v="15"/>
    <x v="2"/>
    <n v="27.8"/>
    <n v="83.4"/>
    <x v="42"/>
    <x v="45"/>
    <x v="1"/>
    <x v="3"/>
    <x v="1"/>
    <x v="0"/>
    <x v="11"/>
    <x v="3"/>
    <x v="6"/>
    <x v="1"/>
    <x v="11"/>
  </r>
  <r>
    <x v="1080"/>
    <x v="10"/>
    <x v="9"/>
    <n v="29.4"/>
    <n v="147"/>
    <x v="42"/>
    <x v="42"/>
    <x v="2"/>
    <x v="0"/>
    <x v="0"/>
    <x v="0"/>
    <x v="11"/>
    <x v="1"/>
    <x v="6"/>
    <x v="2"/>
    <x v="11"/>
  </r>
  <r>
    <x v="1081"/>
    <x v="9"/>
    <x v="1"/>
    <n v="29.2"/>
    <n v="58.4"/>
    <x v="42"/>
    <x v="42"/>
    <x v="2"/>
    <x v="1"/>
    <x v="2"/>
    <x v="0"/>
    <x v="20"/>
    <x v="1"/>
    <x v="6"/>
    <x v="2"/>
    <x v="20"/>
  </r>
  <r>
    <x v="1082"/>
    <x v="10"/>
    <x v="9"/>
    <n v="26.5"/>
    <n v="132.5"/>
    <x v="42"/>
    <x v="42"/>
    <x v="2"/>
    <x v="0"/>
    <x v="0"/>
    <x v="0"/>
    <x v="52"/>
    <x v="1"/>
    <x v="6"/>
    <x v="2"/>
    <x v="52"/>
  </r>
  <r>
    <x v="1083"/>
    <x v="5"/>
    <x v="0"/>
    <n v="30.3"/>
    <n v="30.3"/>
    <x v="42"/>
    <x v="45"/>
    <x v="2"/>
    <x v="4"/>
    <x v="1"/>
    <x v="0"/>
    <x v="13"/>
    <x v="3"/>
    <x v="6"/>
    <x v="2"/>
    <x v="13"/>
  </r>
  <r>
    <x v="1084"/>
    <x v="16"/>
    <x v="4"/>
    <n v="39.700000000000003"/>
    <n v="476.40000000000003"/>
    <x v="42"/>
    <x v="45"/>
    <x v="2"/>
    <x v="0"/>
    <x v="0"/>
    <x v="0"/>
    <x v="21"/>
    <x v="3"/>
    <x v="6"/>
    <x v="2"/>
    <x v="21"/>
  </r>
  <r>
    <x v="1085"/>
    <x v="7"/>
    <x v="7"/>
    <n v="58.9"/>
    <n v="589"/>
    <x v="42"/>
    <x v="42"/>
    <x v="2"/>
    <x v="1"/>
    <x v="4"/>
    <x v="0"/>
    <x v="21"/>
    <x v="1"/>
    <x v="6"/>
    <x v="2"/>
    <x v="21"/>
  </r>
  <r>
    <x v="1086"/>
    <x v="2"/>
    <x v="1"/>
    <n v="174.1"/>
    <n v="348.2"/>
    <x v="42"/>
    <x v="42"/>
    <x v="2"/>
    <x v="0"/>
    <x v="1"/>
    <x v="0"/>
    <x v="46"/>
    <x v="1"/>
    <x v="6"/>
    <x v="2"/>
    <x v="46"/>
  </r>
  <r>
    <x v="1087"/>
    <x v="6"/>
    <x v="1"/>
    <n v="70.8"/>
    <n v="141.6"/>
    <x v="42"/>
    <x v="48"/>
    <x v="1"/>
    <x v="2"/>
    <x v="0"/>
    <x v="0"/>
    <x v="22"/>
    <x v="2"/>
    <x v="6"/>
    <x v="1"/>
    <x v="22"/>
  </r>
  <r>
    <x v="1088"/>
    <x v="7"/>
    <x v="1"/>
    <n v="57.4"/>
    <n v="114.8"/>
    <x v="42"/>
    <x v="42"/>
    <x v="2"/>
    <x v="1"/>
    <x v="1"/>
    <x v="0"/>
    <x v="34"/>
    <x v="1"/>
    <x v="6"/>
    <x v="2"/>
    <x v="34"/>
  </r>
  <r>
    <x v="1089"/>
    <x v="0"/>
    <x v="1"/>
    <n v="28.5"/>
    <n v="57"/>
    <x v="42"/>
    <x v="42"/>
    <x v="1"/>
    <x v="3"/>
    <x v="1"/>
    <x v="0"/>
    <x v="3"/>
    <x v="1"/>
    <x v="6"/>
    <x v="1"/>
    <x v="3"/>
  </r>
  <r>
    <x v="1090"/>
    <x v="2"/>
    <x v="28"/>
    <n v="106.6"/>
    <n v="2132"/>
    <x v="42"/>
    <x v="45"/>
    <x v="0"/>
    <x v="1"/>
    <x v="4"/>
    <x v="0"/>
    <x v="3"/>
    <x v="3"/>
    <x v="6"/>
    <x v="0"/>
    <x v="3"/>
  </r>
  <r>
    <x v="1091"/>
    <x v="2"/>
    <x v="2"/>
    <n v="119.7"/>
    <n v="359.1"/>
    <x v="42"/>
    <x v="45"/>
    <x v="2"/>
    <x v="1"/>
    <x v="4"/>
    <x v="0"/>
    <x v="3"/>
    <x v="3"/>
    <x v="6"/>
    <x v="2"/>
    <x v="3"/>
  </r>
  <r>
    <x v="1092"/>
    <x v="18"/>
    <x v="0"/>
    <n v="73.3"/>
    <n v="73.3"/>
    <x v="42"/>
    <x v="43"/>
    <x v="2"/>
    <x v="0"/>
    <x v="2"/>
    <x v="0"/>
    <x v="3"/>
    <x v="0"/>
    <x v="6"/>
    <x v="2"/>
    <x v="3"/>
  </r>
  <r>
    <x v="1093"/>
    <x v="0"/>
    <x v="1"/>
    <n v="25.8"/>
    <n v="51.6"/>
    <x v="42"/>
    <x v="52"/>
    <x v="1"/>
    <x v="2"/>
    <x v="0"/>
    <x v="0"/>
    <x v="3"/>
    <x v="12"/>
    <x v="6"/>
    <x v="1"/>
    <x v="3"/>
  </r>
  <r>
    <x v="1094"/>
    <x v="17"/>
    <x v="2"/>
    <n v="49.1"/>
    <n v="147.30000000000001"/>
    <x v="42"/>
    <x v="42"/>
    <x v="2"/>
    <x v="0"/>
    <x v="0"/>
    <x v="0"/>
    <x v="24"/>
    <x v="1"/>
    <x v="6"/>
    <x v="2"/>
    <x v="24"/>
  </r>
  <r>
    <x v="1095"/>
    <x v="1"/>
    <x v="0"/>
    <n v="44.9"/>
    <n v="44.9"/>
    <x v="42"/>
    <x v="48"/>
    <x v="2"/>
    <x v="3"/>
    <x v="2"/>
    <x v="0"/>
    <x v="6"/>
    <x v="2"/>
    <x v="6"/>
    <x v="2"/>
    <x v="6"/>
  </r>
  <r>
    <x v="1096"/>
    <x v="15"/>
    <x v="3"/>
    <n v="29.9"/>
    <n v="209.29999999999998"/>
    <x v="42"/>
    <x v="45"/>
    <x v="2"/>
    <x v="0"/>
    <x v="0"/>
    <x v="0"/>
    <x v="6"/>
    <x v="3"/>
    <x v="6"/>
    <x v="2"/>
    <x v="6"/>
  </r>
  <r>
    <x v="1097"/>
    <x v="7"/>
    <x v="1"/>
    <n v="54.3"/>
    <n v="108.6"/>
    <x v="43"/>
    <x v="42"/>
    <x v="1"/>
    <x v="3"/>
    <x v="0"/>
    <x v="0"/>
    <x v="36"/>
    <x v="3"/>
    <x v="6"/>
    <x v="1"/>
    <x v="36"/>
  </r>
  <r>
    <x v="1098"/>
    <x v="9"/>
    <x v="12"/>
    <n v="57"/>
    <n v="228"/>
    <x v="43"/>
    <x v="48"/>
    <x v="2"/>
    <x v="0"/>
    <x v="0"/>
    <x v="0"/>
    <x v="8"/>
    <x v="1"/>
    <x v="6"/>
    <x v="2"/>
    <x v="8"/>
  </r>
  <r>
    <x v="1099"/>
    <x v="2"/>
    <x v="0"/>
    <n v="139.19999999999999"/>
    <n v="139.19999999999999"/>
    <x v="43"/>
    <x v="42"/>
    <x v="2"/>
    <x v="3"/>
    <x v="2"/>
    <x v="0"/>
    <x v="8"/>
    <x v="3"/>
    <x v="6"/>
    <x v="2"/>
    <x v="8"/>
  </r>
  <r>
    <x v="1100"/>
    <x v="10"/>
    <x v="0"/>
    <n v="33"/>
    <n v="33"/>
    <x v="43"/>
    <x v="41"/>
    <x v="2"/>
    <x v="0"/>
    <x v="2"/>
    <x v="0"/>
    <x v="8"/>
    <x v="2"/>
    <x v="6"/>
    <x v="2"/>
    <x v="8"/>
  </r>
  <r>
    <x v="1101"/>
    <x v="11"/>
    <x v="13"/>
    <n v="80.2"/>
    <n v="481.20000000000005"/>
    <x v="43"/>
    <x v="48"/>
    <x v="1"/>
    <x v="1"/>
    <x v="4"/>
    <x v="0"/>
    <x v="8"/>
    <x v="1"/>
    <x v="6"/>
    <x v="1"/>
    <x v="8"/>
  </r>
  <r>
    <x v="1102"/>
    <x v="18"/>
    <x v="8"/>
    <n v="49"/>
    <n v="392"/>
    <x v="43"/>
    <x v="42"/>
    <x v="0"/>
    <x v="2"/>
    <x v="1"/>
    <x v="0"/>
    <x v="9"/>
    <x v="3"/>
    <x v="6"/>
    <x v="0"/>
    <x v="9"/>
  </r>
  <r>
    <x v="1103"/>
    <x v="1"/>
    <x v="12"/>
    <n v="104.4"/>
    <n v="417.6"/>
    <x v="43"/>
    <x v="45"/>
    <x v="2"/>
    <x v="0"/>
    <x v="0"/>
    <x v="0"/>
    <x v="9"/>
    <x v="7"/>
    <x v="6"/>
    <x v="2"/>
    <x v="9"/>
  </r>
  <r>
    <x v="1104"/>
    <x v="3"/>
    <x v="0"/>
    <n v="41.6"/>
    <n v="41.6"/>
    <x v="43"/>
    <x v="41"/>
    <x v="1"/>
    <x v="3"/>
    <x v="0"/>
    <x v="0"/>
    <x v="11"/>
    <x v="2"/>
    <x v="6"/>
    <x v="1"/>
    <x v="11"/>
  </r>
  <r>
    <x v="1105"/>
    <x v="19"/>
    <x v="1"/>
    <n v="16.399999999999999"/>
    <n v="32.799999999999997"/>
    <x v="43"/>
    <x v="42"/>
    <x v="3"/>
    <x v="0"/>
    <x v="2"/>
    <x v="0"/>
    <x v="11"/>
    <x v="3"/>
    <x v="6"/>
    <x v="3"/>
    <x v="11"/>
  </r>
  <r>
    <x v="1106"/>
    <x v="8"/>
    <x v="1"/>
    <n v="22"/>
    <n v="44"/>
    <x v="43"/>
    <x v="42"/>
    <x v="1"/>
    <x v="2"/>
    <x v="2"/>
    <x v="0"/>
    <x v="53"/>
    <x v="3"/>
    <x v="6"/>
    <x v="1"/>
    <x v="53"/>
  </r>
  <r>
    <x v="1107"/>
    <x v="15"/>
    <x v="1"/>
    <n v="33.6"/>
    <n v="67.2"/>
    <x v="43"/>
    <x v="50"/>
    <x v="2"/>
    <x v="0"/>
    <x v="0"/>
    <x v="0"/>
    <x v="21"/>
    <x v="0"/>
    <x v="6"/>
    <x v="2"/>
    <x v="21"/>
  </r>
  <r>
    <x v="1108"/>
    <x v="11"/>
    <x v="13"/>
    <n v="43"/>
    <n v="258"/>
    <x v="43"/>
    <x v="42"/>
    <x v="2"/>
    <x v="2"/>
    <x v="0"/>
    <x v="0"/>
    <x v="21"/>
    <x v="3"/>
    <x v="6"/>
    <x v="2"/>
    <x v="21"/>
  </r>
  <r>
    <x v="1109"/>
    <x v="6"/>
    <x v="9"/>
    <n v="108.8"/>
    <n v="544"/>
    <x v="43"/>
    <x v="41"/>
    <x v="2"/>
    <x v="4"/>
    <x v="2"/>
    <x v="0"/>
    <x v="21"/>
    <x v="2"/>
    <x v="6"/>
    <x v="2"/>
    <x v="21"/>
  </r>
  <r>
    <x v="1110"/>
    <x v="0"/>
    <x v="11"/>
    <n v="29.3"/>
    <n v="263.7"/>
    <x v="43"/>
    <x v="48"/>
    <x v="1"/>
    <x v="4"/>
    <x v="2"/>
    <x v="0"/>
    <x v="21"/>
    <x v="1"/>
    <x v="6"/>
    <x v="1"/>
    <x v="21"/>
  </r>
  <r>
    <x v="1111"/>
    <x v="2"/>
    <x v="0"/>
    <n v="122.7"/>
    <n v="122.7"/>
    <x v="43"/>
    <x v="41"/>
    <x v="3"/>
    <x v="0"/>
    <x v="2"/>
    <x v="0"/>
    <x v="1"/>
    <x v="2"/>
    <x v="6"/>
    <x v="3"/>
    <x v="1"/>
  </r>
  <r>
    <x v="1112"/>
    <x v="4"/>
    <x v="3"/>
    <n v="22.9"/>
    <n v="160.29999999999998"/>
    <x v="43"/>
    <x v="42"/>
    <x v="2"/>
    <x v="0"/>
    <x v="0"/>
    <x v="0"/>
    <x v="42"/>
    <x v="3"/>
    <x v="6"/>
    <x v="2"/>
    <x v="42"/>
  </r>
  <r>
    <x v="1113"/>
    <x v="8"/>
    <x v="7"/>
    <n v="25.5"/>
    <n v="255"/>
    <x v="43"/>
    <x v="49"/>
    <x v="2"/>
    <x v="0"/>
    <x v="0"/>
    <x v="0"/>
    <x v="33"/>
    <x v="6"/>
    <x v="6"/>
    <x v="2"/>
    <x v="33"/>
  </r>
  <r>
    <x v="1114"/>
    <x v="17"/>
    <x v="2"/>
    <n v="23.4"/>
    <n v="70.199999999999989"/>
    <x v="43"/>
    <x v="43"/>
    <x v="2"/>
    <x v="0"/>
    <x v="2"/>
    <x v="0"/>
    <x v="3"/>
    <x v="5"/>
    <x v="6"/>
    <x v="2"/>
    <x v="3"/>
  </r>
  <r>
    <x v="1115"/>
    <x v="5"/>
    <x v="8"/>
    <n v="27.4"/>
    <n v="219.2"/>
    <x v="43"/>
    <x v="41"/>
    <x v="2"/>
    <x v="2"/>
    <x v="0"/>
    <x v="0"/>
    <x v="3"/>
    <x v="2"/>
    <x v="6"/>
    <x v="2"/>
    <x v="3"/>
  </r>
  <r>
    <x v="1116"/>
    <x v="5"/>
    <x v="9"/>
    <n v="68.400000000000006"/>
    <n v="342"/>
    <x v="43"/>
    <x v="42"/>
    <x v="2"/>
    <x v="0"/>
    <x v="0"/>
    <x v="0"/>
    <x v="3"/>
    <x v="3"/>
    <x v="6"/>
    <x v="2"/>
    <x v="3"/>
  </r>
  <r>
    <x v="1117"/>
    <x v="6"/>
    <x v="0"/>
    <n v="51.9"/>
    <n v="51.9"/>
    <x v="43"/>
    <x v="45"/>
    <x v="2"/>
    <x v="0"/>
    <x v="0"/>
    <x v="0"/>
    <x v="3"/>
    <x v="7"/>
    <x v="6"/>
    <x v="2"/>
    <x v="3"/>
  </r>
  <r>
    <x v="1118"/>
    <x v="0"/>
    <x v="9"/>
    <n v="26.4"/>
    <n v="132"/>
    <x v="43"/>
    <x v="41"/>
    <x v="2"/>
    <x v="0"/>
    <x v="2"/>
    <x v="0"/>
    <x v="3"/>
    <x v="2"/>
    <x v="6"/>
    <x v="2"/>
    <x v="3"/>
  </r>
  <r>
    <x v="1119"/>
    <x v="12"/>
    <x v="1"/>
    <n v="117"/>
    <n v="234"/>
    <x v="43"/>
    <x v="42"/>
    <x v="2"/>
    <x v="1"/>
    <x v="1"/>
    <x v="0"/>
    <x v="3"/>
    <x v="3"/>
    <x v="6"/>
    <x v="2"/>
    <x v="3"/>
  </r>
  <r>
    <x v="1120"/>
    <x v="7"/>
    <x v="2"/>
    <n v="49.6"/>
    <n v="148.80000000000001"/>
    <x v="44"/>
    <x v="41"/>
    <x v="2"/>
    <x v="0"/>
    <x v="0"/>
    <x v="0"/>
    <x v="3"/>
    <x v="1"/>
    <x v="6"/>
    <x v="2"/>
    <x v="3"/>
  </r>
  <r>
    <x v="1121"/>
    <x v="4"/>
    <x v="2"/>
    <n v="38"/>
    <n v="114"/>
    <x v="44"/>
    <x v="43"/>
    <x v="1"/>
    <x v="2"/>
    <x v="4"/>
    <x v="0"/>
    <x v="3"/>
    <x v="2"/>
    <x v="6"/>
    <x v="1"/>
    <x v="3"/>
  </r>
  <r>
    <x v="1122"/>
    <x v="0"/>
    <x v="2"/>
    <n v="20.6"/>
    <n v="61.800000000000004"/>
    <x v="44"/>
    <x v="41"/>
    <x v="2"/>
    <x v="4"/>
    <x v="2"/>
    <x v="0"/>
    <x v="3"/>
    <x v="1"/>
    <x v="6"/>
    <x v="2"/>
    <x v="3"/>
  </r>
  <r>
    <x v="1123"/>
    <x v="0"/>
    <x v="1"/>
    <n v="16"/>
    <n v="32"/>
    <x v="44"/>
    <x v="48"/>
    <x v="1"/>
    <x v="1"/>
    <x v="1"/>
    <x v="0"/>
    <x v="49"/>
    <x v="3"/>
    <x v="6"/>
    <x v="1"/>
    <x v="49"/>
  </r>
  <r>
    <x v="1124"/>
    <x v="15"/>
    <x v="12"/>
    <n v="49.3"/>
    <n v="197.2"/>
    <x v="44"/>
    <x v="48"/>
    <x v="2"/>
    <x v="2"/>
    <x v="0"/>
    <x v="0"/>
    <x v="23"/>
    <x v="3"/>
    <x v="6"/>
    <x v="2"/>
    <x v="23"/>
  </r>
  <r>
    <x v="1125"/>
    <x v="9"/>
    <x v="1"/>
    <n v="24.1"/>
    <n v="48.2"/>
    <x v="44"/>
    <x v="50"/>
    <x v="2"/>
    <x v="0"/>
    <x v="0"/>
    <x v="0"/>
    <x v="6"/>
    <x v="5"/>
    <x v="6"/>
    <x v="2"/>
    <x v="6"/>
  </r>
  <r>
    <x v="1126"/>
    <x v="15"/>
    <x v="8"/>
    <n v="32.700000000000003"/>
    <n v="261.60000000000002"/>
    <x v="44"/>
    <x v="48"/>
    <x v="2"/>
    <x v="1"/>
    <x v="0"/>
    <x v="0"/>
    <x v="6"/>
    <x v="3"/>
    <x v="6"/>
    <x v="2"/>
    <x v="6"/>
  </r>
  <r>
    <x v="1127"/>
    <x v="6"/>
    <x v="2"/>
    <n v="74.400000000000006"/>
    <n v="223.20000000000002"/>
    <x v="44"/>
    <x v="48"/>
    <x v="2"/>
    <x v="3"/>
    <x v="2"/>
    <x v="0"/>
    <x v="8"/>
    <x v="3"/>
    <x v="6"/>
    <x v="2"/>
    <x v="8"/>
  </r>
  <r>
    <x v="1128"/>
    <x v="12"/>
    <x v="0"/>
    <n v="45.6"/>
    <n v="45.6"/>
    <x v="44"/>
    <x v="50"/>
    <x v="2"/>
    <x v="4"/>
    <x v="0"/>
    <x v="0"/>
    <x v="8"/>
    <x v="5"/>
    <x v="6"/>
    <x v="2"/>
    <x v="8"/>
  </r>
  <r>
    <x v="1129"/>
    <x v="8"/>
    <x v="8"/>
    <n v="19.600000000000001"/>
    <n v="156.80000000000001"/>
    <x v="44"/>
    <x v="53"/>
    <x v="2"/>
    <x v="0"/>
    <x v="0"/>
    <x v="0"/>
    <x v="8"/>
    <x v="10"/>
    <x v="6"/>
    <x v="2"/>
    <x v="8"/>
  </r>
  <r>
    <x v="1130"/>
    <x v="9"/>
    <x v="0"/>
    <n v="51.8"/>
    <n v="51.8"/>
    <x v="44"/>
    <x v="48"/>
    <x v="2"/>
    <x v="1"/>
    <x v="0"/>
    <x v="0"/>
    <x v="8"/>
    <x v="3"/>
    <x v="6"/>
    <x v="2"/>
    <x v="8"/>
  </r>
  <r>
    <x v="1131"/>
    <x v="6"/>
    <x v="0"/>
    <n v="74.7"/>
    <n v="74.7"/>
    <x v="44"/>
    <x v="48"/>
    <x v="1"/>
    <x v="0"/>
    <x v="1"/>
    <x v="0"/>
    <x v="8"/>
    <x v="3"/>
    <x v="6"/>
    <x v="1"/>
    <x v="8"/>
  </r>
  <r>
    <x v="1132"/>
    <x v="19"/>
    <x v="2"/>
    <n v="22.4"/>
    <n v="67.199999999999989"/>
    <x v="44"/>
    <x v="48"/>
    <x v="2"/>
    <x v="1"/>
    <x v="2"/>
    <x v="0"/>
    <x v="9"/>
    <x v="3"/>
    <x v="6"/>
    <x v="2"/>
    <x v="9"/>
  </r>
  <r>
    <x v="1133"/>
    <x v="1"/>
    <x v="12"/>
    <n v="31.4"/>
    <n v="125.6"/>
    <x v="44"/>
    <x v="48"/>
    <x v="2"/>
    <x v="1"/>
    <x v="0"/>
    <x v="0"/>
    <x v="9"/>
    <x v="3"/>
    <x v="6"/>
    <x v="2"/>
    <x v="9"/>
  </r>
  <r>
    <x v="1134"/>
    <x v="6"/>
    <x v="0"/>
    <n v="94"/>
    <n v="94"/>
    <x v="44"/>
    <x v="42"/>
    <x v="2"/>
    <x v="1"/>
    <x v="2"/>
    <x v="0"/>
    <x v="10"/>
    <x v="7"/>
    <x v="6"/>
    <x v="2"/>
    <x v="10"/>
  </r>
  <r>
    <x v="1135"/>
    <x v="10"/>
    <x v="0"/>
    <n v="22.3"/>
    <n v="22.3"/>
    <x v="44"/>
    <x v="48"/>
    <x v="1"/>
    <x v="4"/>
    <x v="0"/>
    <x v="0"/>
    <x v="20"/>
    <x v="3"/>
    <x v="6"/>
    <x v="1"/>
    <x v="20"/>
  </r>
  <r>
    <x v="1136"/>
    <x v="0"/>
    <x v="0"/>
    <n v="21.9"/>
    <n v="21.9"/>
    <x v="44"/>
    <x v="43"/>
    <x v="2"/>
    <x v="2"/>
    <x v="0"/>
    <x v="0"/>
    <x v="21"/>
    <x v="2"/>
    <x v="6"/>
    <x v="2"/>
    <x v="21"/>
  </r>
  <r>
    <x v="1137"/>
    <x v="17"/>
    <x v="2"/>
    <n v="27"/>
    <n v="81"/>
    <x v="44"/>
    <x v="41"/>
    <x v="2"/>
    <x v="4"/>
    <x v="2"/>
    <x v="0"/>
    <x v="2"/>
    <x v="1"/>
    <x v="6"/>
    <x v="2"/>
    <x v="2"/>
  </r>
  <r>
    <x v="1138"/>
    <x v="2"/>
    <x v="12"/>
    <n v="149.6"/>
    <n v="598.4"/>
    <x v="44"/>
    <x v="42"/>
    <x v="2"/>
    <x v="4"/>
    <x v="0"/>
    <x v="0"/>
    <x v="22"/>
    <x v="7"/>
    <x v="6"/>
    <x v="2"/>
    <x v="22"/>
  </r>
  <r>
    <x v="1139"/>
    <x v="2"/>
    <x v="12"/>
    <n v="129.1"/>
    <n v="516.4"/>
    <x v="44"/>
    <x v="54"/>
    <x v="1"/>
    <x v="0"/>
    <x v="1"/>
    <x v="0"/>
    <x v="3"/>
    <x v="14"/>
    <x v="6"/>
    <x v="1"/>
    <x v="3"/>
  </r>
  <r>
    <x v="1140"/>
    <x v="1"/>
    <x v="4"/>
    <n v="40.4"/>
    <n v="484.79999999999995"/>
    <x v="44"/>
    <x v="48"/>
    <x v="1"/>
    <x v="1"/>
    <x v="1"/>
    <x v="0"/>
    <x v="3"/>
    <x v="3"/>
    <x v="6"/>
    <x v="1"/>
    <x v="3"/>
  </r>
  <r>
    <x v="1141"/>
    <x v="4"/>
    <x v="2"/>
    <n v="48.5"/>
    <n v="145.5"/>
    <x v="44"/>
    <x v="41"/>
    <x v="2"/>
    <x v="0"/>
    <x v="4"/>
    <x v="0"/>
    <x v="3"/>
    <x v="1"/>
    <x v="6"/>
    <x v="2"/>
    <x v="3"/>
  </r>
  <r>
    <x v="1142"/>
    <x v="9"/>
    <x v="1"/>
    <n v="37.6"/>
    <n v="75.2"/>
    <x v="44"/>
    <x v="41"/>
    <x v="2"/>
    <x v="1"/>
    <x v="2"/>
    <x v="0"/>
    <x v="3"/>
    <x v="1"/>
    <x v="6"/>
    <x v="2"/>
    <x v="3"/>
  </r>
  <r>
    <x v="1143"/>
    <x v="8"/>
    <x v="1"/>
    <n v="19.600000000000001"/>
    <n v="39.200000000000003"/>
    <x v="44"/>
    <x v="48"/>
    <x v="1"/>
    <x v="3"/>
    <x v="4"/>
    <x v="0"/>
    <x v="43"/>
    <x v="3"/>
    <x v="6"/>
    <x v="1"/>
    <x v="43"/>
  </r>
  <r>
    <x v="1144"/>
    <x v="8"/>
    <x v="9"/>
    <n v="18.5"/>
    <n v="92.5"/>
    <x v="44"/>
    <x v="48"/>
    <x v="2"/>
    <x v="2"/>
    <x v="1"/>
    <x v="0"/>
    <x v="6"/>
    <x v="3"/>
    <x v="6"/>
    <x v="2"/>
    <x v="6"/>
  </r>
  <r>
    <x v="1145"/>
    <x v="5"/>
    <x v="2"/>
    <n v="25.5"/>
    <n v="76.5"/>
    <x v="44"/>
    <x v="41"/>
    <x v="2"/>
    <x v="4"/>
    <x v="1"/>
    <x v="0"/>
    <x v="6"/>
    <x v="1"/>
    <x v="6"/>
    <x v="2"/>
    <x v="6"/>
  </r>
  <r>
    <x v="1146"/>
    <x v="2"/>
    <x v="1"/>
    <n v="94.7"/>
    <n v="189.4"/>
    <x v="44"/>
    <x v="48"/>
    <x v="2"/>
    <x v="2"/>
    <x v="0"/>
    <x v="0"/>
    <x v="36"/>
    <x v="3"/>
    <x v="6"/>
    <x v="2"/>
    <x v="36"/>
  </r>
  <r>
    <x v="1147"/>
    <x v="1"/>
    <x v="13"/>
    <n v="38.799999999999997"/>
    <n v="232.79999999999998"/>
    <x v="44"/>
    <x v="46"/>
    <x v="2"/>
    <x v="2"/>
    <x v="2"/>
    <x v="0"/>
    <x v="8"/>
    <x v="0"/>
    <x v="6"/>
    <x v="2"/>
    <x v="8"/>
  </r>
  <r>
    <x v="1148"/>
    <x v="9"/>
    <x v="1"/>
    <n v="49.4"/>
    <n v="98.8"/>
    <x v="45"/>
    <x v="55"/>
    <x v="1"/>
    <x v="4"/>
    <x v="1"/>
    <x v="0"/>
    <x v="8"/>
    <x v="9"/>
    <x v="6"/>
    <x v="1"/>
    <x v="8"/>
  </r>
  <r>
    <x v="1149"/>
    <x v="7"/>
    <x v="2"/>
    <n v="68"/>
    <n v="204"/>
    <x v="45"/>
    <x v="50"/>
    <x v="1"/>
    <x v="0"/>
    <x v="2"/>
    <x v="0"/>
    <x v="8"/>
    <x v="2"/>
    <x v="6"/>
    <x v="1"/>
    <x v="8"/>
  </r>
  <r>
    <x v="1150"/>
    <x v="15"/>
    <x v="3"/>
    <n v="63.7"/>
    <n v="445.90000000000003"/>
    <x v="45"/>
    <x v="41"/>
    <x v="2"/>
    <x v="2"/>
    <x v="2"/>
    <x v="0"/>
    <x v="8"/>
    <x v="3"/>
    <x v="6"/>
    <x v="2"/>
    <x v="8"/>
  </r>
  <r>
    <x v="1151"/>
    <x v="10"/>
    <x v="1"/>
    <n v="66.2"/>
    <n v="132.4"/>
    <x v="45"/>
    <x v="41"/>
    <x v="2"/>
    <x v="4"/>
    <x v="2"/>
    <x v="0"/>
    <x v="17"/>
    <x v="3"/>
    <x v="6"/>
    <x v="2"/>
    <x v="17"/>
  </r>
  <r>
    <x v="1152"/>
    <x v="12"/>
    <x v="2"/>
    <n v="32.299999999999997"/>
    <n v="96.899999999999991"/>
    <x v="45"/>
    <x v="41"/>
    <x v="3"/>
    <x v="2"/>
    <x v="1"/>
    <x v="0"/>
    <x v="9"/>
    <x v="3"/>
    <x v="6"/>
    <x v="3"/>
    <x v="9"/>
  </r>
  <r>
    <x v="1153"/>
    <x v="4"/>
    <x v="1"/>
    <n v="66.900000000000006"/>
    <n v="133.80000000000001"/>
    <x v="45"/>
    <x v="50"/>
    <x v="1"/>
    <x v="1"/>
    <x v="0"/>
    <x v="0"/>
    <x v="11"/>
    <x v="2"/>
    <x v="6"/>
    <x v="1"/>
    <x v="11"/>
  </r>
  <r>
    <x v="1154"/>
    <x v="4"/>
    <x v="4"/>
    <n v="25.2"/>
    <n v="302.39999999999998"/>
    <x v="45"/>
    <x v="46"/>
    <x v="2"/>
    <x v="0"/>
    <x v="1"/>
    <x v="0"/>
    <x v="11"/>
    <x v="5"/>
    <x v="6"/>
    <x v="2"/>
    <x v="11"/>
  </r>
  <r>
    <x v="1155"/>
    <x v="10"/>
    <x v="13"/>
    <n v="29.5"/>
    <n v="177"/>
    <x v="45"/>
    <x v="41"/>
    <x v="1"/>
    <x v="2"/>
    <x v="0"/>
    <x v="0"/>
    <x v="11"/>
    <x v="3"/>
    <x v="6"/>
    <x v="1"/>
    <x v="11"/>
  </r>
  <r>
    <x v="1156"/>
    <x v="8"/>
    <x v="9"/>
    <n v="21.6"/>
    <n v="108"/>
    <x v="45"/>
    <x v="43"/>
    <x v="2"/>
    <x v="0"/>
    <x v="2"/>
    <x v="0"/>
    <x v="32"/>
    <x v="1"/>
    <x v="6"/>
    <x v="2"/>
    <x v="32"/>
  </r>
  <r>
    <x v="1157"/>
    <x v="12"/>
    <x v="2"/>
    <n v="69"/>
    <n v="207"/>
    <x v="45"/>
    <x v="41"/>
    <x v="2"/>
    <x v="0"/>
    <x v="0"/>
    <x v="0"/>
    <x v="18"/>
    <x v="3"/>
    <x v="6"/>
    <x v="2"/>
    <x v="18"/>
  </r>
  <r>
    <x v="1158"/>
    <x v="7"/>
    <x v="1"/>
    <n v="115"/>
    <n v="230"/>
    <x v="45"/>
    <x v="46"/>
    <x v="1"/>
    <x v="0"/>
    <x v="2"/>
    <x v="0"/>
    <x v="18"/>
    <x v="5"/>
    <x v="6"/>
    <x v="1"/>
    <x v="18"/>
  </r>
  <r>
    <x v="1159"/>
    <x v="2"/>
    <x v="1"/>
    <n v="109.3"/>
    <n v="218.6"/>
    <x v="45"/>
    <x v="43"/>
    <x v="0"/>
    <x v="3"/>
    <x v="1"/>
    <x v="0"/>
    <x v="19"/>
    <x v="1"/>
    <x v="6"/>
    <x v="0"/>
    <x v="19"/>
  </r>
  <r>
    <x v="1160"/>
    <x v="9"/>
    <x v="1"/>
    <n v="66.599999999999994"/>
    <n v="133.19999999999999"/>
    <x v="45"/>
    <x v="50"/>
    <x v="0"/>
    <x v="4"/>
    <x v="1"/>
    <x v="0"/>
    <x v="19"/>
    <x v="2"/>
    <x v="6"/>
    <x v="0"/>
    <x v="19"/>
  </r>
  <r>
    <x v="1161"/>
    <x v="12"/>
    <x v="9"/>
    <n v="47.7"/>
    <n v="238.5"/>
    <x v="45"/>
    <x v="41"/>
    <x v="1"/>
    <x v="3"/>
    <x v="2"/>
    <x v="0"/>
    <x v="21"/>
    <x v="3"/>
    <x v="6"/>
    <x v="1"/>
    <x v="21"/>
  </r>
  <r>
    <x v="1162"/>
    <x v="8"/>
    <x v="1"/>
    <n v="46"/>
    <n v="92"/>
    <x v="45"/>
    <x v="41"/>
    <x v="2"/>
    <x v="4"/>
    <x v="4"/>
    <x v="0"/>
    <x v="22"/>
    <x v="3"/>
    <x v="6"/>
    <x v="2"/>
    <x v="22"/>
  </r>
  <r>
    <x v="1163"/>
    <x v="1"/>
    <x v="13"/>
    <n v="39.299999999999997"/>
    <n v="235.79999999999998"/>
    <x v="45"/>
    <x v="43"/>
    <x v="1"/>
    <x v="3"/>
    <x v="2"/>
    <x v="0"/>
    <x v="3"/>
    <x v="1"/>
    <x v="6"/>
    <x v="1"/>
    <x v="3"/>
  </r>
  <r>
    <x v="1164"/>
    <x v="9"/>
    <x v="0"/>
    <n v="70.2"/>
    <n v="70.2"/>
    <x v="45"/>
    <x v="41"/>
    <x v="2"/>
    <x v="0"/>
    <x v="4"/>
    <x v="0"/>
    <x v="3"/>
    <x v="3"/>
    <x v="6"/>
    <x v="2"/>
    <x v="3"/>
  </r>
  <r>
    <x v="1165"/>
    <x v="3"/>
    <x v="12"/>
    <n v="71.5"/>
    <n v="286"/>
    <x v="45"/>
    <x v="48"/>
    <x v="2"/>
    <x v="1"/>
    <x v="2"/>
    <x v="0"/>
    <x v="3"/>
    <x v="7"/>
    <x v="6"/>
    <x v="2"/>
    <x v="3"/>
  </r>
  <r>
    <x v="1166"/>
    <x v="10"/>
    <x v="3"/>
    <n v="31"/>
    <n v="217"/>
    <x v="45"/>
    <x v="56"/>
    <x v="2"/>
    <x v="3"/>
    <x v="2"/>
    <x v="0"/>
    <x v="3"/>
    <x v="6"/>
    <x v="6"/>
    <x v="2"/>
    <x v="3"/>
  </r>
  <r>
    <x v="1167"/>
    <x v="2"/>
    <x v="9"/>
    <n v="68.2"/>
    <n v="341"/>
    <x v="45"/>
    <x v="49"/>
    <x v="2"/>
    <x v="0"/>
    <x v="2"/>
    <x v="0"/>
    <x v="3"/>
    <x v="0"/>
    <x v="6"/>
    <x v="2"/>
    <x v="3"/>
  </r>
  <r>
    <x v="1168"/>
    <x v="2"/>
    <x v="0"/>
    <n v="91.4"/>
    <n v="91.4"/>
    <x v="45"/>
    <x v="46"/>
    <x v="2"/>
    <x v="1"/>
    <x v="2"/>
    <x v="0"/>
    <x v="6"/>
    <x v="5"/>
    <x v="6"/>
    <x v="2"/>
    <x v="6"/>
  </r>
  <r>
    <x v="1169"/>
    <x v="6"/>
    <x v="7"/>
    <n v="112.9"/>
    <n v="1129"/>
    <x v="45"/>
    <x v="41"/>
    <x v="2"/>
    <x v="0"/>
    <x v="0"/>
    <x v="0"/>
    <x v="6"/>
    <x v="3"/>
    <x v="6"/>
    <x v="2"/>
    <x v="6"/>
  </r>
  <r>
    <x v="1170"/>
    <x v="17"/>
    <x v="11"/>
    <n v="33.700000000000003"/>
    <n v="303.3"/>
    <x v="45"/>
    <x v="41"/>
    <x v="2"/>
    <x v="1"/>
    <x v="2"/>
    <x v="0"/>
    <x v="8"/>
    <x v="3"/>
    <x v="6"/>
    <x v="2"/>
    <x v="8"/>
  </r>
  <r>
    <x v="1171"/>
    <x v="15"/>
    <x v="7"/>
    <n v="35.299999999999997"/>
    <n v="353"/>
    <x v="45"/>
    <x v="43"/>
    <x v="1"/>
    <x v="2"/>
    <x v="0"/>
    <x v="0"/>
    <x v="8"/>
    <x v="1"/>
    <x v="6"/>
    <x v="1"/>
    <x v="8"/>
  </r>
  <r>
    <x v="1172"/>
    <x v="18"/>
    <x v="2"/>
    <n v="45.6"/>
    <n v="136.80000000000001"/>
    <x v="45"/>
    <x v="46"/>
    <x v="1"/>
    <x v="3"/>
    <x v="0"/>
    <x v="0"/>
    <x v="8"/>
    <x v="5"/>
    <x v="6"/>
    <x v="1"/>
    <x v="8"/>
  </r>
  <r>
    <x v="1173"/>
    <x v="7"/>
    <x v="3"/>
    <n v="47.1"/>
    <n v="329.7"/>
    <x v="45"/>
    <x v="41"/>
    <x v="2"/>
    <x v="4"/>
    <x v="2"/>
    <x v="0"/>
    <x v="9"/>
    <x v="3"/>
    <x v="6"/>
    <x v="2"/>
    <x v="9"/>
  </r>
  <r>
    <x v="1174"/>
    <x v="8"/>
    <x v="9"/>
    <n v="16.2"/>
    <n v="81"/>
    <x v="45"/>
    <x v="43"/>
    <x v="2"/>
    <x v="3"/>
    <x v="2"/>
    <x v="0"/>
    <x v="19"/>
    <x v="1"/>
    <x v="6"/>
    <x v="2"/>
    <x v="19"/>
  </r>
  <r>
    <x v="1175"/>
    <x v="1"/>
    <x v="1"/>
    <n v="159.69999999999999"/>
    <n v="319.39999999999998"/>
    <x v="46"/>
    <x v="43"/>
    <x v="1"/>
    <x v="4"/>
    <x v="0"/>
    <x v="0"/>
    <x v="13"/>
    <x v="3"/>
    <x v="7"/>
    <x v="1"/>
    <x v="13"/>
  </r>
  <r>
    <x v="1176"/>
    <x v="8"/>
    <x v="12"/>
    <n v="19"/>
    <n v="76"/>
    <x v="46"/>
    <x v="55"/>
    <x v="2"/>
    <x v="2"/>
    <x v="2"/>
    <x v="0"/>
    <x v="21"/>
    <x v="6"/>
    <x v="7"/>
    <x v="2"/>
    <x v="21"/>
  </r>
  <r>
    <x v="1177"/>
    <x v="6"/>
    <x v="13"/>
    <n v="91.1"/>
    <n v="546.59999999999991"/>
    <x v="46"/>
    <x v="51"/>
    <x v="2"/>
    <x v="4"/>
    <x v="0"/>
    <x v="0"/>
    <x v="21"/>
    <x v="8"/>
    <x v="7"/>
    <x v="2"/>
    <x v="21"/>
  </r>
  <r>
    <x v="1178"/>
    <x v="2"/>
    <x v="9"/>
    <n v="94.1"/>
    <n v="470.5"/>
    <x v="46"/>
    <x v="46"/>
    <x v="0"/>
    <x v="1"/>
    <x v="1"/>
    <x v="0"/>
    <x v="21"/>
    <x v="2"/>
    <x v="7"/>
    <x v="0"/>
    <x v="21"/>
  </r>
  <r>
    <x v="1179"/>
    <x v="9"/>
    <x v="11"/>
    <n v="21.1"/>
    <n v="189.9"/>
    <x v="46"/>
    <x v="43"/>
    <x v="2"/>
    <x v="4"/>
    <x v="2"/>
    <x v="0"/>
    <x v="51"/>
    <x v="3"/>
    <x v="7"/>
    <x v="2"/>
    <x v="51"/>
  </r>
  <r>
    <x v="1180"/>
    <x v="8"/>
    <x v="3"/>
    <n v="15.3"/>
    <n v="107.10000000000001"/>
    <x v="46"/>
    <x v="54"/>
    <x v="2"/>
    <x v="2"/>
    <x v="0"/>
    <x v="0"/>
    <x v="1"/>
    <x v="9"/>
    <x v="7"/>
    <x v="2"/>
    <x v="1"/>
  </r>
  <r>
    <x v="1181"/>
    <x v="15"/>
    <x v="12"/>
    <n v="21.3"/>
    <n v="85.2"/>
    <x v="46"/>
    <x v="46"/>
    <x v="1"/>
    <x v="1"/>
    <x v="0"/>
    <x v="0"/>
    <x v="3"/>
    <x v="2"/>
    <x v="7"/>
    <x v="1"/>
    <x v="3"/>
  </r>
  <r>
    <x v="1182"/>
    <x v="0"/>
    <x v="1"/>
    <n v="23.2"/>
    <n v="46.4"/>
    <x v="46"/>
    <x v="41"/>
    <x v="0"/>
    <x v="3"/>
    <x v="1"/>
    <x v="0"/>
    <x v="3"/>
    <x v="7"/>
    <x v="7"/>
    <x v="0"/>
    <x v="3"/>
  </r>
  <r>
    <x v="1183"/>
    <x v="4"/>
    <x v="2"/>
    <n v="25.7"/>
    <n v="77.099999999999994"/>
    <x v="46"/>
    <x v="43"/>
    <x v="1"/>
    <x v="4"/>
    <x v="0"/>
    <x v="0"/>
    <x v="3"/>
    <x v="3"/>
    <x v="7"/>
    <x v="1"/>
    <x v="3"/>
  </r>
  <r>
    <x v="1184"/>
    <x v="0"/>
    <x v="11"/>
    <n v="31.6"/>
    <n v="284.40000000000003"/>
    <x v="46"/>
    <x v="50"/>
    <x v="2"/>
    <x v="0"/>
    <x v="0"/>
    <x v="0"/>
    <x v="3"/>
    <x v="1"/>
    <x v="7"/>
    <x v="2"/>
    <x v="3"/>
  </r>
  <r>
    <x v="1185"/>
    <x v="6"/>
    <x v="0"/>
    <n v="64.2"/>
    <n v="64.2"/>
    <x v="46"/>
    <x v="47"/>
    <x v="1"/>
    <x v="0"/>
    <x v="0"/>
    <x v="0"/>
    <x v="3"/>
    <x v="0"/>
    <x v="7"/>
    <x v="1"/>
    <x v="3"/>
  </r>
  <r>
    <x v="1186"/>
    <x v="8"/>
    <x v="1"/>
    <n v="55.8"/>
    <n v="111.6"/>
    <x v="46"/>
    <x v="50"/>
    <x v="0"/>
    <x v="0"/>
    <x v="0"/>
    <x v="0"/>
    <x v="3"/>
    <x v="1"/>
    <x v="7"/>
    <x v="0"/>
    <x v="3"/>
  </r>
  <r>
    <x v="1187"/>
    <x v="8"/>
    <x v="1"/>
    <n v="28.1"/>
    <n v="56.2"/>
    <x v="46"/>
    <x v="43"/>
    <x v="2"/>
    <x v="4"/>
    <x v="1"/>
    <x v="0"/>
    <x v="3"/>
    <x v="3"/>
    <x v="7"/>
    <x v="2"/>
    <x v="3"/>
  </r>
  <r>
    <x v="1188"/>
    <x v="0"/>
    <x v="1"/>
    <n v="11.6"/>
    <n v="23.2"/>
    <x v="46"/>
    <x v="50"/>
    <x v="2"/>
    <x v="1"/>
    <x v="0"/>
    <x v="0"/>
    <x v="24"/>
    <x v="1"/>
    <x v="7"/>
    <x v="2"/>
    <x v="24"/>
  </r>
  <r>
    <x v="1189"/>
    <x v="5"/>
    <x v="2"/>
    <n v="50.4"/>
    <n v="151.19999999999999"/>
    <x v="46"/>
    <x v="43"/>
    <x v="1"/>
    <x v="4"/>
    <x v="2"/>
    <x v="0"/>
    <x v="25"/>
    <x v="3"/>
    <x v="7"/>
    <x v="1"/>
    <x v="25"/>
  </r>
  <r>
    <x v="1190"/>
    <x v="6"/>
    <x v="13"/>
    <n v="48.3"/>
    <n v="289.79999999999995"/>
    <x v="46"/>
    <x v="49"/>
    <x v="2"/>
    <x v="0"/>
    <x v="0"/>
    <x v="0"/>
    <x v="25"/>
    <x v="5"/>
    <x v="7"/>
    <x v="2"/>
    <x v="25"/>
  </r>
  <r>
    <x v="1191"/>
    <x v="17"/>
    <x v="3"/>
    <n v="32.200000000000003"/>
    <n v="225.40000000000003"/>
    <x v="46"/>
    <x v="50"/>
    <x v="2"/>
    <x v="2"/>
    <x v="0"/>
    <x v="0"/>
    <x v="25"/>
    <x v="1"/>
    <x v="7"/>
    <x v="2"/>
    <x v="25"/>
  </r>
  <r>
    <x v="1192"/>
    <x v="7"/>
    <x v="31"/>
    <n v="48.5"/>
    <n v="1358"/>
    <x v="46"/>
    <x v="43"/>
    <x v="1"/>
    <x v="0"/>
    <x v="0"/>
    <x v="0"/>
    <x v="5"/>
    <x v="3"/>
    <x v="7"/>
    <x v="1"/>
    <x v="5"/>
  </r>
  <r>
    <x v="1193"/>
    <x v="2"/>
    <x v="9"/>
    <n v="62"/>
    <n v="310"/>
    <x v="46"/>
    <x v="46"/>
    <x v="2"/>
    <x v="1"/>
    <x v="0"/>
    <x v="0"/>
    <x v="6"/>
    <x v="2"/>
    <x v="7"/>
    <x v="2"/>
    <x v="6"/>
  </r>
  <r>
    <x v="1194"/>
    <x v="8"/>
    <x v="2"/>
    <n v="32.1"/>
    <n v="96.300000000000011"/>
    <x v="47"/>
    <x v="46"/>
    <x v="1"/>
    <x v="0"/>
    <x v="0"/>
    <x v="0"/>
    <x v="6"/>
    <x v="1"/>
    <x v="7"/>
    <x v="1"/>
    <x v="6"/>
  </r>
  <r>
    <x v="1195"/>
    <x v="12"/>
    <x v="2"/>
    <n v="106.1"/>
    <n v="318.29999999999995"/>
    <x v="47"/>
    <x v="46"/>
    <x v="1"/>
    <x v="0"/>
    <x v="1"/>
    <x v="0"/>
    <x v="7"/>
    <x v="1"/>
    <x v="7"/>
    <x v="1"/>
    <x v="7"/>
  </r>
  <r>
    <x v="1196"/>
    <x v="10"/>
    <x v="2"/>
    <n v="23.5"/>
    <n v="70.5"/>
    <x v="47"/>
    <x v="49"/>
    <x v="1"/>
    <x v="0"/>
    <x v="4"/>
    <x v="0"/>
    <x v="7"/>
    <x v="2"/>
    <x v="7"/>
    <x v="1"/>
    <x v="7"/>
  </r>
  <r>
    <x v="1197"/>
    <x v="1"/>
    <x v="1"/>
    <n v="35.6"/>
    <n v="71.2"/>
    <x v="47"/>
    <x v="56"/>
    <x v="1"/>
    <x v="4"/>
    <x v="0"/>
    <x v="0"/>
    <x v="8"/>
    <x v="0"/>
    <x v="7"/>
    <x v="1"/>
    <x v="8"/>
  </r>
  <r>
    <x v="1198"/>
    <x v="1"/>
    <x v="1"/>
    <n v="63.5"/>
    <n v="127"/>
    <x v="47"/>
    <x v="43"/>
    <x v="2"/>
    <x v="1"/>
    <x v="2"/>
    <x v="0"/>
    <x v="8"/>
    <x v="7"/>
    <x v="7"/>
    <x v="2"/>
    <x v="8"/>
  </r>
  <r>
    <x v="1199"/>
    <x v="6"/>
    <x v="3"/>
    <n v="82.9"/>
    <n v="580.30000000000007"/>
    <x v="47"/>
    <x v="56"/>
    <x v="2"/>
    <x v="4"/>
    <x v="0"/>
    <x v="0"/>
    <x v="9"/>
    <x v="0"/>
    <x v="7"/>
    <x v="2"/>
    <x v="9"/>
  </r>
  <r>
    <x v="1200"/>
    <x v="6"/>
    <x v="1"/>
    <n v="83.6"/>
    <n v="167.2"/>
    <x v="47"/>
    <x v="56"/>
    <x v="2"/>
    <x v="0"/>
    <x v="0"/>
    <x v="0"/>
    <x v="11"/>
    <x v="0"/>
    <x v="7"/>
    <x v="2"/>
    <x v="11"/>
  </r>
  <r>
    <x v="1201"/>
    <x v="4"/>
    <x v="1"/>
    <n v="29.4"/>
    <n v="58.8"/>
    <x v="47"/>
    <x v="43"/>
    <x v="2"/>
    <x v="0"/>
    <x v="1"/>
    <x v="0"/>
    <x v="30"/>
    <x v="7"/>
    <x v="7"/>
    <x v="2"/>
    <x v="30"/>
  </r>
  <r>
    <x v="1202"/>
    <x v="2"/>
    <x v="2"/>
    <n v="107.1"/>
    <n v="321.29999999999995"/>
    <x v="47"/>
    <x v="47"/>
    <x v="2"/>
    <x v="2"/>
    <x v="0"/>
    <x v="0"/>
    <x v="20"/>
    <x v="5"/>
    <x v="7"/>
    <x v="2"/>
    <x v="20"/>
  </r>
  <r>
    <x v="1203"/>
    <x v="2"/>
    <x v="0"/>
    <n v="62.7"/>
    <n v="62.7"/>
    <x v="47"/>
    <x v="47"/>
    <x v="1"/>
    <x v="1"/>
    <x v="0"/>
    <x v="0"/>
    <x v="21"/>
    <x v="5"/>
    <x v="7"/>
    <x v="1"/>
    <x v="21"/>
  </r>
  <r>
    <x v="1204"/>
    <x v="11"/>
    <x v="0"/>
    <n v="41.6"/>
    <n v="41.6"/>
    <x v="47"/>
    <x v="50"/>
    <x v="1"/>
    <x v="0"/>
    <x v="1"/>
    <x v="0"/>
    <x v="1"/>
    <x v="3"/>
    <x v="7"/>
    <x v="1"/>
    <x v="1"/>
  </r>
  <r>
    <x v="1205"/>
    <x v="6"/>
    <x v="0"/>
    <n v="44.2"/>
    <n v="44.2"/>
    <x v="47"/>
    <x v="50"/>
    <x v="3"/>
    <x v="0"/>
    <x v="1"/>
    <x v="0"/>
    <x v="1"/>
    <x v="3"/>
    <x v="7"/>
    <x v="3"/>
    <x v="1"/>
  </r>
  <r>
    <x v="1206"/>
    <x v="4"/>
    <x v="13"/>
    <n v="40.4"/>
    <n v="242.39999999999998"/>
    <x v="47"/>
    <x v="57"/>
    <x v="2"/>
    <x v="2"/>
    <x v="0"/>
    <x v="0"/>
    <x v="22"/>
    <x v="10"/>
    <x v="7"/>
    <x v="2"/>
    <x v="22"/>
  </r>
  <r>
    <x v="1207"/>
    <x v="15"/>
    <x v="13"/>
    <n v="59.6"/>
    <n v="357.6"/>
    <x v="47"/>
    <x v="50"/>
    <x v="2"/>
    <x v="4"/>
    <x v="0"/>
    <x v="0"/>
    <x v="34"/>
    <x v="3"/>
    <x v="7"/>
    <x v="2"/>
    <x v="34"/>
  </r>
  <r>
    <x v="1208"/>
    <x v="17"/>
    <x v="4"/>
    <n v="63.8"/>
    <n v="765.59999999999991"/>
    <x v="47"/>
    <x v="50"/>
    <x v="1"/>
    <x v="1"/>
    <x v="0"/>
    <x v="0"/>
    <x v="3"/>
    <x v="3"/>
    <x v="7"/>
    <x v="1"/>
    <x v="3"/>
  </r>
  <r>
    <x v="1209"/>
    <x v="9"/>
    <x v="13"/>
    <n v="30.8"/>
    <n v="184.8"/>
    <x v="47"/>
    <x v="46"/>
    <x v="1"/>
    <x v="4"/>
    <x v="0"/>
    <x v="0"/>
    <x v="3"/>
    <x v="1"/>
    <x v="7"/>
    <x v="1"/>
    <x v="3"/>
  </r>
  <r>
    <x v="1210"/>
    <x v="1"/>
    <x v="1"/>
    <n v="41.5"/>
    <n v="83"/>
    <x v="47"/>
    <x v="49"/>
    <x v="3"/>
    <x v="0"/>
    <x v="0"/>
    <x v="0"/>
    <x v="3"/>
    <x v="2"/>
    <x v="7"/>
    <x v="3"/>
    <x v="3"/>
  </r>
  <r>
    <x v="1211"/>
    <x v="10"/>
    <x v="12"/>
    <n v="44.7"/>
    <n v="178.8"/>
    <x v="47"/>
    <x v="46"/>
    <x v="2"/>
    <x v="2"/>
    <x v="1"/>
    <x v="0"/>
    <x v="3"/>
    <x v="1"/>
    <x v="7"/>
    <x v="2"/>
    <x v="3"/>
  </r>
  <r>
    <x v="1212"/>
    <x v="12"/>
    <x v="1"/>
    <n v="64.099999999999994"/>
    <n v="128.19999999999999"/>
    <x v="47"/>
    <x v="47"/>
    <x v="2"/>
    <x v="1"/>
    <x v="4"/>
    <x v="0"/>
    <x v="3"/>
    <x v="5"/>
    <x v="7"/>
    <x v="2"/>
    <x v="3"/>
  </r>
  <r>
    <x v="1213"/>
    <x v="8"/>
    <x v="0"/>
    <n v="15.9"/>
    <n v="15.9"/>
    <x v="47"/>
    <x v="49"/>
    <x v="0"/>
    <x v="1"/>
    <x v="0"/>
    <x v="0"/>
    <x v="3"/>
    <x v="2"/>
    <x v="7"/>
    <x v="0"/>
    <x v="3"/>
  </r>
  <r>
    <x v="1214"/>
    <x v="6"/>
    <x v="1"/>
    <n v="78.7"/>
    <n v="157.4"/>
    <x v="47"/>
    <x v="43"/>
    <x v="2"/>
    <x v="2"/>
    <x v="1"/>
    <x v="0"/>
    <x v="3"/>
    <x v="7"/>
    <x v="7"/>
    <x v="2"/>
    <x v="3"/>
  </r>
  <r>
    <x v="1215"/>
    <x v="5"/>
    <x v="4"/>
    <n v="29.6"/>
    <n v="355.20000000000005"/>
    <x v="47"/>
    <x v="47"/>
    <x v="1"/>
    <x v="2"/>
    <x v="4"/>
    <x v="0"/>
    <x v="3"/>
    <x v="5"/>
    <x v="7"/>
    <x v="1"/>
    <x v="3"/>
  </r>
  <r>
    <x v="1216"/>
    <x v="8"/>
    <x v="12"/>
    <n v="21.5"/>
    <n v="86"/>
    <x v="47"/>
    <x v="49"/>
    <x v="1"/>
    <x v="1"/>
    <x v="0"/>
    <x v="0"/>
    <x v="3"/>
    <x v="2"/>
    <x v="7"/>
    <x v="1"/>
    <x v="3"/>
  </r>
  <r>
    <x v="1217"/>
    <x v="9"/>
    <x v="2"/>
    <n v="74.900000000000006"/>
    <n v="224.70000000000002"/>
    <x v="47"/>
    <x v="52"/>
    <x v="1"/>
    <x v="3"/>
    <x v="1"/>
    <x v="0"/>
    <x v="3"/>
    <x v="8"/>
    <x v="7"/>
    <x v="1"/>
    <x v="3"/>
  </r>
  <r>
    <x v="1218"/>
    <x v="10"/>
    <x v="13"/>
    <n v="45"/>
    <n v="270"/>
    <x v="47"/>
    <x v="56"/>
    <x v="2"/>
    <x v="2"/>
    <x v="0"/>
    <x v="0"/>
    <x v="3"/>
    <x v="0"/>
    <x v="7"/>
    <x v="2"/>
    <x v="3"/>
  </r>
  <r>
    <x v="1219"/>
    <x v="7"/>
    <x v="33"/>
    <n v="37.9"/>
    <n v="1288.5999999999999"/>
    <x v="47"/>
    <x v="50"/>
    <x v="1"/>
    <x v="0"/>
    <x v="0"/>
    <x v="0"/>
    <x v="3"/>
    <x v="3"/>
    <x v="7"/>
    <x v="1"/>
    <x v="3"/>
  </r>
  <r>
    <x v="1220"/>
    <x v="6"/>
    <x v="2"/>
    <n v="56.6"/>
    <n v="169.8"/>
    <x v="47"/>
    <x v="50"/>
    <x v="1"/>
    <x v="3"/>
    <x v="0"/>
    <x v="0"/>
    <x v="3"/>
    <x v="3"/>
    <x v="7"/>
    <x v="1"/>
    <x v="3"/>
  </r>
  <r>
    <x v="1221"/>
    <x v="3"/>
    <x v="15"/>
    <n v="84.5"/>
    <n v="1098.5"/>
    <x v="47"/>
    <x v="49"/>
    <x v="2"/>
    <x v="1"/>
    <x v="4"/>
    <x v="0"/>
    <x v="3"/>
    <x v="2"/>
    <x v="7"/>
    <x v="2"/>
    <x v="3"/>
  </r>
  <r>
    <x v="1222"/>
    <x v="2"/>
    <x v="9"/>
    <n v="105.4"/>
    <n v="527"/>
    <x v="47"/>
    <x v="46"/>
    <x v="2"/>
    <x v="1"/>
    <x v="1"/>
    <x v="0"/>
    <x v="3"/>
    <x v="1"/>
    <x v="7"/>
    <x v="2"/>
    <x v="3"/>
  </r>
  <r>
    <x v="1223"/>
    <x v="18"/>
    <x v="3"/>
    <n v="39.4"/>
    <n v="275.8"/>
    <x v="48"/>
    <x v="50"/>
    <x v="1"/>
    <x v="1"/>
    <x v="0"/>
    <x v="0"/>
    <x v="37"/>
    <x v="7"/>
    <x v="7"/>
    <x v="1"/>
    <x v="37"/>
  </r>
  <r>
    <x v="1224"/>
    <x v="19"/>
    <x v="2"/>
    <n v="38"/>
    <n v="114"/>
    <x v="48"/>
    <x v="47"/>
    <x v="1"/>
    <x v="4"/>
    <x v="1"/>
    <x v="0"/>
    <x v="6"/>
    <x v="2"/>
    <x v="7"/>
    <x v="1"/>
    <x v="6"/>
  </r>
  <r>
    <x v="1225"/>
    <x v="17"/>
    <x v="12"/>
    <n v="42.5"/>
    <n v="170"/>
    <x v="48"/>
    <x v="49"/>
    <x v="0"/>
    <x v="0"/>
    <x v="0"/>
    <x v="0"/>
    <x v="6"/>
    <x v="1"/>
    <x v="7"/>
    <x v="0"/>
    <x v="6"/>
  </r>
  <r>
    <x v="1226"/>
    <x v="15"/>
    <x v="0"/>
    <n v="62.3"/>
    <n v="62.3"/>
    <x v="48"/>
    <x v="53"/>
    <x v="1"/>
    <x v="0"/>
    <x v="2"/>
    <x v="0"/>
    <x v="6"/>
    <x v="8"/>
    <x v="7"/>
    <x v="1"/>
    <x v="6"/>
  </r>
  <r>
    <x v="1227"/>
    <x v="6"/>
    <x v="9"/>
    <n v="49.1"/>
    <n v="245.5"/>
    <x v="48"/>
    <x v="49"/>
    <x v="2"/>
    <x v="1"/>
    <x v="2"/>
    <x v="0"/>
    <x v="7"/>
    <x v="1"/>
    <x v="7"/>
    <x v="2"/>
    <x v="7"/>
  </r>
  <r>
    <x v="1228"/>
    <x v="3"/>
    <x v="1"/>
    <n v="30.5"/>
    <n v="61"/>
    <x v="48"/>
    <x v="47"/>
    <x v="1"/>
    <x v="0"/>
    <x v="2"/>
    <x v="0"/>
    <x v="8"/>
    <x v="2"/>
    <x v="7"/>
    <x v="1"/>
    <x v="8"/>
  </r>
  <r>
    <x v="1229"/>
    <x v="2"/>
    <x v="1"/>
    <n v="154.80000000000001"/>
    <n v="309.60000000000002"/>
    <x v="48"/>
    <x v="47"/>
    <x v="2"/>
    <x v="1"/>
    <x v="4"/>
    <x v="0"/>
    <x v="8"/>
    <x v="2"/>
    <x v="7"/>
    <x v="2"/>
    <x v="8"/>
  </r>
  <r>
    <x v="1230"/>
    <x v="6"/>
    <x v="0"/>
    <n v="45"/>
    <n v="45"/>
    <x v="48"/>
    <x v="56"/>
    <x v="1"/>
    <x v="3"/>
    <x v="1"/>
    <x v="0"/>
    <x v="8"/>
    <x v="5"/>
    <x v="7"/>
    <x v="1"/>
    <x v="8"/>
  </r>
  <r>
    <x v="1231"/>
    <x v="0"/>
    <x v="3"/>
    <n v="15.3"/>
    <n v="107.10000000000001"/>
    <x v="48"/>
    <x v="46"/>
    <x v="1"/>
    <x v="0"/>
    <x v="2"/>
    <x v="0"/>
    <x v="8"/>
    <x v="3"/>
    <x v="7"/>
    <x v="1"/>
    <x v="8"/>
  </r>
  <r>
    <x v="1232"/>
    <x v="2"/>
    <x v="5"/>
    <n v="88.6"/>
    <n v="974.59999999999991"/>
    <x v="48"/>
    <x v="47"/>
    <x v="2"/>
    <x v="0"/>
    <x v="4"/>
    <x v="0"/>
    <x v="17"/>
    <x v="2"/>
    <x v="7"/>
    <x v="2"/>
    <x v="17"/>
  </r>
  <r>
    <x v="1233"/>
    <x v="9"/>
    <x v="1"/>
    <n v="49.7"/>
    <n v="99.4"/>
    <x v="48"/>
    <x v="49"/>
    <x v="3"/>
    <x v="4"/>
    <x v="0"/>
    <x v="0"/>
    <x v="10"/>
    <x v="1"/>
    <x v="7"/>
    <x v="3"/>
    <x v="10"/>
  </r>
  <r>
    <x v="1234"/>
    <x v="10"/>
    <x v="0"/>
    <n v="29"/>
    <n v="29"/>
    <x v="48"/>
    <x v="46"/>
    <x v="1"/>
    <x v="0"/>
    <x v="0"/>
    <x v="0"/>
    <x v="11"/>
    <x v="3"/>
    <x v="7"/>
    <x v="1"/>
    <x v="11"/>
  </r>
  <r>
    <x v="1235"/>
    <x v="1"/>
    <x v="0"/>
    <n v="60.7"/>
    <n v="60.7"/>
    <x v="48"/>
    <x v="46"/>
    <x v="3"/>
    <x v="0"/>
    <x v="1"/>
    <x v="0"/>
    <x v="11"/>
    <x v="3"/>
    <x v="7"/>
    <x v="3"/>
    <x v="11"/>
  </r>
  <r>
    <x v="1236"/>
    <x v="17"/>
    <x v="12"/>
    <n v="87.4"/>
    <n v="349.6"/>
    <x v="48"/>
    <x v="49"/>
    <x v="0"/>
    <x v="0"/>
    <x v="0"/>
    <x v="0"/>
    <x v="11"/>
    <x v="1"/>
    <x v="7"/>
    <x v="0"/>
    <x v="11"/>
  </r>
  <r>
    <x v="1237"/>
    <x v="4"/>
    <x v="3"/>
    <n v="44.5"/>
    <n v="311.5"/>
    <x v="48"/>
    <x v="56"/>
    <x v="2"/>
    <x v="2"/>
    <x v="2"/>
    <x v="0"/>
    <x v="19"/>
    <x v="5"/>
    <x v="7"/>
    <x v="2"/>
    <x v="19"/>
  </r>
  <r>
    <x v="1238"/>
    <x v="2"/>
    <x v="0"/>
    <n v="141"/>
    <n v="141"/>
    <x v="48"/>
    <x v="46"/>
    <x v="1"/>
    <x v="4"/>
    <x v="2"/>
    <x v="0"/>
    <x v="19"/>
    <x v="3"/>
    <x v="7"/>
    <x v="1"/>
    <x v="19"/>
  </r>
  <r>
    <x v="1239"/>
    <x v="0"/>
    <x v="2"/>
    <n v="16.7"/>
    <n v="50.099999999999994"/>
    <x v="48"/>
    <x v="52"/>
    <x v="2"/>
    <x v="0"/>
    <x v="0"/>
    <x v="0"/>
    <x v="20"/>
    <x v="9"/>
    <x v="7"/>
    <x v="2"/>
    <x v="20"/>
  </r>
  <r>
    <x v="1240"/>
    <x v="1"/>
    <x v="1"/>
    <n v="77.5"/>
    <n v="155"/>
    <x v="48"/>
    <x v="46"/>
    <x v="0"/>
    <x v="2"/>
    <x v="2"/>
    <x v="0"/>
    <x v="13"/>
    <x v="3"/>
    <x v="7"/>
    <x v="0"/>
    <x v="13"/>
  </r>
  <r>
    <x v="1241"/>
    <x v="2"/>
    <x v="1"/>
    <n v="163"/>
    <n v="326"/>
    <x v="48"/>
    <x v="54"/>
    <x v="2"/>
    <x v="4"/>
    <x v="0"/>
    <x v="0"/>
    <x v="21"/>
    <x v="4"/>
    <x v="7"/>
    <x v="2"/>
    <x v="21"/>
  </r>
  <r>
    <x v="1242"/>
    <x v="4"/>
    <x v="11"/>
    <n v="21.4"/>
    <n v="192.6"/>
    <x v="48"/>
    <x v="47"/>
    <x v="2"/>
    <x v="0"/>
    <x v="0"/>
    <x v="0"/>
    <x v="51"/>
    <x v="2"/>
    <x v="7"/>
    <x v="2"/>
    <x v="51"/>
  </r>
  <r>
    <x v="1243"/>
    <x v="10"/>
    <x v="5"/>
    <n v="31"/>
    <n v="341"/>
    <x v="48"/>
    <x v="49"/>
    <x v="2"/>
    <x v="3"/>
    <x v="2"/>
    <x v="0"/>
    <x v="1"/>
    <x v="1"/>
    <x v="7"/>
    <x v="2"/>
    <x v="1"/>
  </r>
  <r>
    <x v="1244"/>
    <x v="7"/>
    <x v="1"/>
    <n v="34.299999999999997"/>
    <n v="68.599999999999994"/>
    <x v="48"/>
    <x v="49"/>
    <x v="2"/>
    <x v="0"/>
    <x v="3"/>
    <x v="0"/>
    <x v="1"/>
    <x v="1"/>
    <x v="7"/>
    <x v="2"/>
    <x v="1"/>
  </r>
  <r>
    <x v="1245"/>
    <x v="17"/>
    <x v="9"/>
    <n v="48.2"/>
    <n v="241"/>
    <x v="48"/>
    <x v="46"/>
    <x v="1"/>
    <x v="1"/>
    <x v="1"/>
    <x v="0"/>
    <x v="2"/>
    <x v="3"/>
    <x v="7"/>
    <x v="1"/>
    <x v="2"/>
  </r>
  <r>
    <x v="1246"/>
    <x v="10"/>
    <x v="0"/>
    <n v="51.4"/>
    <n v="51.4"/>
    <x v="48"/>
    <x v="46"/>
    <x v="1"/>
    <x v="0"/>
    <x v="0"/>
    <x v="0"/>
    <x v="3"/>
    <x v="3"/>
    <x v="7"/>
    <x v="1"/>
    <x v="3"/>
  </r>
  <r>
    <x v="1247"/>
    <x v="2"/>
    <x v="9"/>
    <n v="117.2"/>
    <n v="586"/>
    <x v="48"/>
    <x v="47"/>
    <x v="2"/>
    <x v="4"/>
    <x v="4"/>
    <x v="0"/>
    <x v="3"/>
    <x v="2"/>
    <x v="7"/>
    <x v="2"/>
    <x v="3"/>
  </r>
  <r>
    <x v="1248"/>
    <x v="8"/>
    <x v="0"/>
    <n v="38.1"/>
    <n v="38.1"/>
    <x v="48"/>
    <x v="50"/>
    <x v="1"/>
    <x v="4"/>
    <x v="1"/>
    <x v="0"/>
    <x v="3"/>
    <x v="7"/>
    <x v="7"/>
    <x v="1"/>
    <x v="3"/>
  </r>
  <r>
    <x v="1249"/>
    <x v="0"/>
    <x v="1"/>
    <n v="44.1"/>
    <n v="88.2"/>
    <x v="48"/>
    <x v="49"/>
    <x v="2"/>
    <x v="2"/>
    <x v="0"/>
    <x v="0"/>
    <x v="3"/>
    <x v="1"/>
    <x v="7"/>
    <x v="2"/>
    <x v="3"/>
  </r>
  <r>
    <x v="1250"/>
    <x v="15"/>
    <x v="12"/>
    <n v="80.5"/>
    <n v="322"/>
    <x v="48"/>
    <x v="55"/>
    <x v="1"/>
    <x v="0"/>
    <x v="0"/>
    <x v="0"/>
    <x v="3"/>
    <x v="0"/>
    <x v="7"/>
    <x v="1"/>
    <x v="3"/>
  </r>
  <r>
    <x v="1251"/>
    <x v="18"/>
    <x v="12"/>
    <n v="33.6"/>
    <n v="134.4"/>
    <x v="48"/>
    <x v="55"/>
    <x v="0"/>
    <x v="0"/>
    <x v="2"/>
    <x v="0"/>
    <x v="3"/>
    <x v="0"/>
    <x v="7"/>
    <x v="0"/>
    <x v="3"/>
  </r>
  <r>
    <x v="1252"/>
    <x v="9"/>
    <x v="11"/>
    <n v="41.8"/>
    <n v="376.2"/>
    <x v="48"/>
    <x v="46"/>
    <x v="2"/>
    <x v="0"/>
    <x v="1"/>
    <x v="0"/>
    <x v="3"/>
    <x v="3"/>
    <x v="7"/>
    <x v="2"/>
    <x v="3"/>
  </r>
  <r>
    <x v="1253"/>
    <x v="1"/>
    <x v="1"/>
    <n v="106.2"/>
    <n v="212.4"/>
    <x v="48"/>
    <x v="50"/>
    <x v="2"/>
    <x v="4"/>
    <x v="2"/>
    <x v="0"/>
    <x v="3"/>
    <x v="7"/>
    <x v="7"/>
    <x v="2"/>
    <x v="3"/>
  </r>
  <r>
    <x v="1254"/>
    <x v="1"/>
    <x v="1"/>
    <n v="52.6"/>
    <n v="105.2"/>
    <x v="48"/>
    <x v="46"/>
    <x v="2"/>
    <x v="0"/>
    <x v="2"/>
    <x v="0"/>
    <x v="5"/>
    <x v="3"/>
    <x v="7"/>
    <x v="2"/>
    <x v="5"/>
  </r>
  <r>
    <x v="1255"/>
    <x v="11"/>
    <x v="3"/>
    <n v="68.5"/>
    <n v="479.5"/>
    <x v="48"/>
    <x v="46"/>
    <x v="2"/>
    <x v="1"/>
    <x v="0"/>
    <x v="0"/>
    <x v="5"/>
    <x v="3"/>
    <x v="7"/>
    <x v="2"/>
    <x v="5"/>
  </r>
  <r>
    <x v="1256"/>
    <x v="1"/>
    <x v="1"/>
    <n v="55.6"/>
    <n v="111.2"/>
    <x v="48"/>
    <x v="49"/>
    <x v="1"/>
    <x v="1"/>
    <x v="2"/>
    <x v="0"/>
    <x v="6"/>
    <x v="1"/>
    <x v="7"/>
    <x v="1"/>
    <x v="6"/>
  </r>
  <r>
    <x v="1257"/>
    <x v="2"/>
    <x v="2"/>
    <n v="134.9"/>
    <n v="404.70000000000005"/>
    <x v="48"/>
    <x v="46"/>
    <x v="1"/>
    <x v="1"/>
    <x v="1"/>
    <x v="0"/>
    <x v="6"/>
    <x v="3"/>
    <x v="7"/>
    <x v="1"/>
    <x v="6"/>
  </r>
  <r>
    <x v="1258"/>
    <x v="10"/>
    <x v="9"/>
    <n v="42.6"/>
    <n v="213"/>
    <x v="48"/>
    <x v="46"/>
    <x v="1"/>
    <x v="0"/>
    <x v="0"/>
    <x v="0"/>
    <x v="6"/>
    <x v="3"/>
    <x v="7"/>
    <x v="1"/>
    <x v="6"/>
  </r>
  <r>
    <x v="1259"/>
    <x v="7"/>
    <x v="9"/>
    <n v="60.6"/>
    <n v="303"/>
    <x v="48"/>
    <x v="49"/>
    <x v="1"/>
    <x v="4"/>
    <x v="0"/>
    <x v="0"/>
    <x v="6"/>
    <x v="1"/>
    <x v="7"/>
    <x v="1"/>
    <x v="6"/>
  </r>
  <r>
    <x v="1260"/>
    <x v="8"/>
    <x v="1"/>
    <n v="43.5"/>
    <n v="87"/>
    <x v="48"/>
    <x v="46"/>
    <x v="1"/>
    <x v="4"/>
    <x v="0"/>
    <x v="0"/>
    <x v="7"/>
    <x v="3"/>
    <x v="7"/>
    <x v="1"/>
    <x v="7"/>
  </r>
  <r>
    <x v="1261"/>
    <x v="2"/>
    <x v="1"/>
    <n v="187.1"/>
    <n v="374.2"/>
    <x v="48"/>
    <x v="46"/>
    <x v="1"/>
    <x v="1"/>
    <x v="2"/>
    <x v="0"/>
    <x v="8"/>
    <x v="3"/>
    <x v="7"/>
    <x v="1"/>
    <x v="8"/>
  </r>
  <r>
    <x v="1262"/>
    <x v="9"/>
    <x v="2"/>
    <n v="32"/>
    <n v="96"/>
    <x v="48"/>
    <x v="49"/>
    <x v="1"/>
    <x v="0"/>
    <x v="0"/>
    <x v="0"/>
    <x v="8"/>
    <x v="1"/>
    <x v="7"/>
    <x v="1"/>
    <x v="8"/>
  </r>
  <r>
    <x v="1263"/>
    <x v="9"/>
    <x v="1"/>
    <n v="110.8"/>
    <n v="221.6"/>
    <x v="48"/>
    <x v="50"/>
    <x v="1"/>
    <x v="0"/>
    <x v="2"/>
    <x v="0"/>
    <x v="8"/>
    <x v="7"/>
    <x v="7"/>
    <x v="1"/>
    <x v="8"/>
  </r>
  <r>
    <x v="1264"/>
    <x v="10"/>
    <x v="15"/>
    <n v="36.1"/>
    <n v="469.3"/>
    <x v="48"/>
    <x v="47"/>
    <x v="2"/>
    <x v="0"/>
    <x v="1"/>
    <x v="0"/>
    <x v="8"/>
    <x v="2"/>
    <x v="7"/>
    <x v="2"/>
    <x v="8"/>
  </r>
  <r>
    <x v="1265"/>
    <x v="0"/>
    <x v="0"/>
    <n v="24.1"/>
    <n v="24.1"/>
    <x v="48"/>
    <x v="49"/>
    <x v="2"/>
    <x v="4"/>
    <x v="2"/>
    <x v="0"/>
    <x v="8"/>
    <x v="1"/>
    <x v="7"/>
    <x v="2"/>
    <x v="8"/>
  </r>
  <r>
    <x v="1266"/>
    <x v="19"/>
    <x v="2"/>
    <n v="30.5"/>
    <n v="91.5"/>
    <x v="48"/>
    <x v="49"/>
    <x v="1"/>
    <x v="1"/>
    <x v="0"/>
    <x v="0"/>
    <x v="8"/>
    <x v="1"/>
    <x v="7"/>
    <x v="1"/>
    <x v="8"/>
  </r>
  <r>
    <x v="1267"/>
    <x v="18"/>
    <x v="13"/>
    <n v="68.3"/>
    <n v="409.79999999999995"/>
    <x v="48"/>
    <x v="47"/>
    <x v="1"/>
    <x v="0"/>
    <x v="0"/>
    <x v="0"/>
    <x v="8"/>
    <x v="2"/>
    <x v="7"/>
    <x v="1"/>
    <x v="8"/>
  </r>
  <r>
    <x v="1268"/>
    <x v="7"/>
    <x v="2"/>
    <n v="43.3"/>
    <n v="129.89999999999998"/>
    <x v="48"/>
    <x v="56"/>
    <x v="2"/>
    <x v="0"/>
    <x v="0"/>
    <x v="0"/>
    <x v="17"/>
    <x v="5"/>
    <x v="7"/>
    <x v="2"/>
    <x v="17"/>
  </r>
  <r>
    <x v="1269"/>
    <x v="3"/>
    <x v="0"/>
    <n v="101.7"/>
    <n v="101.7"/>
    <x v="48"/>
    <x v="47"/>
    <x v="2"/>
    <x v="0"/>
    <x v="1"/>
    <x v="0"/>
    <x v="17"/>
    <x v="2"/>
    <x v="7"/>
    <x v="2"/>
    <x v="17"/>
  </r>
  <r>
    <x v="1270"/>
    <x v="11"/>
    <x v="1"/>
    <n v="54.2"/>
    <n v="108.4"/>
    <x v="48"/>
    <x v="46"/>
    <x v="2"/>
    <x v="0"/>
    <x v="1"/>
    <x v="0"/>
    <x v="17"/>
    <x v="3"/>
    <x v="7"/>
    <x v="2"/>
    <x v="17"/>
  </r>
  <r>
    <x v="1271"/>
    <x v="16"/>
    <x v="1"/>
    <n v="51"/>
    <n v="102"/>
    <x v="48"/>
    <x v="50"/>
    <x v="1"/>
    <x v="1"/>
    <x v="0"/>
    <x v="0"/>
    <x v="26"/>
    <x v="7"/>
    <x v="7"/>
    <x v="1"/>
    <x v="26"/>
  </r>
  <r>
    <x v="1272"/>
    <x v="4"/>
    <x v="1"/>
    <n v="23.1"/>
    <n v="46.2"/>
    <x v="48"/>
    <x v="47"/>
    <x v="1"/>
    <x v="1"/>
    <x v="0"/>
    <x v="0"/>
    <x v="10"/>
    <x v="2"/>
    <x v="7"/>
    <x v="1"/>
    <x v="10"/>
  </r>
  <r>
    <x v="1273"/>
    <x v="12"/>
    <x v="13"/>
    <n v="60.1"/>
    <n v="360.6"/>
    <x v="48"/>
    <x v="50"/>
    <x v="2"/>
    <x v="3"/>
    <x v="0"/>
    <x v="0"/>
    <x v="11"/>
    <x v="7"/>
    <x v="7"/>
    <x v="2"/>
    <x v="11"/>
  </r>
  <r>
    <x v="1274"/>
    <x v="2"/>
    <x v="3"/>
    <n v="87.5"/>
    <n v="612.5"/>
    <x v="48"/>
    <x v="49"/>
    <x v="2"/>
    <x v="0"/>
    <x v="1"/>
    <x v="0"/>
    <x v="11"/>
    <x v="1"/>
    <x v="7"/>
    <x v="2"/>
    <x v="11"/>
  </r>
  <r>
    <x v="1275"/>
    <x v="1"/>
    <x v="2"/>
    <n v="51"/>
    <n v="153"/>
    <x v="48"/>
    <x v="46"/>
    <x v="2"/>
    <x v="1"/>
    <x v="0"/>
    <x v="0"/>
    <x v="11"/>
    <x v="3"/>
    <x v="7"/>
    <x v="2"/>
    <x v="11"/>
  </r>
  <r>
    <x v="1276"/>
    <x v="8"/>
    <x v="12"/>
    <n v="19.2"/>
    <n v="76.8"/>
    <x v="48"/>
    <x v="49"/>
    <x v="2"/>
    <x v="0"/>
    <x v="0"/>
    <x v="0"/>
    <x v="11"/>
    <x v="1"/>
    <x v="7"/>
    <x v="2"/>
    <x v="11"/>
  </r>
  <r>
    <x v="1277"/>
    <x v="5"/>
    <x v="8"/>
    <n v="26.5"/>
    <n v="212"/>
    <x v="48"/>
    <x v="46"/>
    <x v="0"/>
    <x v="3"/>
    <x v="2"/>
    <x v="0"/>
    <x v="11"/>
    <x v="3"/>
    <x v="7"/>
    <x v="0"/>
    <x v="11"/>
  </r>
  <r>
    <x v="1278"/>
    <x v="2"/>
    <x v="1"/>
    <n v="220.3"/>
    <n v="440.6"/>
    <x v="48"/>
    <x v="46"/>
    <x v="2"/>
    <x v="1"/>
    <x v="4"/>
    <x v="0"/>
    <x v="53"/>
    <x v="3"/>
    <x v="7"/>
    <x v="2"/>
    <x v="53"/>
  </r>
  <r>
    <x v="1279"/>
    <x v="8"/>
    <x v="2"/>
    <n v="45.7"/>
    <n v="137.10000000000002"/>
    <x v="48"/>
    <x v="46"/>
    <x v="2"/>
    <x v="4"/>
    <x v="0"/>
    <x v="0"/>
    <x v="30"/>
    <x v="3"/>
    <x v="7"/>
    <x v="2"/>
    <x v="30"/>
  </r>
  <r>
    <x v="1280"/>
    <x v="5"/>
    <x v="9"/>
    <n v="47.1"/>
    <n v="235.5"/>
    <x v="48"/>
    <x v="56"/>
    <x v="2"/>
    <x v="3"/>
    <x v="0"/>
    <x v="0"/>
    <x v="13"/>
    <x v="5"/>
    <x v="7"/>
    <x v="2"/>
    <x v="13"/>
  </r>
  <r>
    <x v="1281"/>
    <x v="1"/>
    <x v="9"/>
    <n v="81.7"/>
    <n v="408.5"/>
    <x v="48"/>
    <x v="46"/>
    <x v="2"/>
    <x v="0"/>
    <x v="2"/>
    <x v="0"/>
    <x v="21"/>
    <x v="3"/>
    <x v="7"/>
    <x v="2"/>
    <x v="21"/>
  </r>
  <r>
    <x v="1282"/>
    <x v="6"/>
    <x v="7"/>
    <n v="97.8"/>
    <n v="978"/>
    <x v="48"/>
    <x v="50"/>
    <x v="1"/>
    <x v="1"/>
    <x v="1"/>
    <x v="0"/>
    <x v="21"/>
    <x v="7"/>
    <x v="7"/>
    <x v="1"/>
    <x v="21"/>
  </r>
  <r>
    <x v="1283"/>
    <x v="6"/>
    <x v="2"/>
    <n v="42.4"/>
    <n v="127.19999999999999"/>
    <x v="48"/>
    <x v="46"/>
    <x v="2"/>
    <x v="0"/>
    <x v="2"/>
    <x v="0"/>
    <x v="54"/>
    <x v="3"/>
    <x v="7"/>
    <x v="2"/>
    <x v="54"/>
  </r>
  <r>
    <x v="1284"/>
    <x v="2"/>
    <x v="7"/>
    <n v="74.5"/>
    <n v="745"/>
    <x v="48"/>
    <x v="46"/>
    <x v="1"/>
    <x v="2"/>
    <x v="1"/>
    <x v="0"/>
    <x v="1"/>
    <x v="3"/>
    <x v="7"/>
    <x v="1"/>
    <x v="1"/>
  </r>
  <r>
    <x v="1285"/>
    <x v="17"/>
    <x v="13"/>
    <n v="47.4"/>
    <n v="284.39999999999998"/>
    <x v="48"/>
    <x v="46"/>
    <x v="1"/>
    <x v="1"/>
    <x v="0"/>
    <x v="0"/>
    <x v="1"/>
    <x v="3"/>
    <x v="7"/>
    <x v="1"/>
    <x v="1"/>
  </r>
  <r>
    <x v="1286"/>
    <x v="14"/>
    <x v="2"/>
    <n v="17.3"/>
    <n v="51.900000000000006"/>
    <x v="49"/>
    <x v="56"/>
    <x v="1"/>
    <x v="2"/>
    <x v="2"/>
    <x v="0"/>
    <x v="1"/>
    <x v="2"/>
    <x v="7"/>
    <x v="1"/>
    <x v="1"/>
  </r>
  <r>
    <x v="1287"/>
    <x v="12"/>
    <x v="12"/>
    <n v="77.900000000000006"/>
    <n v="311.60000000000002"/>
    <x v="49"/>
    <x v="49"/>
    <x v="1"/>
    <x v="1"/>
    <x v="0"/>
    <x v="0"/>
    <x v="2"/>
    <x v="3"/>
    <x v="7"/>
    <x v="1"/>
    <x v="2"/>
  </r>
  <r>
    <x v="1288"/>
    <x v="8"/>
    <x v="0"/>
    <n v="29.1"/>
    <n v="29.1"/>
    <x v="49"/>
    <x v="56"/>
    <x v="1"/>
    <x v="0"/>
    <x v="2"/>
    <x v="0"/>
    <x v="50"/>
    <x v="2"/>
    <x v="7"/>
    <x v="1"/>
    <x v="50"/>
  </r>
  <r>
    <x v="1289"/>
    <x v="8"/>
    <x v="0"/>
    <n v="49"/>
    <n v="49"/>
    <x v="49"/>
    <x v="49"/>
    <x v="1"/>
    <x v="1"/>
    <x v="0"/>
    <x v="0"/>
    <x v="3"/>
    <x v="3"/>
    <x v="7"/>
    <x v="1"/>
    <x v="3"/>
  </r>
  <r>
    <x v="1290"/>
    <x v="8"/>
    <x v="13"/>
    <n v="21.1"/>
    <n v="126.60000000000001"/>
    <x v="49"/>
    <x v="52"/>
    <x v="1"/>
    <x v="0"/>
    <x v="2"/>
    <x v="0"/>
    <x v="3"/>
    <x v="6"/>
    <x v="7"/>
    <x v="1"/>
    <x v="3"/>
  </r>
  <r>
    <x v="1291"/>
    <x v="4"/>
    <x v="10"/>
    <n v="36.9"/>
    <n v="701.1"/>
    <x v="49"/>
    <x v="46"/>
    <x v="2"/>
    <x v="0"/>
    <x v="0"/>
    <x v="0"/>
    <x v="3"/>
    <x v="7"/>
    <x v="7"/>
    <x v="2"/>
    <x v="3"/>
  </r>
  <r>
    <x v="1292"/>
    <x v="1"/>
    <x v="7"/>
    <n v="92.6"/>
    <n v="926"/>
    <x v="49"/>
    <x v="54"/>
    <x v="1"/>
    <x v="4"/>
    <x v="2"/>
    <x v="0"/>
    <x v="3"/>
    <x v="0"/>
    <x v="7"/>
    <x v="1"/>
    <x v="3"/>
  </r>
  <r>
    <x v="1293"/>
    <x v="10"/>
    <x v="1"/>
    <n v="38"/>
    <n v="76"/>
    <x v="49"/>
    <x v="49"/>
    <x v="1"/>
    <x v="1"/>
    <x v="1"/>
    <x v="0"/>
    <x v="3"/>
    <x v="3"/>
    <x v="7"/>
    <x v="1"/>
    <x v="3"/>
  </r>
  <r>
    <x v="1294"/>
    <x v="5"/>
    <x v="2"/>
    <n v="54.8"/>
    <n v="164.39999999999998"/>
    <x v="49"/>
    <x v="55"/>
    <x v="0"/>
    <x v="0"/>
    <x v="1"/>
    <x v="0"/>
    <x v="3"/>
    <x v="5"/>
    <x v="7"/>
    <x v="0"/>
    <x v="3"/>
  </r>
  <r>
    <x v="1295"/>
    <x v="10"/>
    <x v="4"/>
    <n v="56.8"/>
    <n v="681.59999999999991"/>
    <x v="49"/>
    <x v="47"/>
    <x v="1"/>
    <x v="1"/>
    <x v="0"/>
    <x v="0"/>
    <x v="3"/>
    <x v="1"/>
    <x v="7"/>
    <x v="1"/>
    <x v="3"/>
  </r>
  <r>
    <x v="1296"/>
    <x v="11"/>
    <x v="40"/>
    <n v="47.2"/>
    <n v="1557.6000000000001"/>
    <x v="49"/>
    <x v="56"/>
    <x v="2"/>
    <x v="1"/>
    <x v="0"/>
    <x v="0"/>
    <x v="3"/>
    <x v="2"/>
    <x v="7"/>
    <x v="2"/>
    <x v="3"/>
  </r>
  <r>
    <x v="1297"/>
    <x v="7"/>
    <x v="13"/>
    <n v="45.1"/>
    <n v="270.60000000000002"/>
    <x v="49"/>
    <x v="49"/>
    <x v="2"/>
    <x v="2"/>
    <x v="0"/>
    <x v="0"/>
    <x v="43"/>
    <x v="3"/>
    <x v="7"/>
    <x v="2"/>
    <x v="43"/>
  </r>
  <r>
    <x v="1298"/>
    <x v="4"/>
    <x v="4"/>
    <n v="25.2"/>
    <n v="302.39999999999998"/>
    <x v="49"/>
    <x v="54"/>
    <x v="2"/>
    <x v="2"/>
    <x v="0"/>
    <x v="0"/>
    <x v="16"/>
    <x v="0"/>
    <x v="7"/>
    <x v="2"/>
    <x v="16"/>
  </r>
  <r>
    <x v="1299"/>
    <x v="8"/>
    <x v="0"/>
    <n v="22"/>
    <n v="22"/>
    <x v="49"/>
    <x v="49"/>
    <x v="2"/>
    <x v="0"/>
    <x v="0"/>
    <x v="0"/>
    <x v="5"/>
    <x v="3"/>
    <x v="7"/>
    <x v="2"/>
    <x v="5"/>
  </r>
  <r>
    <x v="1300"/>
    <x v="6"/>
    <x v="1"/>
    <n v="42.2"/>
    <n v="84.4"/>
    <x v="49"/>
    <x v="49"/>
    <x v="2"/>
    <x v="1"/>
    <x v="1"/>
    <x v="0"/>
    <x v="23"/>
    <x v="3"/>
    <x v="7"/>
    <x v="2"/>
    <x v="23"/>
  </r>
  <r>
    <x v="1301"/>
    <x v="13"/>
    <x v="2"/>
    <n v="20.5"/>
    <n v="61.5"/>
    <x v="49"/>
    <x v="49"/>
    <x v="1"/>
    <x v="0"/>
    <x v="1"/>
    <x v="0"/>
    <x v="6"/>
    <x v="3"/>
    <x v="7"/>
    <x v="1"/>
    <x v="6"/>
  </r>
  <r>
    <x v="1302"/>
    <x v="2"/>
    <x v="0"/>
    <n v="190.4"/>
    <n v="190.4"/>
    <x v="49"/>
    <x v="54"/>
    <x v="1"/>
    <x v="1"/>
    <x v="4"/>
    <x v="0"/>
    <x v="6"/>
    <x v="0"/>
    <x v="7"/>
    <x v="1"/>
    <x v="6"/>
  </r>
  <r>
    <x v="1303"/>
    <x v="2"/>
    <x v="0"/>
    <n v="121.9"/>
    <n v="121.9"/>
    <x v="49"/>
    <x v="47"/>
    <x v="2"/>
    <x v="1"/>
    <x v="2"/>
    <x v="0"/>
    <x v="6"/>
    <x v="1"/>
    <x v="7"/>
    <x v="2"/>
    <x v="6"/>
  </r>
  <r>
    <x v="1304"/>
    <x v="2"/>
    <x v="13"/>
    <n v="149.19999999999999"/>
    <n v="895.19999999999993"/>
    <x v="49"/>
    <x v="49"/>
    <x v="2"/>
    <x v="2"/>
    <x v="2"/>
    <x v="0"/>
    <x v="7"/>
    <x v="3"/>
    <x v="7"/>
    <x v="2"/>
    <x v="7"/>
  </r>
  <r>
    <x v="1305"/>
    <x v="2"/>
    <x v="0"/>
    <n v="54.1"/>
    <n v="54.1"/>
    <x v="49"/>
    <x v="58"/>
    <x v="2"/>
    <x v="2"/>
    <x v="2"/>
    <x v="0"/>
    <x v="7"/>
    <x v="8"/>
    <x v="7"/>
    <x v="2"/>
    <x v="7"/>
  </r>
  <r>
    <x v="1306"/>
    <x v="5"/>
    <x v="1"/>
    <n v="27.4"/>
    <n v="54.8"/>
    <x v="49"/>
    <x v="47"/>
    <x v="1"/>
    <x v="1"/>
    <x v="0"/>
    <x v="0"/>
    <x v="8"/>
    <x v="1"/>
    <x v="7"/>
    <x v="1"/>
    <x v="8"/>
  </r>
  <r>
    <x v="1307"/>
    <x v="0"/>
    <x v="15"/>
    <n v="30.4"/>
    <n v="395.2"/>
    <x v="49"/>
    <x v="49"/>
    <x v="2"/>
    <x v="0"/>
    <x v="2"/>
    <x v="0"/>
    <x v="8"/>
    <x v="3"/>
    <x v="7"/>
    <x v="2"/>
    <x v="8"/>
  </r>
  <r>
    <x v="1308"/>
    <x v="12"/>
    <x v="2"/>
    <n v="46.2"/>
    <n v="138.60000000000002"/>
    <x v="49"/>
    <x v="47"/>
    <x v="1"/>
    <x v="2"/>
    <x v="1"/>
    <x v="0"/>
    <x v="17"/>
    <x v="1"/>
    <x v="7"/>
    <x v="1"/>
    <x v="17"/>
  </r>
  <r>
    <x v="1309"/>
    <x v="7"/>
    <x v="8"/>
    <n v="78.599999999999994"/>
    <n v="628.79999999999995"/>
    <x v="49"/>
    <x v="55"/>
    <x v="1"/>
    <x v="3"/>
    <x v="0"/>
    <x v="0"/>
    <x v="17"/>
    <x v="5"/>
    <x v="7"/>
    <x v="1"/>
    <x v="17"/>
  </r>
  <r>
    <x v="1310"/>
    <x v="17"/>
    <x v="7"/>
    <n v="25.9"/>
    <n v="259"/>
    <x v="49"/>
    <x v="51"/>
    <x v="1"/>
    <x v="4"/>
    <x v="0"/>
    <x v="0"/>
    <x v="9"/>
    <x v="4"/>
    <x v="7"/>
    <x v="1"/>
    <x v="9"/>
  </r>
  <r>
    <x v="1311"/>
    <x v="6"/>
    <x v="0"/>
    <n v="134.80000000000001"/>
    <n v="134.80000000000001"/>
    <x v="49"/>
    <x v="47"/>
    <x v="1"/>
    <x v="2"/>
    <x v="2"/>
    <x v="0"/>
    <x v="9"/>
    <x v="1"/>
    <x v="7"/>
    <x v="1"/>
    <x v="9"/>
  </r>
  <r>
    <x v="1312"/>
    <x v="15"/>
    <x v="9"/>
    <n v="43.1"/>
    <n v="215.5"/>
    <x v="49"/>
    <x v="47"/>
    <x v="2"/>
    <x v="0"/>
    <x v="0"/>
    <x v="0"/>
    <x v="11"/>
    <x v="1"/>
    <x v="7"/>
    <x v="2"/>
    <x v="11"/>
  </r>
  <r>
    <x v="1313"/>
    <x v="2"/>
    <x v="1"/>
    <n v="215.6"/>
    <n v="431.2"/>
    <x v="49"/>
    <x v="49"/>
    <x v="2"/>
    <x v="2"/>
    <x v="0"/>
    <x v="0"/>
    <x v="18"/>
    <x v="3"/>
    <x v="7"/>
    <x v="2"/>
    <x v="18"/>
  </r>
  <r>
    <x v="1314"/>
    <x v="6"/>
    <x v="1"/>
    <n v="80.7"/>
    <n v="161.4"/>
    <x v="49"/>
    <x v="56"/>
    <x v="2"/>
    <x v="3"/>
    <x v="0"/>
    <x v="0"/>
    <x v="18"/>
    <x v="2"/>
    <x v="7"/>
    <x v="2"/>
    <x v="18"/>
  </r>
  <r>
    <x v="1315"/>
    <x v="10"/>
    <x v="3"/>
    <n v="20.6"/>
    <n v="144.20000000000002"/>
    <x v="49"/>
    <x v="54"/>
    <x v="0"/>
    <x v="2"/>
    <x v="1"/>
    <x v="0"/>
    <x v="19"/>
    <x v="0"/>
    <x v="7"/>
    <x v="0"/>
    <x v="19"/>
  </r>
  <r>
    <x v="1316"/>
    <x v="12"/>
    <x v="2"/>
    <n v="37.1"/>
    <n v="111.30000000000001"/>
    <x v="49"/>
    <x v="49"/>
    <x v="2"/>
    <x v="0"/>
    <x v="0"/>
    <x v="0"/>
    <x v="52"/>
    <x v="3"/>
    <x v="7"/>
    <x v="2"/>
    <x v="52"/>
  </r>
  <r>
    <x v="1317"/>
    <x v="12"/>
    <x v="0"/>
    <n v="104.8"/>
    <n v="104.8"/>
    <x v="50"/>
    <x v="56"/>
    <x v="2"/>
    <x v="0"/>
    <x v="0"/>
    <x v="0"/>
    <x v="13"/>
    <x v="1"/>
    <x v="7"/>
    <x v="2"/>
    <x v="13"/>
  </r>
  <r>
    <x v="1318"/>
    <x v="8"/>
    <x v="1"/>
    <n v="59"/>
    <n v="118"/>
    <x v="50"/>
    <x v="47"/>
    <x v="1"/>
    <x v="1"/>
    <x v="0"/>
    <x v="0"/>
    <x v="21"/>
    <x v="3"/>
    <x v="7"/>
    <x v="1"/>
    <x v="21"/>
  </r>
  <r>
    <x v="1319"/>
    <x v="8"/>
    <x v="1"/>
    <n v="32.299999999999997"/>
    <n v="64.599999999999994"/>
    <x v="50"/>
    <x v="47"/>
    <x v="1"/>
    <x v="0"/>
    <x v="2"/>
    <x v="0"/>
    <x v="21"/>
    <x v="3"/>
    <x v="7"/>
    <x v="1"/>
    <x v="21"/>
  </r>
  <r>
    <x v="1320"/>
    <x v="8"/>
    <x v="12"/>
    <n v="28.9"/>
    <n v="115.6"/>
    <x v="50"/>
    <x v="53"/>
    <x v="1"/>
    <x v="0"/>
    <x v="0"/>
    <x v="0"/>
    <x v="1"/>
    <x v="6"/>
    <x v="7"/>
    <x v="1"/>
    <x v="1"/>
  </r>
  <r>
    <x v="1321"/>
    <x v="0"/>
    <x v="1"/>
    <n v="29.6"/>
    <n v="59.2"/>
    <x v="50"/>
    <x v="56"/>
    <x v="1"/>
    <x v="0"/>
    <x v="0"/>
    <x v="0"/>
    <x v="1"/>
    <x v="1"/>
    <x v="7"/>
    <x v="1"/>
    <x v="1"/>
  </r>
  <r>
    <x v="1322"/>
    <x v="0"/>
    <x v="9"/>
    <n v="29.4"/>
    <n v="147"/>
    <x v="50"/>
    <x v="55"/>
    <x v="2"/>
    <x v="0"/>
    <x v="0"/>
    <x v="0"/>
    <x v="1"/>
    <x v="2"/>
    <x v="7"/>
    <x v="2"/>
    <x v="1"/>
  </r>
  <r>
    <x v="1323"/>
    <x v="1"/>
    <x v="1"/>
    <n v="40.6"/>
    <n v="81.2"/>
    <x v="50"/>
    <x v="47"/>
    <x v="1"/>
    <x v="0"/>
    <x v="4"/>
    <x v="0"/>
    <x v="2"/>
    <x v="3"/>
    <x v="7"/>
    <x v="1"/>
    <x v="2"/>
  </r>
  <r>
    <x v="1324"/>
    <x v="0"/>
    <x v="2"/>
    <n v="32.5"/>
    <n v="97.5"/>
    <x v="50"/>
    <x v="47"/>
    <x v="1"/>
    <x v="3"/>
    <x v="2"/>
    <x v="0"/>
    <x v="22"/>
    <x v="3"/>
    <x v="7"/>
    <x v="1"/>
    <x v="22"/>
  </r>
  <r>
    <x v="1325"/>
    <x v="15"/>
    <x v="0"/>
    <n v="26.2"/>
    <n v="26.2"/>
    <x v="50"/>
    <x v="56"/>
    <x v="1"/>
    <x v="2"/>
    <x v="0"/>
    <x v="0"/>
    <x v="55"/>
    <x v="1"/>
    <x v="7"/>
    <x v="1"/>
    <x v="55"/>
  </r>
  <r>
    <x v="1326"/>
    <x v="10"/>
    <x v="17"/>
    <n v="44"/>
    <n v="1320"/>
    <x v="50"/>
    <x v="52"/>
    <x v="1"/>
    <x v="4"/>
    <x v="0"/>
    <x v="0"/>
    <x v="3"/>
    <x v="4"/>
    <x v="7"/>
    <x v="1"/>
    <x v="3"/>
  </r>
  <r>
    <x v="1327"/>
    <x v="7"/>
    <x v="12"/>
    <n v="65.599999999999994"/>
    <n v="262.39999999999998"/>
    <x v="50"/>
    <x v="47"/>
    <x v="2"/>
    <x v="1"/>
    <x v="1"/>
    <x v="0"/>
    <x v="3"/>
    <x v="3"/>
    <x v="7"/>
    <x v="2"/>
    <x v="3"/>
  </r>
  <r>
    <x v="1328"/>
    <x v="5"/>
    <x v="4"/>
    <n v="32.6"/>
    <n v="391.20000000000005"/>
    <x v="50"/>
    <x v="47"/>
    <x v="1"/>
    <x v="4"/>
    <x v="0"/>
    <x v="0"/>
    <x v="3"/>
    <x v="3"/>
    <x v="7"/>
    <x v="1"/>
    <x v="3"/>
  </r>
  <r>
    <x v="1329"/>
    <x v="16"/>
    <x v="1"/>
    <n v="88.7"/>
    <n v="177.4"/>
    <x v="50"/>
    <x v="47"/>
    <x v="0"/>
    <x v="3"/>
    <x v="2"/>
    <x v="0"/>
    <x v="3"/>
    <x v="3"/>
    <x v="7"/>
    <x v="0"/>
    <x v="3"/>
  </r>
  <r>
    <x v="1330"/>
    <x v="4"/>
    <x v="1"/>
    <n v="21.3"/>
    <n v="42.6"/>
    <x v="50"/>
    <x v="47"/>
    <x v="1"/>
    <x v="0"/>
    <x v="0"/>
    <x v="0"/>
    <x v="3"/>
    <x v="3"/>
    <x v="7"/>
    <x v="1"/>
    <x v="3"/>
  </r>
  <r>
    <x v="1331"/>
    <x v="4"/>
    <x v="13"/>
    <n v="50.6"/>
    <n v="303.60000000000002"/>
    <x v="50"/>
    <x v="54"/>
    <x v="2"/>
    <x v="2"/>
    <x v="0"/>
    <x v="0"/>
    <x v="3"/>
    <x v="5"/>
    <x v="7"/>
    <x v="2"/>
    <x v="3"/>
  </r>
  <r>
    <x v="1332"/>
    <x v="9"/>
    <x v="38"/>
    <n v="86.9"/>
    <n v="1824.9"/>
    <x v="50"/>
    <x v="55"/>
    <x v="2"/>
    <x v="0"/>
    <x v="1"/>
    <x v="0"/>
    <x v="3"/>
    <x v="2"/>
    <x v="7"/>
    <x v="2"/>
    <x v="3"/>
  </r>
  <r>
    <x v="1333"/>
    <x v="11"/>
    <x v="2"/>
    <n v="31.8"/>
    <n v="95.4"/>
    <x v="50"/>
    <x v="56"/>
    <x v="1"/>
    <x v="0"/>
    <x v="2"/>
    <x v="0"/>
    <x v="3"/>
    <x v="1"/>
    <x v="7"/>
    <x v="1"/>
    <x v="3"/>
  </r>
  <r>
    <x v="1334"/>
    <x v="8"/>
    <x v="0"/>
    <n v="19"/>
    <n v="19"/>
    <x v="50"/>
    <x v="47"/>
    <x v="2"/>
    <x v="0"/>
    <x v="2"/>
    <x v="0"/>
    <x v="3"/>
    <x v="3"/>
    <x v="7"/>
    <x v="2"/>
    <x v="3"/>
  </r>
  <r>
    <x v="1335"/>
    <x v="5"/>
    <x v="0"/>
    <n v="54.5"/>
    <n v="54.5"/>
    <x v="50"/>
    <x v="56"/>
    <x v="1"/>
    <x v="0"/>
    <x v="0"/>
    <x v="0"/>
    <x v="3"/>
    <x v="1"/>
    <x v="7"/>
    <x v="1"/>
    <x v="3"/>
  </r>
  <r>
    <x v="1336"/>
    <x v="9"/>
    <x v="9"/>
    <n v="68.900000000000006"/>
    <n v="344.5"/>
    <x v="50"/>
    <x v="56"/>
    <x v="1"/>
    <x v="4"/>
    <x v="1"/>
    <x v="0"/>
    <x v="3"/>
    <x v="1"/>
    <x v="7"/>
    <x v="1"/>
    <x v="3"/>
  </r>
  <r>
    <x v="1337"/>
    <x v="6"/>
    <x v="2"/>
    <n v="84"/>
    <n v="252"/>
    <x v="50"/>
    <x v="47"/>
    <x v="1"/>
    <x v="1"/>
    <x v="4"/>
    <x v="0"/>
    <x v="16"/>
    <x v="3"/>
    <x v="7"/>
    <x v="1"/>
    <x v="16"/>
  </r>
  <r>
    <x v="1338"/>
    <x v="15"/>
    <x v="8"/>
    <n v="23.1"/>
    <n v="184.8"/>
    <x v="50"/>
    <x v="51"/>
    <x v="1"/>
    <x v="0"/>
    <x v="2"/>
    <x v="0"/>
    <x v="23"/>
    <x v="0"/>
    <x v="7"/>
    <x v="1"/>
    <x v="23"/>
  </r>
  <r>
    <x v="1339"/>
    <x v="7"/>
    <x v="1"/>
    <n v="62.4"/>
    <n v="124.8"/>
    <x v="50"/>
    <x v="47"/>
    <x v="2"/>
    <x v="0"/>
    <x v="1"/>
    <x v="0"/>
    <x v="6"/>
    <x v="3"/>
    <x v="7"/>
    <x v="2"/>
    <x v="6"/>
  </r>
  <r>
    <x v="1340"/>
    <x v="6"/>
    <x v="4"/>
    <n v="40.700000000000003"/>
    <n v="488.40000000000003"/>
    <x v="50"/>
    <x v="56"/>
    <x v="1"/>
    <x v="1"/>
    <x v="2"/>
    <x v="0"/>
    <x v="6"/>
    <x v="1"/>
    <x v="7"/>
    <x v="1"/>
    <x v="6"/>
  </r>
  <r>
    <x v="1341"/>
    <x v="6"/>
    <x v="0"/>
    <n v="49.6"/>
    <n v="49.6"/>
    <x v="50"/>
    <x v="55"/>
    <x v="1"/>
    <x v="2"/>
    <x v="0"/>
    <x v="0"/>
    <x v="7"/>
    <x v="2"/>
    <x v="7"/>
    <x v="1"/>
    <x v="7"/>
  </r>
  <r>
    <x v="1342"/>
    <x v="7"/>
    <x v="41"/>
    <n v="66.599999999999994"/>
    <n v="2996.9999999999995"/>
    <x v="50"/>
    <x v="55"/>
    <x v="1"/>
    <x v="2"/>
    <x v="0"/>
    <x v="0"/>
    <x v="8"/>
    <x v="2"/>
    <x v="7"/>
    <x v="1"/>
    <x v="8"/>
  </r>
  <r>
    <x v="1343"/>
    <x v="8"/>
    <x v="2"/>
    <n v="26.4"/>
    <n v="79.199999999999989"/>
    <x v="50"/>
    <x v="47"/>
    <x v="2"/>
    <x v="1"/>
    <x v="1"/>
    <x v="0"/>
    <x v="8"/>
    <x v="3"/>
    <x v="7"/>
    <x v="2"/>
    <x v="8"/>
  </r>
  <r>
    <x v="1344"/>
    <x v="0"/>
    <x v="1"/>
    <n v="17.2"/>
    <n v="34.4"/>
    <x v="50"/>
    <x v="55"/>
    <x v="1"/>
    <x v="2"/>
    <x v="1"/>
    <x v="0"/>
    <x v="8"/>
    <x v="2"/>
    <x v="7"/>
    <x v="1"/>
    <x v="8"/>
  </r>
  <r>
    <x v="1345"/>
    <x v="5"/>
    <x v="8"/>
    <n v="58.1"/>
    <n v="464.8"/>
    <x v="50"/>
    <x v="55"/>
    <x v="2"/>
    <x v="4"/>
    <x v="0"/>
    <x v="0"/>
    <x v="8"/>
    <x v="2"/>
    <x v="7"/>
    <x v="2"/>
    <x v="8"/>
  </r>
  <r>
    <x v="1346"/>
    <x v="15"/>
    <x v="12"/>
    <n v="31.5"/>
    <n v="126"/>
    <x v="50"/>
    <x v="55"/>
    <x v="2"/>
    <x v="4"/>
    <x v="4"/>
    <x v="0"/>
    <x v="8"/>
    <x v="2"/>
    <x v="7"/>
    <x v="2"/>
    <x v="8"/>
  </r>
  <r>
    <x v="1347"/>
    <x v="0"/>
    <x v="0"/>
    <n v="27.1"/>
    <n v="27.1"/>
    <x v="50"/>
    <x v="56"/>
    <x v="2"/>
    <x v="0"/>
    <x v="1"/>
    <x v="0"/>
    <x v="17"/>
    <x v="1"/>
    <x v="7"/>
    <x v="2"/>
    <x v="17"/>
  </r>
  <r>
    <x v="1348"/>
    <x v="18"/>
    <x v="12"/>
    <n v="28.5"/>
    <n v="114"/>
    <x v="50"/>
    <x v="56"/>
    <x v="1"/>
    <x v="1"/>
    <x v="2"/>
    <x v="0"/>
    <x v="9"/>
    <x v="1"/>
    <x v="7"/>
    <x v="1"/>
    <x v="9"/>
  </r>
  <r>
    <x v="1349"/>
    <x v="10"/>
    <x v="0"/>
    <n v="40.5"/>
    <n v="40.5"/>
    <x v="51"/>
    <x v="55"/>
    <x v="3"/>
    <x v="2"/>
    <x v="0"/>
    <x v="0"/>
    <x v="9"/>
    <x v="1"/>
    <x v="7"/>
    <x v="3"/>
    <x v="9"/>
  </r>
  <r>
    <x v="1350"/>
    <x v="2"/>
    <x v="2"/>
    <n v="77.900000000000006"/>
    <n v="233.70000000000002"/>
    <x v="51"/>
    <x v="51"/>
    <x v="2"/>
    <x v="1"/>
    <x v="2"/>
    <x v="0"/>
    <x v="19"/>
    <x v="5"/>
    <x v="7"/>
    <x v="2"/>
    <x v="19"/>
  </r>
  <r>
    <x v="1351"/>
    <x v="18"/>
    <x v="12"/>
    <n v="37.1"/>
    <n v="148.4"/>
    <x v="51"/>
    <x v="55"/>
    <x v="1"/>
    <x v="4"/>
    <x v="2"/>
    <x v="0"/>
    <x v="19"/>
    <x v="1"/>
    <x v="7"/>
    <x v="1"/>
    <x v="19"/>
  </r>
  <r>
    <x v="1352"/>
    <x v="16"/>
    <x v="2"/>
    <n v="51.6"/>
    <n v="154.80000000000001"/>
    <x v="51"/>
    <x v="59"/>
    <x v="2"/>
    <x v="0"/>
    <x v="4"/>
    <x v="0"/>
    <x v="19"/>
    <x v="9"/>
    <x v="7"/>
    <x v="2"/>
    <x v="19"/>
  </r>
  <r>
    <x v="1353"/>
    <x v="7"/>
    <x v="2"/>
    <n v="98"/>
    <n v="294"/>
    <x v="51"/>
    <x v="56"/>
    <x v="1"/>
    <x v="1"/>
    <x v="1"/>
    <x v="0"/>
    <x v="19"/>
    <x v="3"/>
    <x v="7"/>
    <x v="1"/>
    <x v="19"/>
  </r>
  <r>
    <x v="1354"/>
    <x v="6"/>
    <x v="3"/>
    <n v="41.4"/>
    <n v="289.8"/>
    <x v="51"/>
    <x v="56"/>
    <x v="1"/>
    <x v="1"/>
    <x v="0"/>
    <x v="0"/>
    <x v="20"/>
    <x v="3"/>
    <x v="7"/>
    <x v="1"/>
    <x v="20"/>
  </r>
  <r>
    <x v="1355"/>
    <x v="11"/>
    <x v="8"/>
    <n v="34"/>
    <n v="272"/>
    <x v="51"/>
    <x v="52"/>
    <x v="2"/>
    <x v="0"/>
    <x v="2"/>
    <x v="0"/>
    <x v="52"/>
    <x v="0"/>
    <x v="7"/>
    <x v="2"/>
    <x v="52"/>
  </r>
  <r>
    <x v="1356"/>
    <x v="6"/>
    <x v="0"/>
    <n v="66.3"/>
    <n v="66.3"/>
    <x v="51"/>
    <x v="56"/>
    <x v="2"/>
    <x v="1"/>
    <x v="0"/>
    <x v="0"/>
    <x v="13"/>
    <x v="3"/>
    <x v="7"/>
    <x v="2"/>
    <x v="13"/>
  </r>
  <r>
    <x v="1357"/>
    <x v="7"/>
    <x v="0"/>
    <n v="33.5"/>
    <n v="33.5"/>
    <x v="51"/>
    <x v="51"/>
    <x v="1"/>
    <x v="2"/>
    <x v="0"/>
    <x v="0"/>
    <x v="13"/>
    <x v="5"/>
    <x v="7"/>
    <x v="1"/>
    <x v="13"/>
  </r>
  <r>
    <x v="1358"/>
    <x v="12"/>
    <x v="1"/>
    <n v="70.8"/>
    <n v="141.6"/>
    <x v="51"/>
    <x v="56"/>
    <x v="0"/>
    <x v="0"/>
    <x v="0"/>
    <x v="0"/>
    <x v="28"/>
    <x v="3"/>
    <x v="7"/>
    <x v="0"/>
    <x v="28"/>
  </r>
  <r>
    <x v="1359"/>
    <x v="6"/>
    <x v="1"/>
    <n v="127.6"/>
    <n v="255.2"/>
    <x v="51"/>
    <x v="56"/>
    <x v="1"/>
    <x v="0"/>
    <x v="0"/>
    <x v="0"/>
    <x v="21"/>
    <x v="3"/>
    <x v="7"/>
    <x v="1"/>
    <x v="21"/>
  </r>
  <r>
    <x v="1360"/>
    <x v="6"/>
    <x v="2"/>
    <n v="95.9"/>
    <n v="287.70000000000005"/>
    <x v="51"/>
    <x v="56"/>
    <x v="2"/>
    <x v="1"/>
    <x v="1"/>
    <x v="0"/>
    <x v="21"/>
    <x v="3"/>
    <x v="7"/>
    <x v="2"/>
    <x v="21"/>
  </r>
  <r>
    <x v="1361"/>
    <x v="2"/>
    <x v="1"/>
    <n v="78.099999999999994"/>
    <n v="156.19999999999999"/>
    <x v="51"/>
    <x v="56"/>
    <x v="1"/>
    <x v="0"/>
    <x v="0"/>
    <x v="0"/>
    <x v="1"/>
    <x v="3"/>
    <x v="7"/>
    <x v="1"/>
    <x v="1"/>
  </r>
  <r>
    <x v="1362"/>
    <x v="13"/>
    <x v="1"/>
    <n v="43.2"/>
    <n v="86.4"/>
    <x v="51"/>
    <x v="56"/>
    <x v="0"/>
    <x v="1"/>
    <x v="1"/>
    <x v="0"/>
    <x v="1"/>
    <x v="3"/>
    <x v="7"/>
    <x v="0"/>
    <x v="1"/>
  </r>
  <r>
    <x v="1363"/>
    <x v="8"/>
    <x v="12"/>
    <n v="28.4"/>
    <n v="113.6"/>
    <x v="51"/>
    <x v="53"/>
    <x v="1"/>
    <x v="2"/>
    <x v="0"/>
    <x v="0"/>
    <x v="3"/>
    <x v="4"/>
    <x v="7"/>
    <x v="1"/>
    <x v="3"/>
  </r>
  <r>
    <x v="1364"/>
    <x v="2"/>
    <x v="1"/>
    <n v="81.7"/>
    <n v="163.4"/>
    <x v="51"/>
    <x v="47"/>
    <x v="1"/>
    <x v="0"/>
    <x v="0"/>
    <x v="0"/>
    <x v="3"/>
    <x v="7"/>
    <x v="7"/>
    <x v="1"/>
    <x v="3"/>
  </r>
  <r>
    <x v="1365"/>
    <x v="18"/>
    <x v="1"/>
    <n v="56.7"/>
    <n v="113.4"/>
    <x v="51"/>
    <x v="55"/>
    <x v="0"/>
    <x v="0"/>
    <x v="2"/>
    <x v="0"/>
    <x v="3"/>
    <x v="1"/>
    <x v="7"/>
    <x v="0"/>
    <x v="3"/>
  </r>
  <r>
    <x v="1366"/>
    <x v="3"/>
    <x v="12"/>
    <n v="66.5"/>
    <n v="266"/>
    <x v="51"/>
    <x v="47"/>
    <x v="2"/>
    <x v="0"/>
    <x v="2"/>
    <x v="0"/>
    <x v="3"/>
    <x v="7"/>
    <x v="7"/>
    <x v="2"/>
    <x v="3"/>
  </r>
  <r>
    <x v="1367"/>
    <x v="1"/>
    <x v="1"/>
    <n v="105.3"/>
    <n v="210.6"/>
    <x v="51"/>
    <x v="51"/>
    <x v="1"/>
    <x v="0"/>
    <x v="1"/>
    <x v="0"/>
    <x v="3"/>
    <x v="5"/>
    <x v="7"/>
    <x v="1"/>
    <x v="3"/>
  </r>
  <r>
    <x v="1368"/>
    <x v="10"/>
    <x v="9"/>
    <n v="33.799999999999997"/>
    <n v="169"/>
    <x v="51"/>
    <x v="52"/>
    <x v="1"/>
    <x v="0"/>
    <x v="0"/>
    <x v="0"/>
    <x v="3"/>
    <x v="0"/>
    <x v="7"/>
    <x v="1"/>
    <x v="3"/>
  </r>
  <r>
    <x v="1369"/>
    <x v="6"/>
    <x v="2"/>
    <n v="63.4"/>
    <n v="190.2"/>
    <x v="51"/>
    <x v="52"/>
    <x v="1"/>
    <x v="3"/>
    <x v="1"/>
    <x v="0"/>
    <x v="24"/>
    <x v="0"/>
    <x v="7"/>
    <x v="1"/>
    <x v="24"/>
  </r>
  <r>
    <x v="1370"/>
    <x v="6"/>
    <x v="2"/>
    <n v="49"/>
    <n v="147"/>
    <x v="51"/>
    <x v="51"/>
    <x v="1"/>
    <x v="3"/>
    <x v="0"/>
    <x v="0"/>
    <x v="49"/>
    <x v="5"/>
    <x v="7"/>
    <x v="1"/>
    <x v="49"/>
  </r>
  <r>
    <x v="1371"/>
    <x v="1"/>
    <x v="1"/>
    <n v="40"/>
    <n v="80"/>
    <x v="51"/>
    <x v="56"/>
    <x v="2"/>
    <x v="4"/>
    <x v="1"/>
    <x v="0"/>
    <x v="23"/>
    <x v="3"/>
    <x v="7"/>
    <x v="2"/>
    <x v="23"/>
  </r>
  <r>
    <x v="1372"/>
    <x v="6"/>
    <x v="12"/>
    <n v="86.3"/>
    <n v="345.2"/>
    <x v="51"/>
    <x v="56"/>
    <x v="3"/>
    <x v="0"/>
    <x v="0"/>
    <x v="0"/>
    <x v="6"/>
    <x v="3"/>
    <x v="7"/>
    <x v="3"/>
    <x v="6"/>
  </r>
  <r>
    <x v="1373"/>
    <x v="6"/>
    <x v="0"/>
    <n v="51.6"/>
    <n v="51.6"/>
    <x v="51"/>
    <x v="55"/>
    <x v="2"/>
    <x v="2"/>
    <x v="2"/>
    <x v="0"/>
    <x v="6"/>
    <x v="1"/>
    <x v="7"/>
    <x v="2"/>
    <x v="6"/>
  </r>
  <r>
    <x v="1374"/>
    <x v="10"/>
    <x v="2"/>
    <n v="26.7"/>
    <n v="80.099999999999994"/>
    <x v="51"/>
    <x v="52"/>
    <x v="2"/>
    <x v="2"/>
    <x v="1"/>
    <x v="0"/>
    <x v="6"/>
    <x v="0"/>
    <x v="7"/>
    <x v="2"/>
    <x v="6"/>
  </r>
  <r>
    <x v="1375"/>
    <x v="18"/>
    <x v="1"/>
    <n v="68.099999999999994"/>
    <n v="136.19999999999999"/>
    <x v="51"/>
    <x v="56"/>
    <x v="1"/>
    <x v="0"/>
    <x v="1"/>
    <x v="0"/>
    <x v="6"/>
    <x v="3"/>
    <x v="7"/>
    <x v="1"/>
    <x v="6"/>
  </r>
  <r>
    <x v="1376"/>
    <x v="1"/>
    <x v="0"/>
    <n v="81.7"/>
    <n v="81.7"/>
    <x v="51"/>
    <x v="56"/>
    <x v="1"/>
    <x v="0"/>
    <x v="0"/>
    <x v="0"/>
    <x v="7"/>
    <x v="3"/>
    <x v="7"/>
    <x v="1"/>
    <x v="7"/>
  </r>
  <r>
    <x v="1377"/>
    <x v="18"/>
    <x v="7"/>
    <n v="25.1"/>
    <n v="251"/>
    <x v="51"/>
    <x v="54"/>
    <x v="1"/>
    <x v="3"/>
    <x v="1"/>
    <x v="0"/>
    <x v="8"/>
    <x v="2"/>
    <x v="7"/>
    <x v="1"/>
    <x v="8"/>
  </r>
  <r>
    <x v="1378"/>
    <x v="8"/>
    <x v="0"/>
    <n v="20.2"/>
    <n v="20.2"/>
    <x v="51"/>
    <x v="51"/>
    <x v="2"/>
    <x v="0"/>
    <x v="0"/>
    <x v="0"/>
    <x v="8"/>
    <x v="5"/>
    <x v="7"/>
    <x v="2"/>
    <x v="8"/>
  </r>
  <r>
    <x v="1379"/>
    <x v="8"/>
    <x v="2"/>
    <n v="15.4"/>
    <n v="46.2"/>
    <x v="51"/>
    <x v="56"/>
    <x v="1"/>
    <x v="1"/>
    <x v="2"/>
    <x v="0"/>
    <x v="8"/>
    <x v="3"/>
    <x v="7"/>
    <x v="1"/>
    <x v="8"/>
  </r>
  <r>
    <x v="1380"/>
    <x v="10"/>
    <x v="0"/>
    <n v="59.2"/>
    <n v="59.2"/>
    <x v="51"/>
    <x v="56"/>
    <x v="1"/>
    <x v="2"/>
    <x v="2"/>
    <x v="0"/>
    <x v="17"/>
    <x v="3"/>
    <x v="7"/>
    <x v="1"/>
    <x v="17"/>
  </r>
  <r>
    <x v="1381"/>
    <x v="0"/>
    <x v="0"/>
    <n v="46.7"/>
    <n v="46.7"/>
    <x v="51"/>
    <x v="52"/>
    <x v="1"/>
    <x v="0"/>
    <x v="0"/>
    <x v="0"/>
    <x v="17"/>
    <x v="0"/>
    <x v="7"/>
    <x v="1"/>
    <x v="17"/>
  </r>
  <r>
    <x v="1382"/>
    <x v="6"/>
    <x v="20"/>
    <n v="41.6"/>
    <n v="624"/>
    <x v="51"/>
    <x v="55"/>
    <x v="1"/>
    <x v="1"/>
    <x v="0"/>
    <x v="0"/>
    <x v="26"/>
    <x v="1"/>
    <x v="7"/>
    <x v="1"/>
    <x v="26"/>
  </r>
  <r>
    <x v="1383"/>
    <x v="8"/>
    <x v="1"/>
    <n v="19.2"/>
    <n v="38.4"/>
    <x v="51"/>
    <x v="54"/>
    <x v="1"/>
    <x v="4"/>
    <x v="2"/>
    <x v="0"/>
    <x v="9"/>
    <x v="2"/>
    <x v="7"/>
    <x v="1"/>
    <x v="9"/>
  </r>
  <r>
    <x v="1384"/>
    <x v="17"/>
    <x v="3"/>
    <n v="41.8"/>
    <n v="292.59999999999997"/>
    <x v="51"/>
    <x v="55"/>
    <x v="2"/>
    <x v="2"/>
    <x v="0"/>
    <x v="0"/>
    <x v="11"/>
    <x v="1"/>
    <x v="7"/>
    <x v="2"/>
    <x v="11"/>
  </r>
  <r>
    <x v="1385"/>
    <x v="8"/>
    <x v="13"/>
    <n v="37.4"/>
    <n v="224.39999999999998"/>
    <x v="51"/>
    <x v="55"/>
    <x v="1"/>
    <x v="0"/>
    <x v="2"/>
    <x v="0"/>
    <x v="11"/>
    <x v="1"/>
    <x v="7"/>
    <x v="1"/>
    <x v="11"/>
  </r>
  <r>
    <x v="1386"/>
    <x v="10"/>
    <x v="2"/>
    <n v="60.2"/>
    <n v="180.60000000000002"/>
    <x v="51"/>
    <x v="54"/>
    <x v="1"/>
    <x v="4"/>
    <x v="1"/>
    <x v="0"/>
    <x v="38"/>
    <x v="2"/>
    <x v="7"/>
    <x v="1"/>
    <x v="38"/>
  </r>
  <r>
    <x v="1387"/>
    <x v="9"/>
    <x v="1"/>
    <n v="91.5"/>
    <n v="183"/>
    <x v="52"/>
    <x v="55"/>
    <x v="1"/>
    <x v="0"/>
    <x v="0"/>
    <x v="0"/>
    <x v="13"/>
    <x v="3"/>
    <x v="7"/>
    <x v="1"/>
    <x v="13"/>
  </r>
  <r>
    <x v="1388"/>
    <x v="3"/>
    <x v="9"/>
    <n v="55.7"/>
    <n v="278.5"/>
    <x v="52"/>
    <x v="54"/>
    <x v="0"/>
    <x v="1"/>
    <x v="2"/>
    <x v="0"/>
    <x v="21"/>
    <x v="1"/>
    <x v="7"/>
    <x v="0"/>
    <x v="21"/>
  </r>
  <r>
    <x v="1389"/>
    <x v="7"/>
    <x v="1"/>
    <n v="76.7"/>
    <n v="153.4"/>
    <x v="52"/>
    <x v="54"/>
    <x v="1"/>
    <x v="0"/>
    <x v="1"/>
    <x v="0"/>
    <x v="21"/>
    <x v="1"/>
    <x v="7"/>
    <x v="1"/>
    <x v="21"/>
  </r>
  <r>
    <x v="1390"/>
    <x v="8"/>
    <x v="38"/>
    <n v="28.2"/>
    <n v="592.19999999999993"/>
    <x v="52"/>
    <x v="53"/>
    <x v="1"/>
    <x v="2"/>
    <x v="0"/>
    <x v="0"/>
    <x v="1"/>
    <x v="0"/>
    <x v="7"/>
    <x v="1"/>
    <x v="1"/>
  </r>
  <r>
    <x v="1391"/>
    <x v="7"/>
    <x v="9"/>
    <n v="93.2"/>
    <n v="466"/>
    <x v="52"/>
    <x v="54"/>
    <x v="2"/>
    <x v="4"/>
    <x v="2"/>
    <x v="0"/>
    <x v="1"/>
    <x v="1"/>
    <x v="7"/>
    <x v="2"/>
    <x v="1"/>
  </r>
  <r>
    <x v="1392"/>
    <x v="17"/>
    <x v="0"/>
    <n v="33.299999999999997"/>
    <n v="33.299999999999997"/>
    <x v="52"/>
    <x v="55"/>
    <x v="1"/>
    <x v="4"/>
    <x v="0"/>
    <x v="0"/>
    <x v="2"/>
    <x v="3"/>
    <x v="7"/>
    <x v="1"/>
    <x v="2"/>
  </r>
  <r>
    <x v="1393"/>
    <x v="10"/>
    <x v="1"/>
    <n v="39.1"/>
    <n v="78.2"/>
    <x v="52"/>
    <x v="51"/>
    <x v="1"/>
    <x v="0"/>
    <x v="0"/>
    <x v="0"/>
    <x v="44"/>
    <x v="2"/>
    <x v="7"/>
    <x v="1"/>
    <x v="44"/>
  </r>
  <r>
    <x v="1394"/>
    <x v="7"/>
    <x v="4"/>
    <n v="45.3"/>
    <n v="543.59999999999991"/>
    <x v="52"/>
    <x v="55"/>
    <x v="1"/>
    <x v="2"/>
    <x v="0"/>
    <x v="0"/>
    <x v="33"/>
    <x v="3"/>
    <x v="7"/>
    <x v="1"/>
    <x v="33"/>
  </r>
  <r>
    <x v="1395"/>
    <x v="9"/>
    <x v="3"/>
    <n v="33.9"/>
    <n v="237.29999999999998"/>
    <x v="52"/>
    <x v="55"/>
    <x v="1"/>
    <x v="4"/>
    <x v="0"/>
    <x v="0"/>
    <x v="33"/>
    <x v="3"/>
    <x v="7"/>
    <x v="1"/>
    <x v="33"/>
  </r>
  <r>
    <x v="1396"/>
    <x v="8"/>
    <x v="2"/>
    <n v="19"/>
    <n v="57"/>
    <x v="52"/>
    <x v="55"/>
    <x v="1"/>
    <x v="0"/>
    <x v="2"/>
    <x v="0"/>
    <x v="15"/>
    <x v="3"/>
    <x v="7"/>
    <x v="1"/>
    <x v="15"/>
  </r>
  <r>
    <x v="1397"/>
    <x v="4"/>
    <x v="0"/>
    <n v="41.9"/>
    <n v="41.9"/>
    <x v="52"/>
    <x v="51"/>
    <x v="2"/>
    <x v="2"/>
    <x v="0"/>
    <x v="0"/>
    <x v="22"/>
    <x v="2"/>
    <x v="7"/>
    <x v="2"/>
    <x v="22"/>
  </r>
  <r>
    <x v="1398"/>
    <x v="1"/>
    <x v="12"/>
    <n v="37.5"/>
    <n v="150"/>
    <x v="52"/>
    <x v="56"/>
    <x v="2"/>
    <x v="0"/>
    <x v="0"/>
    <x v="0"/>
    <x v="3"/>
    <x v="7"/>
    <x v="7"/>
    <x v="2"/>
    <x v="3"/>
  </r>
  <r>
    <x v="1399"/>
    <x v="0"/>
    <x v="1"/>
    <n v="40.799999999999997"/>
    <n v="81.599999999999994"/>
    <x v="52"/>
    <x v="51"/>
    <x v="1"/>
    <x v="0"/>
    <x v="0"/>
    <x v="0"/>
    <x v="3"/>
    <x v="2"/>
    <x v="7"/>
    <x v="1"/>
    <x v="3"/>
  </r>
  <r>
    <x v="1400"/>
    <x v="0"/>
    <x v="12"/>
    <n v="23.1"/>
    <n v="92.4"/>
    <x v="52"/>
    <x v="55"/>
    <x v="2"/>
    <x v="4"/>
    <x v="0"/>
    <x v="0"/>
    <x v="3"/>
    <x v="3"/>
    <x v="7"/>
    <x v="2"/>
    <x v="3"/>
  </r>
  <r>
    <x v="1401"/>
    <x v="8"/>
    <x v="9"/>
    <n v="39.299999999999997"/>
    <n v="196.5"/>
    <x v="52"/>
    <x v="55"/>
    <x v="2"/>
    <x v="0"/>
    <x v="0"/>
    <x v="0"/>
    <x v="3"/>
    <x v="3"/>
    <x v="7"/>
    <x v="2"/>
    <x v="3"/>
  </r>
  <r>
    <x v="1402"/>
    <x v="2"/>
    <x v="12"/>
    <n v="85.2"/>
    <n v="340.8"/>
    <x v="52"/>
    <x v="53"/>
    <x v="1"/>
    <x v="2"/>
    <x v="0"/>
    <x v="0"/>
    <x v="3"/>
    <x v="0"/>
    <x v="7"/>
    <x v="1"/>
    <x v="3"/>
  </r>
  <r>
    <x v="1403"/>
    <x v="8"/>
    <x v="13"/>
    <n v="16"/>
    <n v="96"/>
    <x v="52"/>
    <x v="51"/>
    <x v="1"/>
    <x v="1"/>
    <x v="0"/>
    <x v="0"/>
    <x v="3"/>
    <x v="2"/>
    <x v="7"/>
    <x v="1"/>
    <x v="3"/>
  </r>
  <r>
    <x v="1404"/>
    <x v="1"/>
    <x v="1"/>
    <n v="33.799999999999997"/>
    <n v="67.599999999999994"/>
    <x v="52"/>
    <x v="52"/>
    <x v="2"/>
    <x v="1"/>
    <x v="0"/>
    <x v="0"/>
    <x v="3"/>
    <x v="5"/>
    <x v="7"/>
    <x v="2"/>
    <x v="3"/>
  </r>
  <r>
    <x v="1405"/>
    <x v="3"/>
    <x v="0"/>
    <n v="70"/>
    <n v="70"/>
    <x v="52"/>
    <x v="55"/>
    <x v="2"/>
    <x v="0"/>
    <x v="0"/>
    <x v="0"/>
    <x v="3"/>
    <x v="3"/>
    <x v="7"/>
    <x v="2"/>
    <x v="3"/>
  </r>
  <r>
    <x v="1406"/>
    <x v="9"/>
    <x v="0"/>
    <n v="88"/>
    <n v="88"/>
    <x v="52"/>
    <x v="53"/>
    <x v="2"/>
    <x v="3"/>
    <x v="0"/>
    <x v="0"/>
    <x v="3"/>
    <x v="0"/>
    <x v="7"/>
    <x v="2"/>
    <x v="3"/>
  </r>
  <r>
    <x v="1407"/>
    <x v="2"/>
    <x v="2"/>
    <n v="74.099999999999994"/>
    <n v="222.29999999999998"/>
    <x v="52"/>
    <x v="56"/>
    <x v="1"/>
    <x v="4"/>
    <x v="1"/>
    <x v="0"/>
    <x v="3"/>
    <x v="7"/>
    <x v="7"/>
    <x v="1"/>
    <x v="3"/>
  </r>
  <r>
    <x v="1408"/>
    <x v="2"/>
    <x v="0"/>
    <n v="161.9"/>
    <n v="161.9"/>
    <x v="52"/>
    <x v="54"/>
    <x v="1"/>
    <x v="2"/>
    <x v="0"/>
    <x v="0"/>
    <x v="3"/>
    <x v="1"/>
    <x v="7"/>
    <x v="1"/>
    <x v="3"/>
  </r>
  <r>
    <x v="1409"/>
    <x v="4"/>
    <x v="1"/>
    <n v="44"/>
    <n v="88"/>
    <x v="52"/>
    <x v="55"/>
    <x v="3"/>
    <x v="4"/>
    <x v="1"/>
    <x v="0"/>
    <x v="3"/>
    <x v="3"/>
    <x v="7"/>
    <x v="3"/>
    <x v="3"/>
  </r>
  <r>
    <x v="1410"/>
    <x v="11"/>
    <x v="0"/>
    <n v="32.1"/>
    <n v="32.1"/>
    <x v="52"/>
    <x v="56"/>
    <x v="2"/>
    <x v="3"/>
    <x v="3"/>
    <x v="0"/>
    <x v="3"/>
    <x v="7"/>
    <x v="7"/>
    <x v="2"/>
    <x v="3"/>
  </r>
  <r>
    <x v="1411"/>
    <x v="2"/>
    <x v="12"/>
    <n v="104.8"/>
    <n v="419.2"/>
    <x v="53"/>
    <x v="51"/>
    <x v="3"/>
    <x v="0"/>
    <x v="0"/>
    <x v="0"/>
    <x v="3"/>
    <x v="1"/>
    <x v="8"/>
    <x v="3"/>
    <x v="3"/>
  </r>
  <r>
    <x v="1412"/>
    <x v="9"/>
    <x v="13"/>
    <n v="67.400000000000006"/>
    <n v="404.40000000000003"/>
    <x v="53"/>
    <x v="54"/>
    <x v="2"/>
    <x v="3"/>
    <x v="0"/>
    <x v="0"/>
    <x v="3"/>
    <x v="3"/>
    <x v="8"/>
    <x v="2"/>
    <x v="3"/>
  </r>
  <r>
    <x v="1413"/>
    <x v="6"/>
    <x v="1"/>
    <n v="115.2"/>
    <n v="230.4"/>
    <x v="53"/>
    <x v="54"/>
    <x v="2"/>
    <x v="1"/>
    <x v="0"/>
    <x v="0"/>
    <x v="4"/>
    <x v="3"/>
    <x v="8"/>
    <x v="2"/>
    <x v="4"/>
  </r>
  <r>
    <x v="1414"/>
    <x v="8"/>
    <x v="19"/>
    <n v="15.5"/>
    <n v="449.5"/>
    <x v="53"/>
    <x v="51"/>
    <x v="2"/>
    <x v="0"/>
    <x v="1"/>
    <x v="0"/>
    <x v="23"/>
    <x v="1"/>
    <x v="8"/>
    <x v="2"/>
    <x v="23"/>
  </r>
  <r>
    <x v="1415"/>
    <x v="6"/>
    <x v="5"/>
    <n v="66.400000000000006"/>
    <n v="730.40000000000009"/>
    <x v="53"/>
    <x v="51"/>
    <x v="2"/>
    <x v="0"/>
    <x v="0"/>
    <x v="0"/>
    <x v="6"/>
    <x v="1"/>
    <x v="8"/>
    <x v="2"/>
    <x v="6"/>
  </r>
  <r>
    <x v="1416"/>
    <x v="9"/>
    <x v="4"/>
    <n v="68.099999999999994"/>
    <n v="817.19999999999993"/>
    <x v="53"/>
    <x v="54"/>
    <x v="2"/>
    <x v="2"/>
    <x v="0"/>
    <x v="0"/>
    <x v="8"/>
    <x v="3"/>
    <x v="8"/>
    <x v="2"/>
    <x v="8"/>
  </r>
  <r>
    <x v="1417"/>
    <x v="8"/>
    <x v="9"/>
    <n v="32.5"/>
    <n v="162.5"/>
    <x v="53"/>
    <x v="53"/>
    <x v="1"/>
    <x v="2"/>
    <x v="1"/>
    <x v="0"/>
    <x v="8"/>
    <x v="5"/>
    <x v="8"/>
    <x v="1"/>
    <x v="8"/>
  </r>
  <r>
    <x v="1418"/>
    <x v="15"/>
    <x v="2"/>
    <n v="61.2"/>
    <n v="183.60000000000002"/>
    <x v="53"/>
    <x v="51"/>
    <x v="2"/>
    <x v="1"/>
    <x v="1"/>
    <x v="0"/>
    <x v="8"/>
    <x v="1"/>
    <x v="8"/>
    <x v="2"/>
    <x v="8"/>
  </r>
  <r>
    <x v="1419"/>
    <x v="9"/>
    <x v="1"/>
    <n v="54.2"/>
    <n v="108.4"/>
    <x v="53"/>
    <x v="54"/>
    <x v="2"/>
    <x v="1"/>
    <x v="0"/>
    <x v="0"/>
    <x v="8"/>
    <x v="3"/>
    <x v="8"/>
    <x v="2"/>
    <x v="8"/>
  </r>
  <r>
    <x v="1420"/>
    <x v="11"/>
    <x v="8"/>
    <n v="28.7"/>
    <n v="229.6"/>
    <x v="53"/>
    <x v="51"/>
    <x v="1"/>
    <x v="1"/>
    <x v="0"/>
    <x v="0"/>
    <x v="9"/>
    <x v="1"/>
    <x v="8"/>
    <x v="1"/>
    <x v="9"/>
  </r>
  <r>
    <x v="1421"/>
    <x v="12"/>
    <x v="13"/>
    <n v="38.200000000000003"/>
    <n v="229.20000000000002"/>
    <x v="53"/>
    <x v="53"/>
    <x v="2"/>
    <x v="0"/>
    <x v="1"/>
    <x v="0"/>
    <x v="9"/>
    <x v="5"/>
    <x v="8"/>
    <x v="2"/>
    <x v="9"/>
  </r>
  <r>
    <x v="1422"/>
    <x v="8"/>
    <x v="4"/>
    <n v="17.600000000000001"/>
    <n v="211.20000000000002"/>
    <x v="53"/>
    <x v="54"/>
    <x v="2"/>
    <x v="2"/>
    <x v="1"/>
    <x v="0"/>
    <x v="9"/>
    <x v="3"/>
    <x v="8"/>
    <x v="2"/>
    <x v="9"/>
  </r>
  <r>
    <x v="1423"/>
    <x v="10"/>
    <x v="2"/>
    <n v="74.599999999999994"/>
    <n v="223.79999999999998"/>
    <x v="53"/>
    <x v="55"/>
    <x v="2"/>
    <x v="2"/>
    <x v="0"/>
    <x v="0"/>
    <x v="11"/>
    <x v="7"/>
    <x v="8"/>
    <x v="2"/>
    <x v="11"/>
  </r>
  <r>
    <x v="1424"/>
    <x v="16"/>
    <x v="20"/>
    <n v="72.599999999999994"/>
    <n v="1089"/>
    <x v="53"/>
    <x v="55"/>
    <x v="0"/>
    <x v="1"/>
    <x v="1"/>
    <x v="0"/>
    <x v="11"/>
    <x v="7"/>
    <x v="8"/>
    <x v="0"/>
    <x v="11"/>
  </r>
  <r>
    <x v="1425"/>
    <x v="7"/>
    <x v="0"/>
    <n v="62.3"/>
    <n v="62.3"/>
    <x v="53"/>
    <x v="54"/>
    <x v="2"/>
    <x v="1"/>
    <x v="0"/>
    <x v="0"/>
    <x v="11"/>
    <x v="3"/>
    <x v="8"/>
    <x v="2"/>
    <x v="11"/>
  </r>
  <r>
    <x v="1426"/>
    <x v="3"/>
    <x v="2"/>
    <n v="33.799999999999997"/>
    <n v="101.39999999999999"/>
    <x v="53"/>
    <x v="51"/>
    <x v="1"/>
    <x v="0"/>
    <x v="2"/>
    <x v="0"/>
    <x v="20"/>
    <x v="1"/>
    <x v="8"/>
    <x v="1"/>
    <x v="20"/>
  </r>
  <r>
    <x v="1427"/>
    <x v="9"/>
    <x v="0"/>
    <n v="85.7"/>
    <n v="85.7"/>
    <x v="53"/>
    <x v="52"/>
    <x v="1"/>
    <x v="3"/>
    <x v="1"/>
    <x v="0"/>
    <x v="21"/>
    <x v="2"/>
    <x v="8"/>
    <x v="1"/>
    <x v="21"/>
  </r>
  <r>
    <x v="1428"/>
    <x v="6"/>
    <x v="1"/>
    <n v="92.1"/>
    <n v="184.2"/>
    <x v="53"/>
    <x v="51"/>
    <x v="1"/>
    <x v="1"/>
    <x v="0"/>
    <x v="0"/>
    <x v="21"/>
    <x v="1"/>
    <x v="8"/>
    <x v="1"/>
    <x v="21"/>
  </r>
  <r>
    <x v="1429"/>
    <x v="16"/>
    <x v="2"/>
    <n v="65.099999999999994"/>
    <n v="195.29999999999998"/>
    <x v="53"/>
    <x v="52"/>
    <x v="1"/>
    <x v="0"/>
    <x v="0"/>
    <x v="0"/>
    <x v="1"/>
    <x v="2"/>
    <x v="8"/>
    <x v="1"/>
    <x v="1"/>
  </r>
  <r>
    <x v="1430"/>
    <x v="9"/>
    <x v="3"/>
    <n v="20.3"/>
    <n v="142.1"/>
    <x v="53"/>
    <x v="54"/>
    <x v="2"/>
    <x v="2"/>
    <x v="2"/>
    <x v="0"/>
    <x v="2"/>
    <x v="3"/>
    <x v="8"/>
    <x v="2"/>
    <x v="2"/>
  </r>
  <r>
    <x v="1431"/>
    <x v="19"/>
    <x v="1"/>
    <n v="29.8"/>
    <n v="59.6"/>
    <x v="53"/>
    <x v="51"/>
    <x v="2"/>
    <x v="1"/>
    <x v="2"/>
    <x v="0"/>
    <x v="34"/>
    <x v="1"/>
    <x v="8"/>
    <x v="2"/>
    <x v="34"/>
  </r>
  <r>
    <x v="1432"/>
    <x v="0"/>
    <x v="1"/>
    <n v="24.2"/>
    <n v="48.4"/>
    <x v="53"/>
    <x v="51"/>
    <x v="2"/>
    <x v="3"/>
    <x v="2"/>
    <x v="0"/>
    <x v="3"/>
    <x v="1"/>
    <x v="8"/>
    <x v="2"/>
    <x v="3"/>
  </r>
  <r>
    <x v="1433"/>
    <x v="3"/>
    <x v="0"/>
    <n v="57.3"/>
    <n v="57.3"/>
    <x v="53"/>
    <x v="51"/>
    <x v="1"/>
    <x v="0"/>
    <x v="0"/>
    <x v="0"/>
    <x v="3"/>
    <x v="1"/>
    <x v="8"/>
    <x v="1"/>
    <x v="3"/>
  </r>
  <r>
    <x v="1434"/>
    <x v="2"/>
    <x v="0"/>
    <n v="108.9"/>
    <n v="108.9"/>
    <x v="53"/>
    <x v="51"/>
    <x v="2"/>
    <x v="1"/>
    <x v="0"/>
    <x v="0"/>
    <x v="3"/>
    <x v="1"/>
    <x v="8"/>
    <x v="2"/>
    <x v="3"/>
  </r>
  <r>
    <x v="1435"/>
    <x v="7"/>
    <x v="9"/>
    <n v="50.7"/>
    <n v="253.5"/>
    <x v="53"/>
    <x v="54"/>
    <x v="2"/>
    <x v="0"/>
    <x v="0"/>
    <x v="0"/>
    <x v="3"/>
    <x v="3"/>
    <x v="8"/>
    <x v="2"/>
    <x v="3"/>
  </r>
  <r>
    <x v="1436"/>
    <x v="7"/>
    <x v="11"/>
    <n v="66.099999999999994"/>
    <n v="594.9"/>
    <x v="53"/>
    <x v="60"/>
    <x v="2"/>
    <x v="1"/>
    <x v="0"/>
    <x v="0"/>
    <x v="3"/>
    <x v="12"/>
    <x v="8"/>
    <x v="2"/>
    <x v="3"/>
  </r>
  <r>
    <x v="1437"/>
    <x v="12"/>
    <x v="9"/>
    <n v="36.700000000000003"/>
    <n v="183.5"/>
    <x v="53"/>
    <x v="53"/>
    <x v="2"/>
    <x v="4"/>
    <x v="0"/>
    <x v="0"/>
    <x v="3"/>
    <x v="5"/>
    <x v="8"/>
    <x v="2"/>
    <x v="3"/>
  </r>
  <r>
    <x v="1438"/>
    <x v="8"/>
    <x v="14"/>
    <n v="19.3"/>
    <n v="328.1"/>
    <x v="53"/>
    <x v="51"/>
    <x v="1"/>
    <x v="0"/>
    <x v="0"/>
    <x v="0"/>
    <x v="43"/>
    <x v="1"/>
    <x v="8"/>
    <x v="1"/>
    <x v="43"/>
  </r>
  <r>
    <x v="1439"/>
    <x v="8"/>
    <x v="12"/>
    <n v="20.7"/>
    <n v="82.8"/>
    <x v="53"/>
    <x v="54"/>
    <x v="1"/>
    <x v="1"/>
    <x v="2"/>
    <x v="0"/>
    <x v="6"/>
    <x v="3"/>
    <x v="8"/>
    <x v="1"/>
    <x v="6"/>
  </r>
  <r>
    <x v="1440"/>
    <x v="5"/>
    <x v="2"/>
    <n v="54.7"/>
    <n v="164.10000000000002"/>
    <x v="53"/>
    <x v="55"/>
    <x v="3"/>
    <x v="1"/>
    <x v="4"/>
    <x v="0"/>
    <x v="6"/>
    <x v="7"/>
    <x v="8"/>
    <x v="3"/>
    <x v="6"/>
  </r>
  <r>
    <x v="1441"/>
    <x v="4"/>
    <x v="1"/>
    <n v="19.8"/>
    <n v="39.6"/>
    <x v="53"/>
    <x v="53"/>
    <x v="2"/>
    <x v="4"/>
    <x v="1"/>
    <x v="0"/>
    <x v="8"/>
    <x v="5"/>
    <x v="8"/>
    <x v="2"/>
    <x v="8"/>
  </r>
  <r>
    <x v="1442"/>
    <x v="7"/>
    <x v="0"/>
    <n v="41.1"/>
    <n v="41.1"/>
    <x v="53"/>
    <x v="51"/>
    <x v="2"/>
    <x v="0"/>
    <x v="2"/>
    <x v="0"/>
    <x v="8"/>
    <x v="1"/>
    <x v="8"/>
    <x v="2"/>
    <x v="8"/>
  </r>
  <r>
    <x v="1443"/>
    <x v="11"/>
    <x v="8"/>
    <n v="43.5"/>
    <n v="348"/>
    <x v="53"/>
    <x v="53"/>
    <x v="2"/>
    <x v="3"/>
    <x v="0"/>
    <x v="0"/>
    <x v="8"/>
    <x v="5"/>
    <x v="8"/>
    <x v="2"/>
    <x v="8"/>
  </r>
  <r>
    <x v="1444"/>
    <x v="8"/>
    <x v="21"/>
    <n v="19"/>
    <n v="266"/>
    <x v="53"/>
    <x v="54"/>
    <x v="1"/>
    <x v="0"/>
    <x v="0"/>
    <x v="0"/>
    <x v="26"/>
    <x v="3"/>
    <x v="8"/>
    <x v="1"/>
    <x v="26"/>
  </r>
  <r>
    <x v="1445"/>
    <x v="2"/>
    <x v="12"/>
    <n v="51.4"/>
    <n v="205.6"/>
    <x v="53"/>
    <x v="55"/>
    <x v="2"/>
    <x v="0"/>
    <x v="0"/>
    <x v="0"/>
    <x v="26"/>
    <x v="7"/>
    <x v="8"/>
    <x v="2"/>
    <x v="26"/>
  </r>
  <r>
    <x v="1446"/>
    <x v="10"/>
    <x v="1"/>
    <n v="39.799999999999997"/>
    <n v="79.599999999999994"/>
    <x v="53"/>
    <x v="52"/>
    <x v="1"/>
    <x v="3"/>
    <x v="1"/>
    <x v="0"/>
    <x v="13"/>
    <x v="2"/>
    <x v="8"/>
    <x v="1"/>
    <x v="13"/>
  </r>
  <r>
    <x v="1447"/>
    <x v="6"/>
    <x v="9"/>
    <n v="61"/>
    <n v="305"/>
    <x v="53"/>
    <x v="54"/>
    <x v="0"/>
    <x v="0"/>
    <x v="2"/>
    <x v="0"/>
    <x v="21"/>
    <x v="3"/>
    <x v="8"/>
    <x v="0"/>
    <x v="21"/>
  </r>
  <r>
    <x v="1448"/>
    <x v="8"/>
    <x v="5"/>
    <n v="15.1"/>
    <n v="166.1"/>
    <x v="54"/>
    <x v="59"/>
    <x v="1"/>
    <x v="3"/>
    <x v="2"/>
    <x v="0"/>
    <x v="2"/>
    <x v="0"/>
    <x v="8"/>
    <x v="1"/>
    <x v="2"/>
  </r>
  <r>
    <x v="1449"/>
    <x v="1"/>
    <x v="3"/>
    <n v="71.3"/>
    <n v="499.09999999999997"/>
    <x v="54"/>
    <x v="51"/>
    <x v="1"/>
    <x v="4"/>
    <x v="0"/>
    <x v="0"/>
    <x v="3"/>
    <x v="3"/>
    <x v="8"/>
    <x v="1"/>
    <x v="3"/>
  </r>
  <r>
    <x v="1450"/>
    <x v="10"/>
    <x v="0"/>
    <n v="25.8"/>
    <n v="25.8"/>
    <x v="54"/>
    <x v="52"/>
    <x v="2"/>
    <x v="0"/>
    <x v="2"/>
    <x v="0"/>
    <x v="3"/>
    <x v="1"/>
    <x v="8"/>
    <x v="2"/>
    <x v="3"/>
  </r>
  <r>
    <x v="1451"/>
    <x v="8"/>
    <x v="9"/>
    <n v="39.6"/>
    <n v="198"/>
    <x v="54"/>
    <x v="52"/>
    <x v="1"/>
    <x v="1"/>
    <x v="2"/>
    <x v="0"/>
    <x v="3"/>
    <x v="1"/>
    <x v="8"/>
    <x v="1"/>
    <x v="3"/>
  </r>
  <r>
    <x v="1452"/>
    <x v="5"/>
    <x v="1"/>
    <n v="64"/>
    <n v="128"/>
    <x v="54"/>
    <x v="54"/>
    <x v="1"/>
    <x v="1"/>
    <x v="1"/>
    <x v="0"/>
    <x v="3"/>
    <x v="7"/>
    <x v="8"/>
    <x v="1"/>
    <x v="3"/>
  </r>
  <r>
    <x v="1453"/>
    <x v="8"/>
    <x v="1"/>
    <n v="30.6"/>
    <n v="61.2"/>
    <x v="54"/>
    <x v="53"/>
    <x v="1"/>
    <x v="0"/>
    <x v="2"/>
    <x v="0"/>
    <x v="3"/>
    <x v="2"/>
    <x v="8"/>
    <x v="1"/>
    <x v="3"/>
  </r>
  <r>
    <x v="1454"/>
    <x v="8"/>
    <x v="1"/>
    <n v="21.3"/>
    <n v="42.6"/>
    <x v="54"/>
    <x v="51"/>
    <x v="1"/>
    <x v="0"/>
    <x v="1"/>
    <x v="0"/>
    <x v="3"/>
    <x v="3"/>
    <x v="8"/>
    <x v="1"/>
    <x v="3"/>
  </r>
  <r>
    <x v="1455"/>
    <x v="7"/>
    <x v="0"/>
    <n v="40.799999999999997"/>
    <n v="40.799999999999997"/>
    <x v="54"/>
    <x v="52"/>
    <x v="2"/>
    <x v="4"/>
    <x v="0"/>
    <x v="0"/>
    <x v="3"/>
    <x v="1"/>
    <x v="8"/>
    <x v="2"/>
    <x v="3"/>
  </r>
  <r>
    <x v="1456"/>
    <x v="9"/>
    <x v="12"/>
    <n v="27.7"/>
    <n v="110.8"/>
    <x v="54"/>
    <x v="51"/>
    <x v="2"/>
    <x v="0"/>
    <x v="1"/>
    <x v="0"/>
    <x v="3"/>
    <x v="3"/>
    <x v="8"/>
    <x v="2"/>
    <x v="3"/>
  </r>
  <r>
    <x v="1457"/>
    <x v="6"/>
    <x v="1"/>
    <n v="64.599999999999994"/>
    <n v="129.19999999999999"/>
    <x v="54"/>
    <x v="51"/>
    <x v="1"/>
    <x v="0"/>
    <x v="1"/>
    <x v="0"/>
    <x v="3"/>
    <x v="3"/>
    <x v="8"/>
    <x v="1"/>
    <x v="3"/>
  </r>
  <r>
    <x v="1458"/>
    <x v="6"/>
    <x v="27"/>
    <n v="91.1"/>
    <n v="1457.6"/>
    <x v="54"/>
    <x v="51"/>
    <x v="2"/>
    <x v="1"/>
    <x v="2"/>
    <x v="0"/>
    <x v="3"/>
    <x v="3"/>
    <x v="8"/>
    <x v="2"/>
    <x v="3"/>
  </r>
  <r>
    <x v="1459"/>
    <x v="1"/>
    <x v="0"/>
    <n v="39.5"/>
    <n v="39.5"/>
    <x v="54"/>
    <x v="61"/>
    <x v="2"/>
    <x v="0"/>
    <x v="0"/>
    <x v="0"/>
    <x v="3"/>
    <x v="9"/>
    <x v="8"/>
    <x v="2"/>
    <x v="3"/>
  </r>
  <r>
    <x v="1460"/>
    <x v="9"/>
    <x v="1"/>
    <n v="21.8"/>
    <n v="43.6"/>
    <x v="54"/>
    <x v="58"/>
    <x v="1"/>
    <x v="4"/>
    <x v="2"/>
    <x v="0"/>
    <x v="3"/>
    <x v="5"/>
    <x v="8"/>
    <x v="1"/>
    <x v="3"/>
  </r>
  <r>
    <x v="1461"/>
    <x v="8"/>
    <x v="1"/>
    <n v="51"/>
    <n v="102"/>
    <x v="54"/>
    <x v="53"/>
    <x v="1"/>
    <x v="3"/>
    <x v="2"/>
    <x v="0"/>
    <x v="3"/>
    <x v="2"/>
    <x v="8"/>
    <x v="1"/>
    <x v="3"/>
  </r>
  <r>
    <x v="1462"/>
    <x v="2"/>
    <x v="0"/>
    <n v="92.6"/>
    <n v="92.6"/>
    <x v="54"/>
    <x v="53"/>
    <x v="2"/>
    <x v="0"/>
    <x v="2"/>
    <x v="0"/>
    <x v="35"/>
    <x v="2"/>
    <x v="8"/>
    <x v="2"/>
    <x v="35"/>
  </r>
  <r>
    <x v="1463"/>
    <x v="9"/>
    <x v="1"/>
    <n v="31.1"/>
    <n v="62.2"/>
    <x v="54"/>
    <x v="59"/>
    <x v="0"/>
    <x v="1"/>
    <x v="3"/>
    <x v="0"/>
    <x v="23"/>
    <x v="0"/>
    <x v="8"/>
    <x v="0"/>
    <x v="23"/>
  </r>
  <r>
    <x v="1464"/>
    <x v="5"/>
    <x v="2"/>
    <n v="56.4"/>
    <n v="169.2"/>
    <x v="54"/>
    <x v="51"/>
    <x v="0"/>
    <x v="1"/>
    <x v="0"/>
    <x v="0"/>
    <x v="6"/>
    <x v="3"/>
    <x v="8"/>
    <x v="0"/>
    <x v="6"/>
  </r>
  <r>
    <x v="1465"/>
    <x v="9"/>
    <x v="0"/>
    <n v="41.9"/>
    <n v="41.9"/>
    <x v="54"/>
    <x v="54"/>
    <x v="1"/>
    <x v="1"/>
    <x v="0"/>
    <x v="0"/>
    <x v="6"/>
    <x v="7"/>
    <x v="8"/>
    <x v="1"/>
    <x v="6"/>
  </r>
  <r>
    <x v="1466"/>
    <x v="10"/>
    <x v="3"/>
    <n v="45.9"/>
    <n v="321.3"/>
    <x v="54"/>
    <x v="51"/>
    <x v="1"/>
    <x v="3"/>
    <x v="2"/>
    <x v="0"/>
    <x v="8"/>
    <x v="3"/>
    <x v="8"/>
    <x v="1"/>
    <x v="8"/>
  </r>
  <r>
    <x v="1467"/>
    <x v="14"/>
    <x v="11"/>
    <n v="24.4"/>
    <n v="219.6"/>
    <x v="54"/>
    <x v="58"/>
    <x v="1"/>
    <x v="3"/>
    <x v="2"/>
    <x v="0"/>
    <x v="8"/>
    <x v="5"/>
    <x v="8"/>
    <x v="1"/>
    <x v="8"/>
  </r>
  <r>
    <x v="1468"/>
    <x v="8"/>
    <x v="0"/>
    <n v="18.2"/>
    <n v="18.2"/>
    <x v="54"/>
    <x v="51"/>
    <x v="2"/>
    <x v="2"/>
    <x v="2"/>
    <x v="0"/>
    <x v="8"/>
    <x v="3"/>
    <x v="8"/>
    <x v="2"/>
    <x v="8"/>
  </r>
  <r>
    <x v="1469"/>
    <x v="8"/>
    <x v="12"/>
    <n v="51.2"/>
    <n v="204.8"/>
    <x v="54"/>
    <x v="51"/>
    <x v="2"/>
    <x v="0"/>
    <x v="0"/>
    <x v="0"/>
    <x v="8"/>
    <x v="3"/>
    <x v="8"/>
    <x v="2"/>
    <x v="8"/>
  </r>
  <r>
    <x v="1470"/>
    <x v="6"/>
    <x v="0"/>
    <n v="59.7"/>
    <n v="59.7"/>
    <x v="54"/>
    <x v="53"/>
    <x v="1"/>
    <x v="0"/>
    <x v="2"/>
    <x v="0"/>
    <x v="8"/>
    <x v="2"/>
    <x v="8"/>
    <x v="1"/>
    <x v="8"/>
  </r>
  <r>
    <x v="1471"/>
    <x v="4"/>
    <x v="1"/>
    <n v="33.6"/>
    <n v="67.2"/>
    <x v="54"/>
    <x v="52"/>
    <x v="2"/>
    <x v="0"/>
    <x v="0"/>
    <x v="0"/>
    <x v="17"/>
    <x v="1"/>
    <x v="8"/>
    <x v="2"/>
    <x v="17"/>
  </r>
  <r>
    <x v="1472"/>
    <x v="12"/>
    <x v="0"/>
    <n v="90.4"/>
    <n v="90.4"/>
    <x v="54"/>
    <x v="58"/>
    <x v="1"/>
    <x v="1"/>
    <x v="2"/>
    <x v="0"/>
    <x v="10"/>
    <x v="5"/>
    <x v="8"/>
    <x v="1"/>
    <x v="10"/>
  </r>
  <r>
    <x v="1473"/>
    <x v="11"/>
    <x v="2"/>
    <n v="70.3"/>
    <n v="210.89999999999998"/>
    <x v="54"/>
    <x v="54"/>
    <x v="1"/>
    <x v="1"/>
    <x v="2"/>
    <x v="0"/>
    <x v="11"/>
    <x v="7"/>
    <x v="8"/>
    <x v="1"/>
    <x v="11"/>
  </r>
  <r>
    <x v="1474"/>
    <x v="4"/>
    <x v="1"/>
    <n v="20.5"/>
    <n v="41"/>
    <x v="54"/>
    <x v="53"/>
    <x v="2"/>
    <x v="0"/>
    <x v="1"/>
    <x v="0"/>
    <x v="11"/>
    <x v="2"/>
    <x v="8"/>
    <x v="2"/>
    <x v="11"/>
  </r>
  <r>
    <x v="1475"/>
    <x v="5"/>
    <x v="5"/>
    <n v="37.6"/>
    <n v="413.6"/>
    <x v="54"/>
    <x v="51"/>
    <x v="1"/>
    <x v="0"/>
    <x v="0"/>
    <x v="0"/>
    <x v="38"/>
    <x v="3"/>
    <x v="8"/>
    <x v="1"/>
    <x v="38"/>
  </r>
  <r>
    <x v="1476"/>
    <x v="5"/>
    <x v="12"/>
    <n v="61.5"/>
    <n v="246"/>
    <x v="54"/>
    <x v="62"/>
    <x v="2"/>
    <x v="1"/>
    <x v="4"/>
    <x v="0"/>
    <x v="13"/>
    <x v="6"/>
    <x v="8"/>
    <x v="2"/>
    <x v="13"/>
  </r>
  <r>
    <x v="1477"/>
    <x v="9"/>
    <x v="0"/>
    <n v="33.5"/>
    <n v="33.5"/>
    <x v="55"/>
    <x v="59"/>
    <x v="1"/>
    <x v="4"/>
    <x v="1"/>
    <x v="0"/>
    <x v="21"/>
    <x v="5"/>
    <x v="8"/>
    <x v="1"/>
    <x v="21"/>
  </r>
  <r>
    <x v="1478"/>
    <x v="4"/>
    <x v="2"/>
    <n v="29.3"/>
    <n v="87.9"/>
    <x v="55"/>
    <x v="53"/>
    <x v="2"/>
    <x v="1"/>
    <x v="2"/>
    <x v="0"/>
    <x v="1"/>
    <x v="1"/>
    <x v="8"/>
    <x v="2"/>
    <x v="1"/>
  </r>
  <r>
    <x v="1479"/>
    <x v="2"/>
    <x v="1"/>
    <n v="125.9"/>
    <n v="251.8"/>
    <x v="55"/>
    <x v="57"/>
    <x v="2"/>
    <x v="4"/>
    <x v="1"/>
    <x v="0"/>
    <x v="1"/>
    <x v="0"/>
    <x v="8"/>
    <x v="2"/>
    <x v="1"/>
  </r>
  <r>
    <x v="1480"/>
    <x v="5"/>
    <x v="9"/>
    <n v="29.3"/>
    <n v="146.5"/>
    <x v="55"/>
    <x v="51"/>
    <x v="1"/>
    <x v="2"/>
    <x v="0"/>
    <x v="0"/>
    <x v="44"/>
    <x v="7"/>
    <x v="8"/>
    <x v="1"/>
    <x v="44"/>
  </r>
  <r>
    <x v="1481"/>
    <x v="9"/>
    <x v="0"/>
    <n v="37.799999999999997"/>
    <n v="37.799999999999997"/>
    <x v="55"/>
    <x v="58"/>
    <x v="2"/>
    <x v="0"/>
    <x v="2"/>
    <x v="0"/>
    <x v="3"/>
    <x v="2"/>
    <x v="8"/>
    <x v="2"/>
    <x v="3"/>
  </r>
  <r>
    <x v="1482"/>
    <x v="0"/>
    <x v="12"/>
    <n v="31.7"/>
    <n v="126.8"/>
    <x v="55"/>
    <x v="52"/>
    <x v="1"/>
    <x v="2"/>
    <x v="2"/>
    <x v="0"/>
    <x v="3"/>
    <x v="3"/>
    <x v="8"/>
    <x v="1"/>
    <x v="3"/>
  </r>
  <r>
    <x v="1483"/>
    <x v="8"/>
    <x v="9"/>
    <n v="26.3"/>
    <n v="131.5"/>
    <x v="55"/>
    <x v="52"/>
    <x v="2"/>
    <x v="3"/>
    <x v="2"/>
    <x v="0"/>
    <x v="3"/>
    <x v="3"/>
    <x v="8"/>
    <x v="2"/>
    <x v="3"/>
  </r>
  <r>
    <x v="1484"/>
    <x v="8"/>
    <x v="2"/>
    <n v="23.1"/>
    <n v="69.300000000000011"/>
    <x v="55"/>
    <x v="52"/>
    <x v="3"/>
    <x v="2"/>
    <x v="1"/>
    <x v="0"/>
    <x v="3"/>
    <x v="3"/>
    <x v="8"/>
    <x v="3"/>
    <x v="3"/>
  </r>
  <r>
    <x v="1485"/>
    <x v="4"/>
    <x v="0"/>
    <n v="22.3"/>
    <n v="22.3"/>
    <x v="55"/>
    <x v="53"/>
    <x v="2"/>
    <x v="2"/>
    <x v="0"/>
    <x v="0"/>
    <x v="3"/>
    <x v="1"/>
    <x v="8"/>
    <x v="2"/>
    <x v="3"/>
  </r>
  <r>
    <x v="1486"/>
    <x v="12"/>
    <x v="1"/>
    <n v="99.5"/>
    <n v="199"/>
    <x v="55"/>
    <x v="53"/>
    <x v="2"/>
    <x v="2"/>
    <x v="0"/>
    <x v="0"/>
    <x v="3"/>
    <x v="1"/>
    <x v="8"/>
    <x v="2"/>
    <x v="3"/>
  </r>
  <r>
    <x v="1487"/>
    <x v="12"/>
    <x v="12"/>
    <n v="47.4"/>
    <n v="189.6"/>
    <x v="55"/>
    <x v="58"/>
    <x v="2"/>
    <x v="1"/>
    <x v="0"/>
    <x v="0"/>
    <x v="3"/>
    <x v="2"/>
    <x v="8"/>
    <x v="2"/>
    <x v="3"/>
  </r>
  <r>
    <x v="1488"/>
    <x v="0"/>
    <x v="5"/>
    <n v="37.5"/>
    <n v="412.5"/>
    <x v="55"/>
    <x v="53"/>
    <x v="2"/>
    <x v="0"/>
    <x v="3"/>
    <x v="0"/>
    <x v="3"/>
    <x v="1"/>
    <x v="8"/>
    <x v="2"/>
    <x v="3"/>
  </r>
  <r>
    <x v="1489"/>
    <x v="10"/>
    <x v="0"/>
    <n v="45.1"/>
    <n v="45.1"/>
    <x v="55"/>
    <x v="57"/>
    <x v="1"/>
    <x v="3"/>
    <x v="2"/>
    <x v="0"/>
    <x v="24"/>
    <x v="0"/>
    <x v="8"/>
    <x v="1"/>
    <x v="24"/>
  </r>
  <r>
    <x v="1490"/>
    <x v="5"/>
    <x v="7"/>
    <n v="34.4"/>
    <n v="344"/>
    <x v="55"/>
    <x v="58"/>
    <x v="1"/>
    <x v="2"/>
    <x v="0"/>
    <x v="0"/>
    <x v="16"/>
    <x v="2"/>
    <x v="8"/>
    <x v="1"/>
    <x v="16"/>
  </r>
  <r>
    <x v="1491"/>
    <x v="4"/>
    <x v="1"/>
    <n v="38"/>
    <n v="76"/>
    <x v="55"/>
    <x v="53"/>
    <x v="2"/>
    <x v="1"/>
    <x v="0"/>
    <x v="0"/>
    <x v="5"/>
    <x v="1"/>
    <x v="8"/>
    <x v="2"/>
    <x v="5"/>
  </r>
  <r>
    <x v="1492"/>
    <x v="3"/>
    <x v="21"/>
    <n v="32.4"/>
    <n v="453.59999999999997"/>
    <x v="55"/>
    <x v="58"/>
    <x v="1"/>
    <x v="4"/>
    <x v="0"/>
    <x v="0"/>
    <x v="6"/>
    <x v="2"/>
    <x v="8"/>
    <x v="1"/>
    <x v="6"/>
  </r>
  <r>
    <x v="1493"/>
    <x v="6"/>
    <x v="2"/>
    <n v="40.9"/>
    <n v="122.69999999999999"/>
    <x v="55"/>
    <x v="51"/>
    <x v="0"/>
    <x v="1"/>
    <x v="0"/>
    <x v="0"/>
    <x v="8"/>
    <x v="7"/>
    <x v="8"/>
    <x v="0"/>
    <x v="8"/>
  </r>
  <r>
    <x v="1494"/>
    <x v="7"/>
    <x v="3"/>
    <n v="76.2"/>
    <n v="533.4"/>
    <x v="55"/>
    <x v="53"/>
    <x v="2"/>
    <x v="2"/>
    <x v="1"/>
    <x v="0"/>
    <x v="8"/>
    <x v="1"/>
    <x v="8"/>
    <x v="2"/>
    <x v="8"/>
  </r>
  <r>
    <x v="1495"/>
    <x v="2"/>
    <x v="0"/>
    <n v="85.6"/>
    <n v="85.6"/>
    <x v="55"/>
    <x v="53"/>
    <x v="1"/>
    <x v="2"/>
    <x v="0"/>
    <x v="0"/>
    <x v="8"/>
    <x v="1"/>
    <x v="8"/>
    <x v="1"/>
    <x v="8"/>
  </r>
  <r>
    <x v="1496"/>
    <x v="4"/>
    <x v="12"/>
    <n v="25"/>
    <n v="100"/>
    <x v="55"/>
    <x v="53"/>
    <x v="2"/>
    <x v="2"/>
    <x v="2"/>
    <x v="0"/>
    <x v="8"/>
    <x v="1"/>
    <x v="8"/>
    <x v="2"/>
    <x v="8"/>
  </r>
  <r>
    <x v="1497"/>
    <x v="2"/>
    <x v="9"/>
    <n v="150.69999999999999"/>
    <n v="753.5"/>
    <x v="55"/>
    <x v="52"/>
    <x v="0"/>
    <x v="0"/>
    <x v="2"/>
    <x v="0"/>
    <x v="8"/>
    <x v="3"/>
    <x v="8"/>
    <x v="0"/>
    <x v="8"/>
  </r>
  <r>
    <x v="1498"/>
    <x v="8"/>
    <x v="0"/>
    <n v="19.600000000000001"/>
    <n v="19.600000000000001"/>
    <x v="55"/>
    <x v="52"/>
    <x v="1"/>
    <x v="1"/>
    <x v="4"/>
    <x v="0"/>
    <x v="8"/>
    <x v="3"/>
    <x v="8"/>
    <x v="1"/>
    <x v="8"/>
  </r>
  <r>
    <x v="1499"/>
    <x v="13"/>
    <x v="1"/>
    <n v="37.5"/>
    <n v="75"/>
    <x v="55"/>
    <x v="58"/>
    <x v="2"/>
    <x v="1"/>
    <x v="2"/>
    <x v="0"/>
    <x v="17"/>
    <x v="2"/>
    <x v="8"/>
    <x v="2"/>
    <x v="17"/>
  </r>
  <r>
    <x v="1500"/>
    <x v="9"/>
    <x v="2"/>
    <n v="51.9"/>
    <n v="155.69999999999999"/>
    <x v="55"/>
    <x v="62"/>
    <x v="2"/>
    <x v="0"/>
    <x v="4"/>
    <x v="0"/>
    <x v="11"/>
    <x v="4"/>
    <x v="8"/>
    <x v="2"/>
    <x v="11"/>
  </r>
  <r>
    <x v="1501"/>
    <x v="1"/>
    <x v="1"/>
    <n v="30.9"/>
    <n v="61.8"/>
    <x v="55"/>
    <x v="53"/>
    <x v="2"/>
    <x v="1"/>
    <x v="0"/>
    <x v="0"/>
    <x v="18"/>
    <x v="1"/>
    <x v="8"/>
    <x v="2"/>
    <x v="18"/>
  </r>
  <r>
    <x v="1502"/>
    <x v="4"/>
    <x v="2"/>
    <n v="21.2"/>
    <n v="63.599999999999994"/>
    <x v="55"/>
    <x v="58"/>
    <x v="2"/>
    <x v="1"/>
    <x v="0"/>
    <x v="0"/>
    <x v="19"/>
    <x v="2"/>
    <x v="8"/>
    <x v="2"/>
    <x v="19"/>
  </r>
  <r>
    <x v="1503"/>
    <x v="13"/>
    <x v="14"/>
    <n v="17.5"/>
    <n v="297.5"/>
    <x v="55"/>
    <x v="52"/>
    <x v="1"/>
    <x v="1"/>
    <x v="1"/>
    <x v="0"/>
    <x v="13"/>
    <x v="3"/>
    <x v="8"/>
    <x v="1"/>
    <x v="13"/>
  </r>
  <r>
    <x v="1504"/>
    <x v="12"/>
    <x v="1"/>
    <n v="53.8"/>
    <n v="107.6"/>
    <x v="55"/>
    <x v="57"/>
    <x v="2"/>
    <x v="0"/>
    <x v="2"/>
    <x v="0"/>
    <x v="21"/>
    <x v="0"/>
    <x v="8"/>
    <x v="2"/>
    <x v="21"/>
  </r>
  <r>
    <x v="1505"/>
    <x v="19"/>
    <x v="1"/>
    <n v="17"/>
    <n v="34"/>
    <x v="55"/>
    <x v="52"/>
    <x v="1"/>
    <x v="3"/>
    <x v="0"/>
    <x v="0"/>
    <x v="21"/>
    <x v="3"/>
    <x v="8"/>
    <x v="1"/>
    <x v="21"/>
  </r>
  <r>
    <x v="1506"/>
    <x v="6"/>
    <x v="0"/>
    <n v="103.2"/>
    <n v="103.2"/>
    <x v="55"/>
    <x v="63"/>
    <x v="1"/>
    <x v="2"/>
    <x v="1"/>
    <x v="0"/>
    <x v="1"/>
    <x v="9"/>
    <x v="8"/>
    <x v="1"/>
    <x v="1"/>
  </r>
  <r>
    <x v="1507"/>
    <x v="6"/>
    <x v="12"/>
    <n v="70.3"/>
    <n v="281.2"/>
    <x v="55"/>
    <x v="52"/>
    <x v="1"/>
    <x v="0"/>
    <x v="0"/>
    <x v="0"/>
    <x v="3"/>
    <x v="3"/>
    <x v="8"/>
    <x v="1"/>
    <x v="3"/>
  </r>
  <r>
    <x v="1508"/>
    <x v="2"/>
    <x v="1"/>
    <n v="73.8"/>
    <n v="147.6"/>
    <x v="55"/>
    <x v="51"/>
    <x v="1"/>
    <x v="3"/>
    <x v="2"/>
    <x v="0"/>
    <x v="3"/>
    <x v="7"/>
    <x v="8"/>
    <x v="1"/>
    <x v="3"/>
  </r>
  <r>
    <x v="1509"/>
    <x v="1"/>
    <x v="4"/>
    <n v="67.7"/>
    <n v="812.40000000000009"/>
    <x v="55"/>
    <x v="59"/>
    <x v="1"/>
    <x v="1"/>
    <x v="1"/>
    <x v="0"/>
    <x v="3"/>
    <x v="5"/>
    <x v="8"/>
    <x v="1"/>
    <x v="3"/>
  </r>
  <r>
    <x v="1510"/>
    <x v="13"/>
    <x v="3"/>
    <n v="43.8"/>
    <n v="306.59999999999997"/>
    <x v="55"/>
    <x v="53"/>
    <x v="1"/>
    <x v="1"/>
    <x v="0"/>
    <x v="0"/>
    <x v="3"/>
    <x v="1"/>
    <x v="8"/>
    <x v="1"/>
    <x v="3"/>
  </r>
  <r>
    <x v="1511"/>
    <x v="17"/>
    <x v="13"/>
    <n v="71.900000000000006"/>
    <n v="431.40000000000003"/>
    <x v="55"/>
    <x v="52"/>
    <x v="2"/>
    <x v="2"/>
    <x v="0"/>
    <x v="0"/>
    <x v="3"/>
    <x v="3"/>
    <x v="8"/>
    <x v="2"/>
    <x v="3"/>
  </r>
  <r>
    <x v="1512"/>
    <x v="8"/>
    <x v="1"/>
    <n v="26.3"/>
    <n v="52.6"/>
    <x v="56"/>
    <x v="58"/>
    <x v="2"/>
    <x v="0"/>
    <x v="1"/>
    <x v="0"/>
    <x v="3"/>
    <x v="1"/>
    <x v="8"/>
    <x v="2"/>
    <x v="3"/>
  </r>
  <r>
    <x v="1513"/>
    <x v="6"/>
    <x v="12"/>
    <n v="52.6"/>
    <n v="210.4"/>
    <x v="56"/>
    <x v="58"/>
    <x v="2"/>
    <x v="2"/>
    <x v="1"/>
    <x v="0"/>
    <x v="3"/>
    <x v="1"/>
    <x v="8"/>
    <x v="2"/>
    <x v="3"/>
  </r>
  <r>
    <x v="1514"/>
    <x v="10"/>
    <x v="0"/>
    <n v="32.700000000000003"/>
    <n v="32.700000000000003"/>
    <x v="56"/>
    <x v="63"/>
    <x v="2"/>
    <x v="0"/>
    <x v="2"/>
    <x v="0"/>
    <x v="3"/>
    <x v="6"/>
    <x v="8"/>
    <x v="2"/>
    <x v="3"/>
  </r>
  <r>
    <x v="1515"/>
    <x v="5"/>
    <x v="12"/>
    <n v="38.9"/>
    <n v="155.6"/>
    <x v="56"/>
    <x v="53"/>
    <x v="2"/>
    <x v="0"/>
    <x v="0"/>
    <x v="0"/>
    <x v="3"/>
    <x v="3"/>
    <x v="8"/>
    <x v="2"/>
    <x v="3"/>
  </r>
  <r>
    <x v="1516"/>
    <x v="9"/>
    <x v="9"/>
    <n v="35"/>
    <n v="175"/>
    <x v="56"/>
    <x v="58"/>
    <x v="1"/>
    <x v="0"/>
    <x v="0"/>
    <x v="0"/>
    <x v="3"/>
    <x v="1"/>
    <x v="8"/>
    <x v="1"/>
    <x v="3"/>
  </r>
  <r>
    <x v="1517"/>
    <x v="2"/>
    <x v="1"/>
    <n v="121"/>
    <n v="242"/>
    <x v="56"/>
    <x v="53"/>
    <x v="2"/>
    <x v="1"/>
    <x v="1"/>
    <x v="0"/>
    <x v="3"/>
    <x v="3"/>
    <x v="8"/>
    <x v="2"/>
    <x v="3"/>
  </r>
  <r>
    <x v="1518"/>
    <x v="6"/>
    <x v="2"/>
    <n v="65.099999999999994"/>
    <n v="195.29999999999998"/>
    <x v="56"/>
    <x v="57"/>
    <x v="1"/>
    <x v="2"/>
    <x v="0"/>
    <x v="0"/>
    <x v="36"/>
    <x v="5"/>
    <x v="8"/>
    <x v="1"/>
    <x v="36"/>
  </r>
  <r>
    <x v="1519"/>
    <x v="1"/>
    <x v="38"/>
    <n v="63.8"/>
    <n v="1339.8"/>
    <x v="56"/>
    <x v="58"/>
    <x v="2"/>
    <x v="0"/>
    <x v="0"/>
    <x v="0"/>
    <x v="8"/>
    <x v="1"/>
    <x v="8"/>
    <x v="2"/>
    <x v="8"/>
  </r>
  <r>
    <x v="1520"/>
    <x v="7"/>
    <x v="0"/>
    <n v="77.7"/>
    <n v="77.7"/>
    <x v="56"/>
    <x v="58"/>
    <x v="1"/>
    <x v="0"/>
    <x v="0"/>
    <x v="0"/>
    <x v="8"/>
    <x v="1"/>
    <x v="8"/>
    <x v="1"/>
    <x v="8"/>
  </r>
  <r>
    <x v="1521"/>
    <x v="5"/>
    <x v="12"/>
    <n v="60.3"/>
    <n v="241.2"/>
    <x v="56"/>
    <x v="52"/>
    <x v="1"/>
    <x v="0"/>
    <x v="2"/>
    <x v="0"/>
    <x v="8"/>
    <x v="7"/>
    <x v="8"/>
    <x v="1"/>
    <x v="8"/>
  </r>
  <r>
    <x v="1522"/>
    <x v="5"/>
    <x v="1"/>
    <n v="124.1"/>
    <n v="248.2"/>
    <x v="56"/>
    <x v="59"/>
    <x v="2"/>
    <x v="0"/>
    <x v="2"/>
    <x v="0"/>
    <x v="8"/>
    <x v="2"/>
    <x v="8"/>
    <x v="2"/>
    <x v="8"/>
  </r>
  <r>
    <x v="1523"/>
    <x v="16"/>
    <x v="3"/>
    <n v="66"/>
    <n v="462"/>
    <x v="56"/>
    <x v="52"/>
    <x v="0"/>
    <x v="3"/>
    <x v="0"/>
    <x v="0"/>
    <x v="17"/>
    <x v="7"/>
    <x v="8"/>
    <x v="0"/>
    <x v="17"/>
  </r>
  <r>
    <x v="1524"/>
    <x v="2"/>
    <x v="42"/>
    <n v="118.2"/>
    <n v="7446.6"/>
    <x v="56"/>
    <x v="62"/>
    <x v="0"/>
    <x v="0"/>
    <x v="0"/>
    <x v="0"/>
    <x v="17"/>
    <x v="0"/>
    <x v="8"/>
    <x v="0"/>
    <x v="17"/>
  </r>
  <r>
    <x v="1525"/>
    <x v="5"/>
    <x v="9"/>
    <n v="64.3"/>
    <n v="321.5"/>
    <x v="56"/>
    <x v="53"/>
    <x v="1"/>
    <x v="4"/>
    <x v="4"/>
    <x v="0"/>
    <x v="26"/>
    <x v="3"/>
    <x v="8"/>
    <x v="1"/>
    <x v="26"/>
  </r>
  <r>
    <x v="1526"/>
    <x v="1"/>
    <x v="1"/>
    <n v="54.8"/>
    <n v="109.6"/>
    <x v="56"/>
    <x v="52"/>
    <x v="1"/>
    <x v="0"/>
    <x v="1"/>
    <x v="0"/>
    <x v="26"/>
    <x v="7"/>
    <x v="8"/>
    <x v="1"/>
    <x v="26"/>
  </r>
  <r>
    <x v="1527"/>
    <x v="7"/>
    <x v="1"/>
    <n v="78.599999999999994"/>
    <n v="157.19999999999999"/>
    <x v="56"/>
    <x v="53"/>
    <x v="1"/>
    <x v="0"/>
    <x v="2"/>
    <x v="0"/>
    <x v="9"/>
    <x v="3"/>
    <x v="8"/>
    <x v="1"/>
    <x v="9"/>
  </r>
  <r>
    <x v="1528"/>
    <x v="2"/>
    <x v="9"/>
    <n v="158.5"/>
    <n v="792.5"/>
    <x v="56"/>
    <x v="58"/>
    <x v="0"/>
    <x v="2"/>
    <x v="2"/>
    <x v="0"/>
    <x v="9"/>
    <x v="1"/>
    <x v="8"/>
    <x v="0"/>
    <x v="9"/>
  </r>
  <r>
    <x v="1529"/>
    <x v="4"/>
    <x v="7"/>
    <n v="23.5"/>
    <n v="235"/>
    <x v="56"/>
    <x v="59"/>
    <x v="1"/>
    <x v="0"/>
    <x v="4"/>
    <x v="0"/>
    <x v="10"/>
    <x v="2"/>
    <x v="8"/>
    <x v="1"/>
    <x v="10"/>
  </r>
  <r>
    <x v="1530"/>
    <x v="5"/>
    <x v="1"/>
    <n v="32.1"/>
    <n v="64.2"/>
    <x v="56"/>
    <x v="58"/>
    <x v="0"/>
    <x v="3"/>
    <x v="0"/>
    <x v="0"/>
    <x v="10"/>
    <x v="1"/>
    <x v="8"/>
    <x v="0"/>
    <x v="10"/>
  </r>
  <r>
    <x v="1531"/>
    <x v="17"/>
    <x v="12"/>
    <n v="71.900000000000006"/>
    <n v="287.60000000000002"/>
    <x v="56"/>
    <x v="52"/>
    <x v="1"/>
    <x v="2"/>
    <x v="0"/>
    <x v="0"/>
    <x v="19"/>
    <x v="7"/>
    <x v="8"/>
    <x v="1"/>
    <x v="19"/>
  </r>
  <r>
    <x v="1532"/>
    <x v="4"/>
    <x v="13"/>
    <n v="22.3"/>
    <n v="133.80000000000001"/>
    <x v="56"/>
    <x v="53"/>
    <x v="0"/>
    <x v="3"/>
    <x v="2"/>
    <x v="0"/>
    <x v="13"/>
    <x v="3"/>
    <x v="8"/>
    <x v="0"/>
    <x v="13"/>
  </r>
  <r>
    <x v="1533"/>
    <x v="11"/>
    <x v="1"/>
    <n v="29.5"/>
    <n v="59"/>
    <x v="56"/>
    <x v="53"/>
    <x v="2"/>
    <x v="0"/>
    <x v="2"/>
    <x v="0"/>
    <x v="13"/>
    <x v="3"/>
    <x v="8"/>
    <x v="2"/>
    <x v="13"/>
  </r>
  <r>
    <x v="1534"/>
    <x v="6"/>
    <x v="12"/>
    <n v="41.9"/>
    <n v="167.6"/>
    <x v="56"/>
    <x v="57"/>
    <x v="2"/>
    <x v="0"/>
    <x v="1"/>
    <x v="0"/>
    <x v="21"/>
    <x v="5"/>
    <x v="8"/>
    <x v="2"/>
    <x v="21"/>
  </r>
  <r>
    <x v="1535"/>
    <x v="6"/>
    <x v="2"/>
    <n v="107.8"/>
    <n v="323.39999999999998"/>
    <x v="56"/>
    <x v="53"/>
    <x v="1"/>
    <x v="1"/>
    <x v="2"/>
    <x v="0"/>
    <x v="46"/>
    <x v="3"/>
    <x v="8"/>
    <x v="1"/>
    <x v="46"/>
  </r>
  <r>
    <x v="1536"/>
    <x v="4"/>
    <x v="9"/>
    <n v="18.100000000000001"/>
    <n v="90.5"/>
    <x v="56"/>
    <x v="59"/>
    <x v="1"/>
    <x v="0"/>
    <x v="2"/>
    <x v="0"/>
    <x v="2"/>
    <x v="2"/>
    <x v="8"/>
    <x v="1"/>
    <x v="2"/>
  </r>
  <r>
    <x v="1537"/>
    <x v="12"/>
    <x v="11"/>
    <n v="79.8"/>
    <n v="718.19999999999993"/>
    <x v="56"/>
    <x v="53"/>
    <x v="2"/>
    <x v="1"/>
    <x v="1"/>
    <x v="0"/>
    <x v="22"/>
    <x v="3"/>
    <x v="8"/>
    <x v="2"/>
    <x v="22"/>
  </r>
  <r>
    <x v="1538"/>
    <x v="0"/>
    <x v="2"/>
    <n v="22.3"/>
    <n v="66.900000000000006"/>
    <x v="56"/>
    <x v="59"/>
    <x v="2"/>
    <x v="0"/>
    <x v="2"/>
    <x v="0"/>
    <x v="22"/>
    <x v="2"/>
    <x v="8"/>
    <x v="2"/>
    <x v="22"/>
  </r>
  <r>
    <x v="1539"/>
    <x v="8"/>
    <x v="0"/>
    <n v="22.9"/>
    <n v="22.9"/>
    <x v="56"/>
    <x v="52"/>
    <x v="2"/>
    <x v="1"/>
    <x v="0"/>
    <x v="0"/>
    <x v="22"/>
    <x v="7"/>
    <x v="8"/>
    <x v="2"/>
    <x v="22"/>
  </r>
  <r>
    <x v="1540"/>
    <x v="0"/>
    <x v="2"/>
    <n v="16.2"/>
    <n v="48.599999999999994"/>
    <x v="57"/>
    <x v="53"/>
    <x v="1"/>
    <x v="4"/>
    <x v="2"/>
    <x v="0"/>
    <x v="3"/>
    <x v="7"/>
    <x v="8"/>
    <x v="1"/>
    <x v="3"/>
  </r>
  <r>
    <x v="1541"/>
    <x v="10"/>
    <x v="12"/>
    <n v="59.5"/>
    <n v="238"/>
    <x v="57"/>
    <x v="58"/>
    <x v="1"/>
    <x v="1"/>
    <x v="2"/>
    <x v="0"/>
    <x v="3"/>
    <x v="3"/>
    <x v="8"/>
    <x v="1"/>
    <x v="3"/>
  </r>
  <r>
    <x v="1542"/>
    <x v="18"/>
    <x v="9"/>
    <n v="26.2"/>
    <n v="131"/>
    <x v="57"/>
    <x v="57"/>
    <x v="1"/>
    <x v="3"/>
    <x v="4"/>
    <x v="0"/>
    <x v="3"/>
    <x v="2"/>
    <x v="8"/>
    <x v="1"/>
    <x v="3"/>
  </r>
  <r>
    <x v="1543"/>
    <x v="3"/>
    <x v="0"/>
    <n v="44.2"/>
    <n v="44.2"/>
    <x v="57"/>
    <x v="57"/>
    <x v="2"/>
    <x v="1"/>
    <x v="0"/>
    <x v="0"/>
    <x v="3"/>
    <x v="2"/>
    <x v="8"/>
    <x v="2"/>
    <x v="3"/>
  </r>
  <r>
    <x v="1544"/>
    <x v="9"/>
    <x v="1"/>
    <n v="59.2"/>
    <n v="118.4"/>
    <x v="57"/>
    <x v="53"/>
    <x v="2"/>
    <x v="1"/>
    <x v="4"/>
    <x v="0"/>
    <x v="3"/>
    <x v="7"/>
    <x v="8"/>
    <x v="2"/>
    <x v="3"/>
  </r>
  <r>
    <x v="1545"/>
    <x v="15"/>
    <x v="12"/>
    <n v="41.5"/>
    <n v="166"/>
    <x v="57"/>
    <x v="59"/>
    <x v="2"/>
    <x v="0"/>
    <x v="0"/>
    <x v="0"/>
    <x v="16"/>
    <x v="1"/>
    <x v="8"/>
    <x v="2"/>
    <x v="16"/>
  </r>
  <r>
    <x v="1546"/>
    <x v="6"/>
    <x v="4"/>
    <n v="67.099999999999994"/>
    <n v="805.19999999999993"/>
    <x v="57"/>
    <x v="64"/>
    <x v="2"/>
    <x v="0"/>
    <x v="2"/>
    <x v="0"/>
    <x v="23"/>
    <x v="12"/>
    <x v="8"/>
    <x v="2"/>
    <x v="23"/>
  </r>
  <r>
    <x v="1547"/>
    <x v="8"/>
    <x v="1"/>
    <n v="28.7"/>
    <n v="57.4"/>
    <x v="57"/>
    <x v="62"/>
    <x v="2"/>
    <x v="1"/>
    <x v="0"/>
    <x v="0"/>
    <x v="6"/>
    <x v="5"/>
    <x v="8"/>
    <x v="2"/>
    <x v="6"/>
  </r>
  <r>
    <x v="1548"/>
    <x v="2"/>
    <x v="12"/>
    <n v="132.1"/>
    <n v="528.4"/>
    <x v="57"/>
    <x v="58"/>
    <x v="2"/>
    <x v="0"/>
    <x v="1"/>
    <x v="0"/>
    <x v="6"/>
    <x v="3"/>
    <x v="8"/>
    <x v="2"/>
    <x v="6"/>
  </r>
  <r>
    <x v="1549"/>
    <x v="18"/>
    <x v="1"/>
    <n v="47"/>
    <n v="94"/>
    <x v="57"/>
    <x v="59"/>
    <x v="1"/>
    <x v="4"/>
    <x v="0"/>
    <x v="0"/>
    <x v="8"/>
    <x v="1"/>
    <x v="8"/>
    <x v="1"/>
    <x v="8"/>
  </r>
  <r>
    <x v="1550"/>
    <x v="8"/>
    <x v="1"/>
    <n v="41.6"/>
    <n v="83.2"/>
    <x v="57"/>
    <x v="62"/>
    <x v="1"/>
    <x v="1"/>
    <x v="2"/>
    <x v="0"/>
    <x v="8"/>
    <x v="5"/>
    <x v="8"/>
    <x v="1"/>
    <x v="8"/>
  </r>
  <r>
    <x v="1551"/>
    <x v="8"/>
    <x v="43"/>
    <n v="17.3"/>
    <n v="657.4"/>
    <x v="57"/>
    <x v="59"/>
    <x v="1"/>
    <x v="2"/>
    <x v="2"/>
    <x v="0"/>
    <x v="8"/>
    <x v="1"/>
    <x v="8"/>
    <x v="1"/>
    <x v="8"/>
  </r>
  <r>
    <x v="1552"/>
    <x v="13"/>
    <x v="2"/>
    <n v="41.8"/>
    <n v="125.39999999999999"/>
    <x v="57"/>
    <x v="57"/>
    <x v="1"/>
    <x v="0"/>
    <x v="2"/>
    <x v="0"/>
    <x v="8"/>
    <x v="2"/>
    <x v="8"/>
    <x v="1"/>
    <x v="8"/>
  </r>
  <r>
    <x v="1553"/>
    <x v="10"/>
    <x v="0"/>
    <n v="24"/>
    <n v="24"/>
    <x v="57"/>
    <x v="58"/>
    <x v="2"/>
    <x v="0"/>
    <x v="0"/>
    <x v="0"/>
    <x v="17"/>
    <x v="3"/>
    <x v="8"/>
    <x v="2"/>
    <x v="17"/>
  </r>
  <r>
    <x v="1554"/>
    <x v="14"/>
    <x v="11"/>
    <n v="18.5"/>
    <n v="166.5"/>
    <x v="57"/>
    <x v="59"/>
    <x v="2"/>
    <x v="0"/>
    <x v="0"/>
    <x v="0"/>
    <x v="9"/>
    <x v="1"/>
    <x v="8"/>
    <x v="2"/>
    <x v="9"/>
  </r>
  <r>
    <x v="1555"/>
    <x v="3"/>
    <x v="4"/>
    <n v="66.7"/>
    <n v="800.40000000000009"/>
    <x v="57"/>
    <x v="57"/>
    <x v="0"/>
    <x v="0"/>
    <x v="2"/>
    <x v="0"/>
    <x v="11"/>
    <x v="2"/>
    <x v="8"/>
    <x v="0"/>
    <x v="11"/>
  </r>
  <r>
    <x v="1556"/>
    <x v="1"/>
    <x v="12"/>
    <n v="33.1"/>
    <n v="132.4"/>
    <x v="57"/>
    <x v="61"/>
    <x v="1"/>
    <x v="3"/>
    <x v="0"/>
    <x v="0"/>
    <x v="11"/>
    <x v="0"/>
    <x v="8"/>
    <x v="1"/>
    <x v="11"/>
  </r>
  <r>
    <x v="1557"/>
    <x v="19"/>
    <x v="11"/>
    <n v="42.1"/>
    <n v="378.90000000000003"/>
    <x v="57"/>
    <x v="65"/>
    <x v="1"/>
    <x v="1"/>
    <x v="0"/>
    <x v="0"/>
    <x v="18"/>
    <x v="11"/>
    <x v="8"/>
    <x v="1"/>
    <x v="18"/>
  </r>
  <r>
    <x v="1558"/>
    <x v="18"/>
    <x v="3"/>
    <n v="58.7"/>
    <n v="410.90000000000003"/>
    <x v="57"/>
    <x v="53"/>
    <x v="3"/>
    <x v="3"/>
    <x v="0"/>
    <x v="0"/>
    <x v="31"/>
    <x v="7"/>
    <x v="8"/>
    <x v="3"/>
    <x v="31"/>
  </r>
  <r>
    <x v="1559"/>
    <x v="6"/>
    <x v="12"/>
    <n v="54"/>
    <n v="216"/>
    <x v="57"/>
    <x v="59"/>
    <x v="2"/>
    <x v="1"/>
    <x v="0"/>
    <x v="0"/>
    <x v="1"/>
    <x v="1"/>
    <x v="8"/>
    <x v="2"/>
    <x v="1"/>
  </r>
  <r>
    <x v="1560"/>
    <x v="8"/>
    <x v="0"/>
    <n v="52.1"/>
    <n v="52.1"/>
    <x v="57"/>
    <x v="58"/>
    <x v="2"/>
    <x v="2"/>
    <x v="2"/>
    <x v="0"/>
    <x v="2"/>
    <x v="3"/>
    <x v="8"/>
    <x v="2"/>
    <x v="2"/>
  </r>
  <r>
    <x v="1561"/>
    <x v="19"/>
    <x v="1"/>
    <n v="27"/>
    <n v="54"/>
    <x v="57"/>
    <x v="57"/>
    <x v="3"/>
    <x v="2"/>
    <x v="0"/>
    <x v="0"/>
    <x v="22"/>
    <x v="2"/>
    <x v="8"/>
    <x v="3"/>
    <x v="22"/>
  </r>
  <r>
    <x v="1562"/>
    <x v="12"/>
    <x v="7"/>
    <n v="31"/>
    <n v="310"/>
    <x v="58"/>
    <x v="59"/>
    <x v="2"/>
    <x v="3"/>
    <x v="2"/>
    <x v="0"/>
    <x v="22"/>
    <x v="3"/>
    <x v="8"/>
    <x v="2"/>
    <x v="22"/>
  </r>
  <r>
    <x v="1563"/>
    <x v="10"/>
    <x v="1"/>
    <n v="46.7"/>
    <n v="93.4"/>
    <x v="58"/>
    <x v="58"/>
    <x v="2"/>
    <x v="0"/>
    <x v="0"/>
    <x v="0"/>
    <x v="34"/>
    <x v="7"/>
    <x v="8"/>
    <x v="2"/>
    <x v="34"/>
  </r>
  <r>
    <x v="1564"/>
    <x v="6"/>
    <x v="0"/>
    <n v="144.69999999999999"/>
    <n v="144.69999999999999"/>
    <x v="58"/>
    <x v="62"/>
    <x v="1"/>
    <x v="0"/>
    <x v="2"/>
    <x v="0"/>
    <x v="3"/>
    <x v="2"/>
    <x v="8"/>
    <x v="1"/>
    <x v="3"/>
  </r>
  <r>
    <x v="1565"/>
    <x v="2"/>
    <x v="11"/>
    <n v="90.9"/>
    <n v="818.1"/>
    <x v="58"/>
    <x v="59"/>
    <x v="1"/>
    <x v="0"/>
    <x v="2"/>
    <x v="0"/>
    <x v="3"/>
    <x v="3"/>
    <x v="8"/>
    <x v="1"/>
    <x v="3"/>
  </r>
  <r>
    <x v="1566"/>
    <x v="1"/>
    <x v="1"/>
    <n v="75.8"/>
    <n v="151.6"/>
    <x v="58"/>
    <x v="59"/>
    <x v="2"/>
    <x v="2"/>
    <x v="1"/>
    <x v="0"/>
    <x v="3"/>
    <x v="3"/>
    <x v="8"/>
    <x v="2"/>
    <x v="3"/>
  </r>
  <r>
    <x v="1567"/>
    <x v="7"/>
    <x v="9"/>
    <n v="57.9"/>
    <n v="289.5"/>
    <x v="58"/>
    <x v="57"/>
    <x v="1"/>
    <x v="2"/>
    <x v="2"/>
    <x v="0"/>
    <x v="3"/>
    <x v="1"/>
    <x v="8"/>
    <x v="1"/>
    <x v="3"/>
  </r>
  <r>
    <x v="1568"/>
    <x v="8"/>
    <x v="9"/>
    <n v="44.8"/>
    <n v="224"/>
    <x v="58"/>
    <x v="59"/>
    <x v="2"/>
    <x v="3"/>
    <x v="2"/>
    <x v="0"/>
    <x v="3"/>
    <x v="3"/>
    <x v="8"/>
    <x v="2"/>
    <x v="3"/>
  </r>
  <r>
    <x v="1569"/>
    <x v="9"/>
    <x v="2"/>
    <n v="44.2"/>
    <n v="132.60000000000002"/>
    <x v="58"/>
    <x v="61"/>
    <x v="1"/>
    <x v="2"/>
    <x v="2"/>
    <x v="0"/>
    <x v="3"/>
    <x v="5"/>
    <x v="8"/>
    <x v="1"/>
    <x v="3"/>
  </r>
  <r>
    <x v="1570"/>
    <x v="5"/>
    <x v="9"/>
    <n v="53.5"/>
    <n v="267.5"/>
    <x v="58"/>
    <x v="57"/>
    <x v="1"/>
    <x v="0"/>
    <x v="0"/>
    <x v="0"/>
    <x v="37"/>
    <x v="1"/>
    <x v="8"/>
    <x v="1"/>
    <x v="37"/>
  </r>
  <r>
    <x v="1571"/>
    <x v="6"/>
    <x v="1"/>
    <n v="72.2"/>
    <n v="144.4"/>
    <x v="58"/>
    <x v="59"/>
    <x v="1"/>
    <x v="0"/>
    <x v="2"/>
    <x v="0"/>
    <x v="25"/>
    <x v="3"/>
    <x v="8"/>
    <x v="1"/>
    <x v="25"/>
  </r>
  <r>
    <x v="1572"/>
    <x v="6"/>
    <x v="12"/>
    <n v="62.4"/>
    <n v="249.6"/>
    <x v="58"/>
    <x v="62"/>
    <x v="2"/>
    <x v="0"/>
    <x v="1"/>
    <x v="0"/>
    <x v="23"/>
    <x v="2"/>
    <x v="8"/>
    <x v="2"/>
    <x v="23"/>
  </r>
  <r>
    <x v="1573"/>
    <x v="10"/>
    <x v="9"/>
    <n v="24.7"/>
    <n v="123.5"/>
    <x v="58"/>
    <x v="59"/>
    <x v="2"/>
    <x v="0"/>
    <x v="0"/>
    <x v="0"/>
    <x v="6"/>
    <x v="3"/>
    <x v="8"/>
    <x v="2"/>
    <x v="6"/>
  </r>
  <r>
    <x v="1574"/>
    <x v="1"/>
    <x v="9"/>
    <n v="61.7"/>
    <n v="308.5"/>
    <x v="58"/>
    <x v="57"/>
    <x v="2"/>
    <x v="2"/>
    <x v="0"/>
    <x v="0"/>
    <x v="8"/>
    <x v="1"/>
    <x v="8"/>
    <x v="2"/>
    <x v="8"/>
  </r>
  <r>
    <x v="1575"/>
    <x v="8"/>
    <x v="9"/>
    <n v="18.2"/>
    <n v="91"/>
    <x v="58"/>
    <x v="57"/>
    <x v="2"/>
    <x v="3"/>
    <x v="0"/>
    <x v="0"/>
    <x v="8"/>
    <x v="1"/>
    <x v="8"/>
    <x v="2"/>
    <x v="8"/>
  </r>
  <r>
    <x v="1576"/>
    <x v="10"/>
    <x v="12"/>
    <n v="37.200000000000003"/>
    <n v="148.80000000000001"/>
    <x v="58"/>
    <x v="66"/>
    <x v="2"/>
    <x v="0"/>
    <x v="0"/>
    <x v="0"/>
    <x v="8"/>
    <x v="4"/>
    <x v="8"/>
    <x v="2"/>
    <x v="8"/>
  </r>
  <r>
    <x v="1577"/>
    <x v="9"/>
    <x v="2"/>
    <n v="53.5"/>
    <n v="160.5"/>
    <x v="58"/>
    <x v="57"/>
    <x v="2"/>
    <x v="1"/>
    <x v="2"/>
    <x v="0"/>
    <x v="9"/>
    <x v="1"/>
    <x v="8"/>
    <x v="2"/>
    <x v="9"/>
  </r>
  <r>
    <x v="1578"/>
    <x v="8"/>
    <x v="2"/>
    <n v="43.6"/>
    <n v="130.80000000000001"/>
    <x v="58"/>
    <x v="58"/>
    <x v="2"/>
    <x v="0"/>
    <x v="0"/>
    <x v="0"/>
    <x v="9"/>
    <x v="7"/>
    <x v="8"/>
    <x v="2"/>
    <x v="9"/>
  </r>
  <r>
    <x v="1579"/>
    <x v="1"/>
    <x v="7"/>
    <n v="135"/>
    <n v="1350"/>
    <x v="58"/>
    <x v="57"/>
    <x v="2"/>
    <x v="0"/>
    <x v="2"/>
    <x v="0"/>
    <x v="9"/>
    <x v="1"/>
    <x v="8"/>
    <x v="2"/>
    <x v="9"/>
  </r>
  <r>
    <x v="1580"/>
    <x v="8"/>
    <x v="9"/>
    <n v="38.5"/>
    <n v="192.5"/>
    <x v="58"/>
    <x v="58"/>
    <x v="1"/>
    <x v="4"/>
    <x v="2"/>
    <x v="0"/>
    <x v="10"/>
    <x v="7"/>
    <x v="8"/>
    <x v="1"/>
    <x v="10"/>
  </r>
  <r>
    <x v="1581"/>
    <x v="9"/>
    <x v="1"/>
    <n v="24"/>
    <n v="48"/>
    <x v="58"/>
    <x v="63"/>
    <x v="2"/>
    <x v="0"/>
    <x v="0"/>
    <x v="0"/>
    <x v="11"/>
    <x v="0"/>
    <x v="8"/>
    <x v="2"/>
    <x v="11"/>
  </r>
  <r>
    <x v="1582"/>
    <x v="4"/>
    <x v="2"/>
    <n v="28.2"/>
    <n v="84.6"/>
    <x v="58"/>
    <x v="57"/>
    <x v="1"/>
    <x v="0"/>
    <x v="3"/>
    <x v="0"/>
    <x v="18"/>
    <x v="1"/>
    <x v="8"/>
    <x v="1"/>
    <x v="18"/>
  </r>
  <r>
    <x v="1583"/>
    <x v="7"/>
    <x v="2"/>
    <n v="37.4"/>
    <n v="112.19999999999999"/>
    <x v="58"/>
    <x v="59"/>
    <x v="2"/>
    <x v="3"/>
    <x v="0"/>
    <x v="0"/>
    <x v="1"/>
    <x v="3"/>
    <x v="8"/>
    <x v="2"/>
    <x v="1"/>
  </r>
  <r>
    <x v="1584"/>
    <x v="6"/>
    <x v="2"/>
    <n v="53.5"/>
    <n v="160.5"/>
    <x v="58"/>
    <x v="62"/>
    <x v="0"/>
    <x v="4"/>
    <x v="4"/>
    <x v="0"/>
    <x v="1"/>
    <x v="2"/>
    <x v="8"/>
    <x v="0"/>
    <x v="1"/>
  </r>
  <r>
    <x v="1585"/>
    <x v="11"/>
    <x v="9"/>
    <n v="36.200000000000003"/>
    <n v="181"/>
    <x v="58"/>
    <x v="59"/>
    <x v="1"/>
    <x v="1"/>
    <x v="2"/>
    <x v="0"/>
    <x v="33"/>
    <x v="3"/>
    <x v="8"/>
    <x v="1"/>
    <x v="33"/>
  </r>
  <r>
    <x v="1586"/>
    <x v="0"/>
    <x v="8"/>
    <n v="31.9"/>
    <n v="255.2"/>
    <x v="58"/>
    <x v="59"/>
    <x v="2"/>
    <x v="4"/>
    <x v="0"/>
    <x v="0"/>
    <x v="3"/>
    <x v="3"/>
    <x v="8"/>
    <x v="2"/>
    <x v="3"/>
  </r>
  <r>
    <x v="1587"/>
    <x v="8"/>
    <x v="2"/>
    <n v="21.3"/>
    <n v="63.900000000000006"/>
    <x v="58"/>
    <x v="59"/>
    <x v="1"/>
    <x v="0"/>
    <x v="2"/>
    <x v="0"/>
    <x v="3"/>
    <x v="3"/>
    <x v="8"/>
    <x v="1"/>
    <x v="3"/>
  </r>
  <r>
    <x v="1588"/>
    <x v="8"/>
    <x v="0"/>
    <n v="36.299999999999997"/>
    <n v="36.299999999999997"/>
    <x v="58"/>
    <x v="57"/>
    <x v="3"/>
    <x v="4"/>
    <x v="0"/>
    <x v="0"/>
    <x v="3"/>
    <x v="1"/>
    <x v="8"/>
    <x v="3"/>
    <x v="3"/>
  </r>
  <r>
    <x v="1589"/>
    <x v="6"/>
    <x v="2"/>
    <n v="110.5"/>
    <n v="331.5"/>
    <x v="58"/>
    <x v="59"/>
    <x v="2"/>
    <x v="0"/>
    <x v="3"/>
    <x v="0"/>
    <x v="3"/>
    <x v="3"/>
    <x v="8"/>
    <x v="2"/>
    <x v="3"/>
  </r>
  <r>
    <x v="1590"/>
    <x v="10"/>
    <x v="3"/>
    <n v="32.6"/>
    <n v="228.20000000000002"/>
    <x v="58"/>
    <x v="57"/>
    <x v="2"/>
    <x v="0"/>
    <x v="1"/>
    <x v="0"/>
    <x v="3"/>
    <x v="1"/>
    <x v="8"/>
    <x v="2"/>
    <x v="3"/>
  </r>
  <r>
    <x v="1591"/>
    <x v="5"/>
    <x v="2"/>
    <n v="55.6"/>
    <n v="166.8"/>
    <x v="59"/>
    <x v="67"/>
    <x v="2"/>
    <x v="0"/>
    <x v="0"/>
    <x v="0"/>
    <x v="3"/>
    <x v="10"/>
    <x v="8"/>
    <x v="2"/>
    <x v="3"/>
  </r>
  <r>
    <x v="1592"/>
    <x v="1"/>
    <x v="12"/>
    <n v="38"/>
    <n v="152"/>
    <x v="59"/>
    <x v="57"/>
    <x v="2"/>
    <x v="3"/>
    <x v="2"/>
    <x v="0"/>
    <x v="5"/>
    <x v="3"/>
    <x v="8"/>
    <x v="2"/>
    <x v="5"/>
  </r>
  <r>
    <x v="1593"/>
    <x v="10"/>
    <x v="1"/>
    <n v="51.8"/>
    <n v="103.6"/>
    <x v="59"/>
    <x v="68"/>
    <x v="1"/>
    <x v="1"/>
    <x v="4"/>
    <x v="0"/>
    <x v="6"/>
    <x v="4"/>
    <x v="8"/>
    <x v="1"/>
    <x v="6"/>
  </r>
  <r>
    <x v="1594"/>
    <x v="11"/>
    <x v="8"/>
    <n v="28.7"/>
    <n v="229.6"/>
    <x v="59"/>
    <x v="66"/>
    <x v="2"/>
    <x v="0"/>
    <x v="0"/>
    <x v="0"/>
    <x v="6"/>
    <x v="0"/>
    <x v="8"/>
    <x v="2"/>
    <x v="6"/>
  </r>
  <r>
    <x v="1595"/>
    <x v="6"/>
    <x v="4"/>
    <n v="52.2"/>
    <n v="626.40000000000009"/>
    <x v="59"/>
    <x v="59"/>
    <x v="1"/>
    <x v="0"/>
    <x v="1"/>
    <x v="0"/>
    <x v="6"/>
    <x v="7"/>
    <x v="8"/>
    <x v="1"/>
    <x v="6"/>
  </r>
  <r>
    <x v="1596"/>
    <x v="1"/>
    <x v="1"/>
    <n v="68.2"/>
    <n v="136.4"/>
    <x v="59"/>
    <x v="57"/>
    <x v="0"/>
    <x v="2"/>
    <x v="0"/>
    <x v="0"/>
    <x v="7"/>
    <x v="3"/>
    <x v="8"/>
    <x v="0"/>
    <x v="7"/>
  </r>
  <r>
    <x v="1597"/>
    <x v="0"/>
    <x v="2"/>
    <n v="34"/>
    <n v="102"/>
    <x v="59"/>
    <x v="63"/>
    <x v="2"/>
    <x v="0"/>
    <x v="0"/>
    <x v="0"/>
    <x v="8"/>
    <x v="5"/>
    <x v="8"/>
    <x v="2"/>
    <x v="8"/>
  </r>
  <r>
    <x v="1598"/>
    <x v="8"/>
    <x v="2"/>
    <n v="19.100000000000001"/>
    <n v="57.300000000000004"/>
    <x v="59"/>
    <x v="57"/>
    <x v="2"/>
    <x v="4"/>
    <x v="0"/>
    <x v="0"/>
    <x v="8"/>
    <x v="3"/>
    <x v="8"/>
    <x v="2"/>
    <x v="8"/>
  </r>
  <r>
    <x v="1599"/>
    <x v="5"/>
    <x v="8"/>
    <n v="34"/>
    <n v="272"/>
    <x v="59"/>
    <x v="60"/>
    <x v="2"/>
    <x v="4"/>
    <x v="0"/>
    <x v="0"/>
    <x v="8"/>
    <x v="9"/>
    <x v="8"/>
    <x v="2"/>
    <x v="8"/>
  </r>
  <r>
    <x v="1600"/>
    <x v="12"/>
    <x v="1"/>
    <n v="109.1"/>
    <n v="218.2"/>
    <x v="59"/>
    <x v="62"/>
    <x v="1"/>
    <x v="0"/>
    <x v="2"/>
    <x v="0"/>
    <x v="8"/>
    <x v="1"/>
    <x v="8"/>
    <x v="1"/>
    <x v="8"/>
  </r>
  <r>
    <x v="1601"/>
    <x v="18"/>
    <x v="1"/>
    <n v="64.8"/>
    <n v="129.6"/>
    <x v="59"/>
    <x v="62"/>
    <x v="1"/>
    <x v="0"/>
    <x v="2"/>
    <x v="0"/>
    <x v="8"/>
    <x v="1"/>
    <x v="8"/>
    <x v="1"/>
    <x v="8"/>
  </r>
  <r>
    <x v="1602"/>
    <x v="10"/>
    <x v="1"/>
    <n v="21.1"/>
    <n v="42.2"/>
    <x v="59"/>
    <x v="59"/>
    <x v="2"/>
    <x v="1"/>
    <x v="0"/>
    <x v="0"/>
    <x v="11"/>
    <x v="7"/>
    <x v="8"/>
    <x v="2"/>
    <x v="11"/>
  </r>
  <r>
    <x v="1603"/>
    <x v="0"/>
    <x v="8"/>
    <n v="21.3"/>
    <n v="170.4"/>
    <x v="59"/>
    <x v="62"/>
    <x v="1"/>
    <x v="3"/>
    <x v="1"/>
    <x v="0"/>
    <x v="18"/>
    <x v="1"/>
    <x v="8"/>
    <x v="1"/>
    <x v="18"/>
  </r>
  <r>
    <x v="1604"/>
    <x v="9"/>
    <x v="2"/>
    <n v="24.3"/>
    <n v="72.900000000000006"/>
    <x v="59"/>
    <x v="57"/>
    <x v="1"/>
    <x v="1"/>
    <x v="0"/>
    <x v="0"/>
    <x v="19"/>
    <x v="3"/>
    <x v="8"/>
    <x v="1"/>
    <x v="19"/>
  </r>
  <r>
    <x v="1605"/>
    <x v="8"/>
    <x v="0"/>
    <n v="43.3"/>
    <n v="43.3"/>
    <x v="59"/>
    <x v="63"/>
    <x v="1"/>
    <x v="1"/>
    <x v="1"/>
    <x v="0"/>
    <x v="13"/>
    <x v="5"/>
    <x v="8"/>
    <x v="1"/>
    <x v="13"/>
  </r>
  <r>
    <x v="1606"/>
    <x v="9"/>
    <x v="2"/>
    <n v="41"/>
    <n v="123"/>
    <x v="59"/>
    <x v="57"/>
    <x v="2"/>
    <x v="3"/>
    <x v="4"/>
    <x v="0"/>
    <x v="21"/>
    <x v="3"/>
    <x v="8"/>
    <x v="2"/>
    <x v="21"/>
  </r>
  <r>
    <x v="1607"/>
    <x v="16"/>
    <x v="2"/>
    <n v="54.1"/>
    <n v="162.30000000000001"/>
    <x v="59"/>
    <x v="62"/>
    <x v="2"/>
    <x v="4"/>
    <x v="0"/>
    <x v="0"/>
    <x v="21"/>
    <x v="1"/>
    <x v="8"/>
    <x v="2"/>
    <x v="21"/>
  </r>
  <r>
    <x v="1608"/>
    <x v="11"/>
    <x v="1"/>
    <n v="39"/>
    <n v="78"/>
    <x v="59"/>
    <x v="57"/>
    <x v="1"/>
    <x v="1"/>
    <x v="2"/>
    <x v="0"/>
    <x v="1"/>
    <x v="3"/>
    <x v="8"/>
    <x v="1"/>
    <x v="1"/>
  </r>
  <r>
    <x v="1609"/>
    <x v="8"/>
    <x v="1"/>
    <n v="40.299999999999997"/>
    <n v="80.599999999999994"/>
    <x v="59"/>
    <x v="62"/>
    <x v="1"/>
    <x v="3"/>
    <x v="0"/>
    <x v="0"/>
    <x v="27"/>
    <x v="1"/>
    <x v="8"/>
    <x v="1"/>
    <x v="27"/>
  </r>
  <r>
    <x v="1610"/>
    <x v="8"/>
    <x v="2"/>
    <n v="24.1"/>
    <n v="72.300000000000011"/>
    <x v="59"/>
    <x v="57"/>
    <x v="1"/>
    <x v="0"/>
    <x v="2"/>
    <x v="0"/>
    <x v="34"/>
    <x v="3"/>
    <x v="8"/>
    <x v="1"/>
    <x v="34"/>
  </r>
  <r>
    <x v="1611"/>
    <x v="6"/>
    <x v="9"/>
    <n v="52.3"/>
    <n v="261.5"/>
    <x v="59"/>
    <x v="57"/>
    <x v="1"/>
    <x v="2"/>
    <x v="0"/>
    <x v="0"/>
    <x v="3"/>
    <x v="3"/>
    <x v="8"/>
    <x v="1"/>
    <x v="3"/>
  </r>
  <r>
    <x v="1612"/>
    <x v="12"/>
    <x v="12"/>
    <n v="68.8"/>
    <n v="275.2"/>
    <x v="59"/>
    <x v="63"/>
    <x v="2"/>
    <x v="4"/>
    <x v="2"/>
    <x v="0"/>
    <x v="3"/>
    <x v="5"/>
    <x v="8"/>
    <x v="2"/>
    <x v="3"/>
  </r>
  <r>
    <x v="1613"/>
    <x v="2"/>
    <x v="1"/>
    <n v="128.80000000000001"/>
    <n v="257.60000000000002"/>
    <x v="60"/>
    <x v="63"/>
    <x v="2"/>
    <x v="1"/>
    <x v="1"/>
    <x v="0"/>
    <x v="3"/>
    <x v="2"/>
    <x v="9"/>
    <x v="2"/>
    <x v="3"/>
  </r>
  <r>
    <x v="1614"/>
    <x v="15"/>
    <x v="9"/>
    <n v="48.2"/>
    <n v="241"/>
    <x v="60"/>
    <x v="61"/>
    <x v="2"/>
    <x v="3"/>
    <x v="0"/>
    <x v="0"/>
    <x v="3"/>
    <x v="1"/>
    <x v="9"/>
    <x v="2"/>
    <x v="3"/>
  </r>
  <r>
    <x v="1615"/>
    <x v="10"/>
    <x v="0"/>
    <n v="39.700000000000003"/>
    <n v="39.700000000000003"/>
    <x v="60"/>
    <x v="61"/>
    <x v="2"/>
    <x v="0"/>
    <x v="1"/>
    <x v="0"/>
    <x v="3"/>
    <x v="1"/>
    <x v="9"/>
    <x v="2"/>
    <x v="3"/>
  </r>
  <r>
    <x v="1616"/>
    <x v="9"/>
    <x v="0"/>
    <n v="59.7"/>
    <n v="59.7"/>
    <x v="60"/>
    <x v="63"/>
    <x v="2"/>
    <x v="4"/>
    <x v="0"/>
    <x v="0"/>
    <x v="3"/>
    <x v="2"/>
    <x v="9"/>
    <x v="2"/>
    <x v="3"/>
  </r>
  <r>
    <x v="1617"/>
    <x v="6"/>
    <x v="0"/>
    <n v="48.3"/>
    <n v="48.3"/>
    <x v="60"/>
    <x v="69"/>
    <x v="3"/>
    <x v="0"/>
    <x v="2"/>
    <x v="0"/>
    <x v="3"/>
    <x v="12"/>
    <x v="9"/>
    <x v="3"/>
    <x v="3"/>
  </r>
  <r>
    <x v="1618"/>
    <x v="8"/>
    <x v="2"/>
    <n v="45.5"/>
    <n v="136.5"/>
    <x v="60"/>
    <x v="61"/>
    <x v="1"/>
    <x v="2"/>
    <x v="1"/>
    <x v="0"/>
    <x v="3"/>
    <x v="1"/>
    <x v="9"/>
    <x v="1"/>
    <x v="3"/>
  </r>
  <r>
    <x v="1619"/>
    <x v="9"/>
    <x v="6"/>
    <n v="51"/>
    <n v="1377"/>
    <x v="60"/>
    <x v="57"/>
    <x v="2"/>
    <x v="2"/>
    <x v="0"/>
    <x v="0"/>
    <x v="3"/>
    <x v="7"/>
    <x v="9"/>
    <x v="2"/>
    <x v="3"/>
  </r>
  <r>
    <x v="1620"/>
    <x v="4"/>
    <x v="13"/>
    <n v="20.399999999999999"/>
    <n v="122.39999999999999"/>
    <x v="60"/>
    <x v="62"/>
    <x v="1"/>
    <x v="2"/>
    <x v="0"/>
    <x v="0"/>
    <x v="3"/>
    <x v="3"/>
    <x v="9"/>
    <x v="1"/>
    <x v="3"/>
  </r>
  <r>
    <x v="1621"/>
    <x v="10"/>
    <x v="1"/>
    <n v="30.4"/>
    <n v="60.8"/>
    <x v="60"/>
    <x v="61"/>
    <x v="1"/>
    <x v="2"/>
    <x v="0"/>
    <x v="0"/>
    <x v="3"/>
    <x v="1"/>
    <x v="9"/>
    <x v="1"/>
    <x v="3"/>
  </r>
  <r>
    <x v="1622"/>
    <x v="7"/>
    <x v="1"/>
    <n v="71.5"/>
    <n v="143"/>
    <x v="60"/>
    <x v="66"/>
    <x v="2"/>
    <x v="0"/>
    <x v="0"/>
    <x v="0"/>
    <x v="3"/>
    <x v="5"/>
    <x v="9"/>
    <x v="2"/>
    <x v="3"/>
  </r>
  <r>
    <x v="1623"/>
    <x v="8"/>
    <x v="13"/>
    <n v="18"/>
    <n v="108"/>
    <x v="60"/>
    <x v="62"/>
    <x v="3"/>
    <x v="1"/>
    <x v="2"/>
    <x v="0"/>
    <x v="6"/>
    <x v="3"/>
    <x v="9"/>
    <x v="3"/>
    <x v="6"/>
  </r>
  <r>
    <x v="1624"/>
    <x v="15"/>
    <x v="5"/>
    <n v="45.6"/>
    <n v="501.6"/>
    <x v="60"/>
    <x v="62"/>
    <x v="3"/>
    <x v="1"/>
    <x v="1"/>
    <x v="0"/>
    <x v="7"/>
    <x v="3"/>
    <x v="9"/>
    <x v="3"/>
    <x v="7"/>
  </r>
  <r>
    <x v="1625"/>
    <x v="9"/>
    <x v="0"/>
    <n v="31.8"/>
    <n v="31.8"/>
    <x v="60"/>
    <x v="66"/>
    <x v="2"/>
    <x v="0"/>
    <x v="2"/>
    <x v="0"/>
    <x v="7"/>
    <x v="5"/>
    <x v="9"/>
    <x v="2"/>
    <x v="7"/>
  </r>
  <r>
    <x v="1626"/>
    <x v="8"/>
    <x v="9"/>
    <n v="19.899999999999999"/>
    <n v="99.5"/>
    <x v="60"/>
    <x v="62"/>
    <x v="2"/>
    <x v="1"/>
    <x v="0"/>
    <x v="0"/>
    <x v="7"/>
    <x v="3"/>
    <x v="9"/>
    <x v="2"/>
    <x v="7"/>
  </r>
  <r>
    <x v="1627"/>
    <x v="12"/>
    <x v="11"/>
    <n v="52.1"/>
    <n v="468.90000000000003"/>
    <x v="60"/>
    <x v="61"/>
    <x v="1"/>
    <x v="0"/>
    <x v="0"/>
    <x v="0"/>
    <x v="8"/>
    <x v="1"/>
    <x v="9"/>
    <x v="1"/>
    <x v="8"/>
  </r>
  <r>
    <x v="1628"/>
    <x v="1"/>
    <x v="3"/>
    <n v="45.9"/>
    <n v="321.3"/>
    <x v="60"/>
    <x v="62"/>
    <x v="1"/>
    <x v="0"/>
    <x v="1"/>
    <x v="0"/>
    <x v="8"/>
    <x v="3"/>
    <x v="9"/>
    <x v="1"/>
    <x v="8"/>
  </r>
  <r>
    <x v="1629"/>
    <x v="1"/>
    <x v="7"/>
    <n v="115.9"/>
    <n v="1159"/>
    <x v="60"/>
    <x v="63"/>
    <x v="2"/>
    <x v="1"/>
    <x v="0"/>
    <x v="0"/>
    <x v="8"/>
    <x v="2"/>
    <x v="9"/>
    <x v="2"/>
    <x v="8"/>
  </r>
  <r>
    <x v="1630"/>
    <x v="6"/>
    <x v="11"/>
    <n v="86"/>
    <n v="774"/>
    <x v="60"/>
    <x v="68"/>
    <x v="2"/>
    <x v="0"/>
    <x v="1"/>
    <x v="0"/>
    <x v="8"/>
    <x v="0"/>
    <x v="9"/>
    <x v="2"/>
    <x v="8"/>
  </r>
  <r>
    <x v="1631"/>
    <x v="7"/>
    <x v="3"/>
    <n v="73.599999999999994"/>
    <n v="515.19999999999993"/>
    <x v="60"/>
    <x v="61"/>
    <x v="2"/>
    <x v="0"/>
    <x v="0"/>
    <x v="0"/>
    <x v="17"/>
    <x v="1"/>
    <x v="9"/>
    <x v="2"/>
    <x v="17"/>
  </r>
  <r>
    <x v="1632"/>
    <x v="10"/>
    <x v="2"/>
    <n v="26.7"/>
    <n v="80.099999999999994"/>
    <x v="60"/>
    <x v="66"/>
    <x v="2"/>
    <x v="0"/>
    <x v="0"/>
    <x v="0"/>
    <x v="11"/>
    <x v="5"/>
    <x v="9"/>
    <x v="2"/>
    <x v="11"/>
  </r>
  <r>
    <x v="1633"/>
    <x v="8"/>
    <x v="3"/>
    <n v="46.6"/>
    <n v="326.2"/>
    <x v="60"/>
    <x v="61"/>
    <x v="0"/>
    <x v="3"/>
    <x v="0"/>
    <x v="0"/>
    <x v="11"/>
    <x v="1"/>
    <x v="9"/>
    <x v="0"/>
    <x v="11"/>
  </r>
  <r>
    <x v="1634"/>
    <x v="3"/>
    <x v="2"/>
    <n v="84.6"/>
    <n v="253.79999999999998"/>
    <x v="60"/>
    <x v="61"/>
    <x v="1"/>
    <x v="4"/>
    <x v="0"/>
    <x v="0"/>
    <x v="11"/>
    <x v="1"/>
    <x v="9"/>
    <x v="1"/>
    <x v="11"/>
  </r>
  <r>
    <x v="1635"/>
    <x v="7"/>
    <x v="21"/>
    <n v="41.5"/>
    <n v="581"/>
    <x v="60"/>
    <x v="69"/>
    <x v="1"/>
    <x v="1"/>
    <x v="0"/>
    <x v="0"/>
    <x v="53"/>
    <x v="12"/>
    <x v="9"/>
    <x v="1"/>
    <x v="53"/>
  </r>
  <r>
    <x v="1636"/>
    <x v="8"/>
    <x v="0"/>
    <n v="32.799999999999997"/>
    <n v="32.799999999999997"/>
    <x v="60"/>
    <x v="63"/>
    <x v="1"/>
    <x v="0"/>
    <x v="2"/>
    <x v="0"/>
    <x v="30"/>
    <x v="2"/>
    <x v="9"/>
    <x v="1"/>
    <x v="30"/>
  </r>
  <r>
    <x v="1637"/>
    <x v="4"/>
    <x v="3"/>
    <n v="46.7"/>
    <n v="326.90000000000003"/>
    <x v="60"/>
    <x v="61"/>
    <x v="3"/>
    <x v="0"/>
    <x v="2"/>
    <x v="0"/>
    <x v="18"/>
    <x v="1"/>
    <x v="9"/>
    <x v="3"/>
    <x v="18"/>
  </r>
  <r>
    <x v="1638"/>
    <x v="15"/>
    <x v="3"/>
    <n v="21"/>
    <n v="147"/>
    <x v="60"/>
    <x v="63"/>
    <x v="1"/>
    <x v="2"/>
    <x v="1"/>
    <x v="0"/>
    <x v="21"/>
    <x v="2"/>
    <x v="9"/>
    <x v="1"/>
    <x v="21"/>
  </r>
  <r>
    <x v="1639"/>
    <x v="5"/>
    <x v="3"/>
    <n v="29.4"/>
    <n v="205.79999999999998"/>
    <x v="60"/>
    <x v="57"/>
    <x v="1"/>
    <x v="3"/>
    <x v="2"/>
    <x v="0"/>
    <x v="21"/>
    <x v="7"/>
    <x v="9"/>
    <x v="1"/>
    <x v="21"/>
  </r>
  <r>
    <x v="1640"/>
    <x v="15"/>
    <x v="1"/>
    <n v="32.299999999999997"/>
    <n v="64.599999999999994"/>
    <x v="60"/>
    <x v="62"/>
    <x v="1"/>
    <x v="0"/>
    <x v="2"/>
    <x v="0"/>
    <x v="21"/>
    <x v="3"/>
    <x v="9"/>
    <x v="1"/>
    <x v="21"/>
  </r>
  <r>
    <x v="1641"/>
    <x v="6"/>
    <x v="0"/>
    <n v="42.2"/>
    <n v="42.2"/>
    <x v="61"/>
    <x v="63"/>
    <x v="2"/>
    <x v="0"/>
    <x v="2"/>
    <x v="0"/>
    <x v="21"/>
    <x v="1"/>
    <x v="9"/>
    <x v="2"/>
    <x v="21"/>
  </r>
  <r>
    <x v="1642"/>
    <x v="6"/>
    <x v="0"/>
    <n v="53.7"/>
    <n v="53.7"/>
    <x v="61"/>
    <x v="63"/>
    <x v="1"/>
    <x v="1"/>
    <x v="1"/>
    <x v="0"/>
    <x v="1"/>
    <x v="1"/>
    <x v="9"/>
    <x v="1"/>
    <x v="1"/>
  </r>
  <r>
    <x v="1643"/>
    <x v="2"/>
    <x v="1"/>
    <n v="123.9"/>
    <n v="247.8"/>
    <x v="61"/>
    <x v="66"/>
    <x v="1"/>
    <x v="2"/>
    <x v="0"/>
    <x v="0"/>
    <x v="1"/>
    <x v="2"/>
    <x v="9"/>
    <x v="1"/>
    <x v="1"/>
  </r>
  <r>
    <x v="1644"/>
    <x v="4"/>
    <x v="2"/>
    <n v="35.9"/>
    <n v="107.69999999999999"/>
    <x v="61"/>
    <x v="63"/>
    <x v="1"/>
    <x v="2"/>
    <x v="0"/>
    <x v="0"/>
    <x v="22"/>
    <x v="1"/>
    <x v="9"/>
    <x v="1"/>
    <x v="22"/>
  </r>
  <r>
    <x v="1645"/>
    <x v="4"/>
    <x v="1"/>
    <n v="23.6"/>
    <n v="47.2"/>
    <x v="61"/>
    <x v="66"/>
    <x v="1"/>
    <x v="0"/>
    <x v="2"/>
    <x v="0"/>
    <x v="3"/>
    <x v="2"/>
    <x v="9"/>
    <x v="1"/>
    <x v="3"/>
  </r>
  <r>
    <x v="1646"/>
    <x v="15"/>
    <x v="36"/>
    <n v="45.7"/>
    <n v="1599.5"/>
    <x v="61"/>
    <x v="61"/>
    <x v="1"/>
    <x v="0"/>
    <x v="1"/>
    <x v="0"/>
    <x v="3"/>
    <x v="3"/>
    <x v="9"/>
    <x v="1"/>
    <x v="3"/>
  </r>
  <r>
    <x v="1647"/>
    <x v="6"/>
    <x v="5"/>
    <n v="118.3"/>
    <n v="1301.3"/>
    <x v="61"/>
    <x v="63"/>
    <x v="1"/>
    <x v="4"/>
    <x v="2"/>
    <x v="0"/>
    <x v="3"/>
    <x v="1"/>
    <x v="9"/>
    <x v="1"/>
    <x v="3"/>
  </r>
  <r>
    <x v="1648"/>
    <x v="19"/>
    <x v="0"/>
    <n v="36"/>
    <n v="36"/>
    <x v="61"/>
    <x v="61"/>
    <x v="2"/>
    <x v="0"/>
    <x v="1"/>
    <x v="0"/>
    <x v="3"/>
    <x v="3"/>
    <x v="9"/>
    <x v="2"/>
    <x v="3"/>
  </r>
  <r>
    <x v="1649"/>
    <x v="8"/>
    <x v="1"/>
    <n v="37.1"/>
    <n v="74.2"/>
    <x v="61"/>
    <x v="66"/>
    <x v="2"/>
    <x v="2"/>
    <x v="0"/>
    <x v="0"/>
    <x v="3"/>
    <x v="2"/>
    <x v="9"/>
    <x v="2"/>
    <x v="3"/>
  </r>
  <r>
    <x v="1650"/>
    <x v="18"/>
    <x v="2"/>
    <n v="45.1"/>
    <n v="135.30000000000001"/>
    <x v="61"/>
    <x v="63"/>
    <x v="2"/>
    <x v="1"/>
    <x v="2"/>
    <x v="0"/>
    <x v="3"/>
    <x v="1"/>
    <x v="9"/>
    <x v="2"/>
    <x v="3"/>
  </r>
  <r>
    <x v="1651"/>
    <x v="5"/>
    <x v="27"/>
    <n v="37.9"/>
    <n v="606.4"/>
    <x v="61"/>
    <x v="61"/>
    <x v="2"/>
    <x v="3"/>
    <x v="2"/>
    <x v="0"/>
    <x v="3"/>
    <x v="3"/>
    <x v="9"/>
    <x v="2"/>
    <x v="3"/>
  </r>
  <r>
    <x v="1652"/>
    <x v="2"/>
    <x v="1"/>
    <n v="121.6"/>
    <n v="243.2"/>
    <x v="61"/>
    <x v="66"/>
    <x v="1"/>
    <x v="3"/>
    <x v="2"/>
    <x v="0"/>
    <x v="3"/>
    <x v="2"/>
    <x v="9"/>
    <x v="1"/>
    <x v="3"/>
  </r>
  <r>
    <x v="1653"/>
    <x v="5"/>
    <x v="3"/>
    <n v="38.200000000000003"/>
    <n v="267.40000000000003"/>
    <x v="61"/>
    <x v="66"/>
    <x v="2"/>
    <x v="0"/>
    <x v="0"/>
    <x v="0"/>
    <x v="3"/>
    <x v="2"/>
    <x v="9"/>
    <x v="2"/>
    <x v="3"/>
  </r>
  <r>
    <x v="1654"/>
    <x v="17"/>
    <x v="1"/>
    <n v="37.200000000000003"/>
    <n v="74.400000000000006"/>
    <x v="61"/>
    <x v="66"/>
    <x v="1"/>
    <x v="4"/>
    <x v="0"/>
    <x v="0"/>
    <x v="3"/>
    <x v="2"/>
    <x v="9"/>
    <x v="1"/>
    <x v="3"/>
  </r>
  <r>
    <x v="1655"/>
    <x v="2"/>
    <x v="12"/>
    <n v="115.7"/>
    <n v="462.8"/>
    <x v="61"/>
    <x v="66"/>
    <x v="2"/>
    <x v="1"/>
    <x v="0"/>
    <x v="0"/>
    <x v="3"/>
    <x v="2"/>
    <x v="9"/>
    <x v="2"/>
    <x v="3"/>
  </r>
  <r>
    <x v="1656"/>
    <x v="2"/>
    <x v="13"/>
    <n v="99.4"/>
    <n v="596.40000000000009"/>
    <x v="61"/>
    <x v="66"/>
    <x v="1"/>
    <x v="0"/>
    <x v="2"/>
    <x v="0"/>
    <x v="3"/>
    <x v="2"/>
    <x v="9"/>
    <x v="1"/>
    <x v="3"/>
  </r>
  <r>
    <x v="1657"/>
    <x v="11"/>
    <x v="0"/>
    <n v="38.700000000000003"/>
    <n v="38.700000000000003"/>
    <x v="61"/>
    <x v="61"/>
    <x v="2"/>
    <x v="2"/>
    <x v="0"/>
    <x v="0"/>
    <x v="25"/>
    <x v="3"/>
    <x v="9"/>
    <x v="2"/>
    <x v="25"/>
  </r>
  <r>
    <x v="1658"/>
    <x v="4"/>
    <x v="1"/>
    <n v="35.5"/>
    <n v="71"/>
    <x v="61"/>
    <x v="66"/>
    <x v="1"/>
    <x v="0"/>
    <x v="2"/>
    <x v="0"/>
    <x v="25"/>
    <x v="2"/>
    <x v="9"/>
    <x v="1"/>
    <x v="25"/>
  </r>
  <r>
    <x v="1659"/>
    <x v="2"/>
    <x v="12"/>
    <n v="93.3"/>
    <n v="373.2"/>
    <x v="61"/>
    <x v="66"/>
    <x v="2"/>
    <x v="0"/>
    <x v="2"/>
    <x v="0"/>
    <x v="6"/>
    <x v="2"/>
    <x v="9"/>
    <x v="2"/>
    <x v="6"/>
  </r>
  <r>
    <x v="1660"/>
    <x v="16"/>
    <x v="0"/>
    <n v="31.4"/>
    <n v="31.4"/>
    <x v="61"/>
    <x v="70"/>
    <x v="2"/>
    <x v="2"/>
    <x v="2"/>
    <x v="0"/>
    <x v="6"/>
    <x v="0"/>
    <x v="9"/>
    <x v="2"/>
    <x v="6"/>
  </r>
  <r>
    <x v="1661"/>
    <x v="1"/>
    <x v="0"/>
    <n v="85.9"/>
    <n v="85.9"/>
    <x v="61"/>
    <x v="66"/>
    <x v="1"/>
    <x v="1"/>
    <x v="0"/>
    <x v="0"/>
    <x v="6"/>
    <x v="2"/>
    <x v="9"/>
    <x v="1"/>
    <x v="6"/>
  </r>
  <r>
    <x v="1662"/>
    <x v="6"/>
    <x v="8"/>
    <n v="41.7"/>
    <n v="333.6"/>
    <x v="61"/>
    <x v="71"/>
    <x v="1"/>
    <x v="0"/>
    <x v="2"/>
    <x v="0"/>
    <x v="7"/>
    <x v="9"/>
    <x v="9"/>
    <x v="1"/>
    <x v="7"/>
  </r>
  <r>
    <x v="1663"/>
    <x v="8"/>
    <x v="12"/>
    <n v="31.5"/>
    <n v="126"/>
    <x v="61"/>
    <x v="61"/>
    <x v="2"/>
    <x v="0"/>
    <x v="0"/>
    <x v="0"/>
    <x v="7"/>
    <x v="3"/>
    <x v="9"/>
    <x v="2"/>
    <x v="7"/>
  </r>
  <r>
    <x v="1664"/>
    <x v="8"/>
    <x v="1"/>
    <n v="36.299999999999997"/>
    <n v="72.599999999999994"/>
    <x v="61"/>
    <x v="61"/>
    <x v="2"/>
    <x v="0"/>
    <x v="4"/>
    <x v="0"/>
    <x v="8"/>
    <x v="3"/>
    <x v="9"/>
    <x v="2"/>
    <x v="8"/>
  </r>
  <r>
    <x v="1665"/>
    <x v="8"/>
    <x v="2"/>
    <n v="33.4"/>
    <n v="100.19999999999999"/>
    <x v="61"/>
    <x v="61"/>
    <x v="2"/>
    <x v="3"/>
    <x v="0"/>
    <x v="0"/>
    <x v="17"/>
    <x v="3"/>
    <x v="9"/>
    <x v="2"/>
    <x v="17"/>
  </r>
  <r>
    <x v="1666"/>
    <x v="2"/>
    <x v="2"/>
    <n v="65.2"/>
    <n v="195.60000000000002"/>
    <x v="61"/>
    <x v="61"/>
    <x v="2"/>
    <x v="2"/>
    <x v="2"/>
    <x v="0"/>
    <x v="26"/>
    <x v="3"/>
    <x v="9"/>
    <x v="2"/>
    <x v="26"/>
  </r>
  <r>
    <x v="1667"/>
    <x v="8"/>
    <x v="11"/>
    <n v="65.5"/>
    <n v="589.5"/>
    <x v="61"/>
    <x v="66"/>
    <x v="2"/>
    <x v="0"/>
    <x v="2"/>
    <x v="0"/>
    <x v="9"/>
    <x v="2"/>
    <x v="9"/>
    <x v="2"/>
    <x v="9"/>
  </r>
  <r>
    <x v="1668"/>
    <x v="6"/>
    <x v="2"/>
    <n v="52.8"/>
    <n v="158.39999999999998"/>
    <x v="61"/>
    <x v="66"/>
    <x v="1"/>
    <x v="2"/>
    <x v="0"/>
    <x v="0"/>
    <x v="9"/>
    <x v="2"/>
    <x v="9"/>
    <x v="1"/>
    <x v="9"/>
  </r>
  <r>
    <x v="1669"/>
    <x v="9"/>
    <x v="9"/>
    <n v="24"/>
    <n v="120"/>
    <x v="61"/>
    <x v="68"/>
    <x v="1"/>
    <x v="0"/>
    <x v="1"/>
    <x v="0"/>
    <x v="11"/>
    <x v="5"/>
    <x v="9"/>
    <x v="1"/>
    <x v="11"/>
  </r>
  <r>
    <x v="1670"/>
    <x v="3"/>
    <x v="2"/>
    <n v="51.2"/>
    <n v="153.60000000000002"/>
    <x v="61"/>
    <x v="61"/>
    <x v="2"/>
    <x v="0"/>
    <x v="0"/>
    <x v="0"/>
    <x v="32"/>
    <x v="3"/>
    <x v="9"/>
    <x v="2"/>
    <x v="32"/>
  </r>
  <r>
    <x v="1671"/>
    <x v="5"/>
    <x v="2"/>
    <n v="28.3"/>
    <n v="84.9"/>
    <x v="61"/>
    <x v="63"/>
    <x v="1"/>
    <x v="4"/>
    <x v="0"/>
    <x v="0"/>
    <x v="19"/>
    <x v="1"/>
    <x v="9"/>
    <x v="1"/>
    <x v="19"/>
  </r>
  <r>
    <x v="1672"/>
    <x v="6"/>
    <x v="2"/>
    <n v="42.3"/>
    <n v="126.89999999999999"/>
    <x v="61"/>
    <x v="62"/>
    <x v="2"/>
    <x v="2"/>
    <x v="1"/>
    <x v="0"/>
    <x v="19"/>
    <x v="7"/>
    <x v="9"/>
    <x v="2"/>
    <x v="19"/>
  </r>
  <r>
    <x v="1673"/>
    <x v="2"/>
    <x v="8"/>
    <n v="163.30000000000001"/>
    <n v="1306.4000000000001"/>
    <x v="62"/>
    <x v="63"/>
    <x v="2"/>
    <x v="1"/>
    <x v="0"/>
    <x v="0"/>
    <x v="13"/>
    <x v="3"/>
    <x v="9"/>
    <x v="2"/>
    <x v="13"/>
  </r>
  <r>
    <x v="1674"/>
    <x v="6"/>
    <x v="3"/>
    <n v="47.3"/>
    <n v="331.09999999999997"/>
    <x v="62"/>
    <x v="68"/>
    <x v="2"/>
    <x v="4"/>
    <x v="1"/>
    <x v="0"/>
    <x v="21"/>
    <x v="2"/>
    <x v="9"/>
    <x v="2"/>
    <x v="21"/>
  </r>
  <r>
    <x v="1675"/>
    <x v="8"/>
    <x v="27"/>
    <n v="27.3"/>
    <n v="436.8"/>
    <x v="62"/>
    <x v="63"/>
    <x v="2"/>
    <x v="2"/>
    <x v="0"/>
    <x v="0"/>
    <x v="21"/>
    <x v="3"/>
    <x v="9"/>
    <x v="2"/>
    <x v="21"/>
  </r>
  <r>
    <x v="1676"/>
    <x v="10"/>
    <x v="13"/>
    <n v="34.9"/>
    <n v="209.39999999999998"/>
    <x v="62"/>
    <x v="72"/>
    <x v="2"/>
    <x v="0"/>
    <x v="0"/>
    <x v="0"/>
    <x v="21"/>
    <x v="11"/>
    <x v="9"/>
    <x v="2"/>
    <x v="21"/>
  </r>
  <r>
    <x v="1677"/>
    <x v="6"/>
    <x v="1"/>
    <n v="53.9"/>
    <n v="107.8"/>
    <x v="62"/>
    <x v="68"/>
    <x v="3"/>
    <x v="0"/>
    <x v="4"/>
    <x v="0"/>
    <x v="1"/>
    <x v="2"/>
    <x v="9"/>
    <x v="3"/>
    <x v="1"/>
  </r>
  <r>
    <x v="1678"/>
    <x v="2"/>
    <x v="1"/>
    <n v="87.2"/>
    <n v="174.4"/>
    <x v="62"/>
    <x v="63"/>
    <x v="2"/>
    <x v="0"/>
    <x v="1"/>
    <x v="0"/>
    <x v="1"/>
    <x v="3"/>
    <x v="9"/>
    <x v="2"/>
    <x v="1"/>
  </r>
  <r>
    <x v="1679"/>
    <x v="15"/>
    <x v="0"/>
    <n v="58.8"/>
    <n v="58.8"/>
    <x v="62"/>
    <x v="66"/>
    <x v="2"/>
    <x v="2"/>
    <x v="0"/>
    <x v="0"/>
    <x v="44"/>
    <x v="1"/>
    <x v="9"/>
    <x v="2"/>
    <x v="44"/>
  </r>
  <r>
    <x v="1680"/>
    <x v="2"/>
    <x v="3"/>
    <n v="125.5"/>
    <n v="878.5"/>
    <x v="62"/>
    <x v="63"/>
    <x v="1"/>
    <x v="2"/>
    <x v="4"/>
    <x v="0"/>
    <x v="22"/>
    <x v="3"/>
    <x v="9"/>
    <x v="1"/>
    <x v="22"/>
  </r>
  <r>
    <x v="1681"/>
    <x v="1"/>
    <x v="12"/>
    <n v="124.6"/>
    <n v="498.4"/>
    <x v="62"/>
    <x v="66"/>
    <x v="2"/>
    <x v="0"/>
    <x v="1"/>
    <x v="0"/>
    <x v="22"/>
    <x v="1"/>
    <x v="9"/>
    <x v="2"/>
    <x v="22"/>
  </r>
  <r>
    <x v="1682"/>
    <x v="1"/>
    <x v="3"/>
    <n v="39.9"/>
    <n v="279.3"/>
    <x v="62"/>
    <x v="63"/>
    <x v="1"/>
    <x v="2"/>
    <x v="1"/>
    <x v="0"/>
    <x v="3"/>
    <x v="3"/>
    <x v="9"/>
    <x v="1"/>
    <x v="3"/>
  </r>
  <r>
    <x v="1683"/>
    <x v="6"/>
    <x v="0"/>
    <n v="94.6"/>
    <n v="94.6"/>
    <x v="62"/>
    <x v="73"/>
    <x v="2"/>
    <x v="0"/>
    <x v="1"/>
    <x v="0"/>
    <x v="3"/>
    <x v="12"/>
    <x v="9"/>
    <x v="2"/>
    <x v="3"/>
  </r>
  <r>
    <x v="1684"/>
    <x v="2"/>
    <x v="1"/>
    <n v="149.6"/>
    <n v="299.2"/>
    <x v="62"/>
    <x v="63"/>
    <x v="2"/>
    <x v="0"/>
    <x v="0"/>
    <x v="0"/>
    <x v="3"/>
    <x v="3"/>
    <x v="9"/>
    <x v="2"/>
    <x v="3"/>
  </r>
  <r>
    <x v="1685"/>
    <x v="8"/>
    <x v="0"/>
    <n v="52.2"/>
    <n v="52.2"/>
    <x v="62"/>
    <x v="63"/>
    <x v="0"/>
    <x v="1"/>
    <x v="0"/>
    <x v="0"/>
    <x v="3"/>
    <x v="3"/>
    <x v="9"/>
    <x v="0"/>
    <x v="3"/>
  </r>
  <r>
    <x v="1686"/>
    <x v="6"/>
    <x v="1"/>
    <n v="96.5"/>
    <n v="193"/>
    <x v="62"/>
    <x v="63"/>
    <x v="2"/>
    <x v="1"/>
    <x v="1"/>
    <x v="0"/>
    <x v="3"/>
    <x v="3"/>
    <x v="9"/>
    <x v="2"/>
    <x v="3"/>
  </r>
  <r>
    <x v="1687"/>
    <x v="8"/>
    <x v="1"/>
    <n v="79.8"/>
    <n v="159.6"/>
    <x v="62"/>
    <x v="66"/>
    <x v="2"/>
    <x v="0"/>
    <x v="1"/>
    <x v="0"/>
    <x v="3"/>
    <x v="1"/>
    <x v="9"/>
    <x v="2"/>
    <x v="3"/>
  </r>
  <r>
    <x v="1688"/>
    <x v="8"/>
    <x v="2"/>
    <n v="35.6"/>
    <n v="106.80000000000001"/>
    <x v="62"/>
    <x v="63"/>
    <x v="2"/>
    <x v="2"/>
    <x v="0"/>
    <x v="0"/>
    <x v="3"/>
    <x v="3"/>
    <x v="9"/>
    <x v="2"/>
    <x v="3"/>
  </r>
  <r>
    <x v="1689"/>
    <x v="16"/>
    <x v="0"/>
    <n v="50.2"/>
    <n v="50.2"/>
    <x v="62"/>
    <x v="63"/>
    <x v="2"/>
    <x v="1"/>
    <x v="2"/>
    <x v="0"/>
    <x v="3"/>
    <x v="3"/>
    <x v="9"/>
    <x v="2"/>
    <x v="3"/>
  </r>
  <r>
    <x v="1690"/>
    <x v="1"/>
    <x v="2"/>
    <n v="55.3"/>
    <n v="165.89999999999998"/>
    <x v="62"/>
    <x v="68"/>
    <x v="2"/>
    <x v="0"/>
    <x v="4"/>
    <x v="0"/>
    <x v="40"/>
    <x v="2"/>
    <x v="9"/>
    <x v="2"/>
    <x v="40"/>
  </r>
  <r>
    <x v="1691"/>
    <x v="6"/>
    <x v="3"/>
    <n v="104.5"/>
    <n v="731.5"/>
    <x v="62"/>
    <x v="70"/>
    <x v="2"/>
    <x v="1"/>
    <x v="0"/>
    <x v="0"/>
    <x v="7"/>
    <x v="5"/>
    <x v="9"/>
    <x v="2"/>
    <x v="7"/>
  </r>
  <r>
    <x v="1692"/>
    <x v="6"/>
    <x v="12"/>
    <n v="66.5"/>
    <n v="266"/>
    <x v="62"/>
    <x v="66"/>
    <x v="1"/>
    <x v="1"/>
    <x v="0"/>
    <x v="0"/>
    <x v="7"/>
    <x v="1"/>
    <x v="9"/>
    <x v="1"/>
    <x v="7"/>
  </r>
  <r>
    <x v="1693"/>
    <x v="10"/>
    <x v="8"/>
    <n v="38.299999999999997"/>
    <n v="306.39999999999998"/>
    <x v="62"/>
    <x v="63"/>
    <x v="2"/>
    <x v="0"/>
    <x v="0"/>
    <x v="0"/>
    <x v="7"/>
    <x v="3"/>
    <x v="9"/>
    <x v="2"/>
    <x v="7"/>
  </r>
  <r>
    <x v="1694"/>
    <x v="6"/>
    <x v="2"/>
    <n v="63.8"/>
    <n v="191.39999999999998"/>
    <x v="62"/>
    <x v="68"/>
    <x v="2"/>
    <x v="1"/>
    <x v="0"/>
    <x v="0"/>
    <x v="8"/>
    <x v="2"/>
    <x v="9"/>
    <x v="2"/>
    <x v="8"/>
  </r>
  <r>
    <x v="1695"/>
    <x v="15"/>
    <x v="0"/>
    <n v="21.4"/>
    <n v="21.4"/>
    <x v="62"/>
    <x v="61"/>
    <x v="1"/>
    <x v="4"/>
    <x v="0"/>
    <x v="0"/>
    <x v="8"/>
    <x v="7"/>
    <x v="9"/>
    <x v="1"/>
    <x v="8"/>
  </r>
  <r>
    <x v="1696"/>
    <x v="8"/>
    <x v="12"/>
    <n v="44.1"/>
    <n v="176.4"/>
    <x v="62"/>
    <x v="66"/>
    <x v="2"/>
    <x v="2"/>
    <x v="0"/>
    <x v="0"/>
    <x v="8"/>
    <x v="1"/>
    <x v="9"/>
    <x v="2"/>
    <x v="8"/>
  </r>
  <r>
    <x v="1697"/>
    <x v="5"/>
    <x v="8"/>
    <n v="57.6"/>
    <n v="460.8"/>
    <x v="62"/>
    <x v="66"/>
    <x v="1"/>
    <x v="1"/>
    <x v="2"/>
    <x v="0"/>
    <x v="8"/>
    <x v="1"/>
    <x v="9"/>
    <x v="1"/>
    <x v="8"/>
  </r>
  <r>
    <x v="1698"/>
    <x v="9"/>
    <x v="1"/>
    <n v="20.3"/>
    <n v="40.6"/>
    <x v="62"/>
    <x v="65"/>
    <x v="2"/>
    <x v="3"/>
    <x v="0"/>
    <x v="0"/>
    <x v="8"/>
    <x v="4"/>
    <x v="9"/>
    <x v="2"/>
    <x v="8"/>
  </r>
  <r>
    <x v="1699"/>
    <x v="8"/>
    <x v="0"/>
    <n v="22.9"/>
    <n v="22.9"/>
    <x v="62"/>
    <x v="66"/>
    <x v="2"/>
    <x v="2"/>
    <x v="2"/>
    <x v="0"/>
    <x v="8"/>
    <x v="1"/>
    <x v="9"/>
    <x v="2"/>
    <x v="8"/>
  </r>
  <r>
    <x v="1700"/>
    <x v="6"/>
    <x v="12"/>
    <n v="105.9"/>
    <n v="423.6"/>
    <x v="62"/>
    <x v="63"/>
    <x v="2"/>
    <x v="1"/>
    <x v="2"/>
    <x v="0"/>
    <x v="17"/>
    <x v="3"/>
    <x v="9"/>
    <x v="2"/>
    <x v="17"/>
  </r>
  <r>
    <x v="1701"/>
    <x v="1"/>
    <x v="11"/>
    <n v="37.4"/>
    <n v="336.59999999999997"/>
    <x v="62"/>
    <x v="70"/>
    <x v="1"/>
    <x v="1"/>
    <x v="0"/>
    <x v="0"/>
    <x v="11"/>
    <x v="5"/>
    <x v="9"/>
    <x v="1"/>
    <x v="11"/>
  </r>
  <r>
    <x v="1702"/>
    <x v="18"/>
    <x v="1"/>
    <n v="79"/>
    <n v="158"/>
    <x v="62"/>
    <x v="63"/>
    <x v="1"/>
    <x v="2"/>
    <x v="0"/>
    <x v="0"/>
    <x v="28"/>
    <x v="3"/>
    <x v="9"/>
    <x v="1"/>
    <x v="28"/>
  </r>
  <r>
    <x v="1703"/>
    <x v="0"/>
    <x v="2"/>
    <n v="19.3"/>
    <n v="57.900000000000006"/>
    <x v="62"/>
    <x v="63"/>
    <x v="2"/>
    <x v="4"/>
    <x v="0"/>
    <x v="0"/>
    <x v="21"/>
    <x v="3"/>
    <x v="9"/>
    <x v="2"/>
    <x v="21"/>
  </r>
  <r>
    <x v="1704"/>
    <x v="0"/>
    <x v="0"/>
    <n v="24"/>
    <n v="24"/>
    <x v="62"/>
    <x v="63"/>
    <x v="2"/>
    <x v="1"/>
    <x v="0"/>
    <x v="0"/>
    <x v="1"/>
    <x v="3"/>
    <x v="9"/>
    <x v="2"/>
    <x v="1"/>
  </r>
  <r>
    <x v="1705"/>
    <x v="6"/>
    <x v="9"/>
    <n v="71.3"/>
    <n v="356.5"/>
    <x v="62"/>
    <x v="68"/>
    <x v="2"/>
    <x v="2"/>
    <x v="0"/>
    <x v="0"/>
    <x v="2"/>
    <x v="2"/>
    <x v="9"/>
    <x v="2"/>
    <x v="2"/>
  </r>
  <r>
    <x v="1706"/>
    <x v="5"/>
    <x v="1"/>
    <n v="166.2"/>
    <n v="332.4"/>
    <x v="62"/>
    <x v="63"/>
    <x v="1"/>
    <x v="0"/>
    <x v="2"/>
    <x v="0"/>
    <x v="50"/>
    <x v="3"/>
    <x v="9"/>
    <x v="1"/>
    <x v="50"/>
  </r>
  <r>
    <x v="1707"/>
    <x v="6"/>
    <x v="0"/>
    <n v="81"/>
    <n v="81"/>
    <x v="62"/>
    <x v="63"/>
    <x v="2"/>
    <x v="2"/>
    <x v="1"/>
    <x v="0"/>
    <x v="3"/>
    <x v="3"/>
    <x v="9"/>
    <x v="2"/>
    <x v="3"/>
  </r>
  <r>
    <x v="1708"/>
    <x v="10"/>
    <x v="13"/>
    <n v="38.5"/>
    <n v="231"/>
    <x v="62"/>
    <x v="70"/>
    <x v="2"/>
    <x v="0"/>
    <x v="0"/>
    <x v="0"/>
    <x v="3"/>
    <x v="5"/>
    <x v="9"/>
    <x v="2"/>
    <x v="3"/>
  </r>
  <r>
    <x v="1709"/>
    <x v="6"/>
    <x v="0"/>
    <n v="86.1"/>
    <n v="86.1"/>
    <x v="62"/>
    <x v="66"/>
    <x v="2"/>
    <x v="3"/>
    <x v="0"/>
    <x v="0"/>
    <x v="3"/>
    <x v="1"/>
    <x v="9"/>
    <x v="2"/>
    <x v="3"/>
  </r>
  <r>
    <x v="1710"/>
    <x v="2"/>
    <x v="9"/>
    <n v="51"/>
    <n v="255"/>
    <x v="62"/>
    <x v="63"/>
    <x v="1"/>
    <x v="0"/>
    <x v="1"/>
    <x v="0"/>
    <x v="3"/>
    <x v="3"/>
    <x v="9"/>
    <x v="1"/>
    <x v="3"/>
  </r>
  <r>
    <x v="1711"/>
    <x v="3"/>
    <x v="9"/>
    <n v="115.4"/>
    <n v="577"/>
    <x v="62"/>
    <x v="63"/>
    <x v="1"/>
    <x v="0"/>
    <x v="0"/>
    <x v="0"/>
    <x v="3"/>
    <x v="3"/>
    <x v="9"/>
    <x v="1"/>
    <x v="3"/>
  </r>
  <r>
    <x v="1712"/>
    <x v="6"/>
    <x v="12"/>
    <n v="176.5"/>
    <n v="706"/>
    <x v="62"/>
    <x v="63"/>
    <x v="2"/>
    <x v="2"/>
    <x v="2"/>
    <x v="0"/>
    <x v="3"/>
    <x v="3"/>
    <x v="9"/>
    <x v="2"/>
    <x v="3"/>
  </r>
  <r>
    <x v="1713"/>
    <x v="7"/>
    <x v="2"/>
    <n v="48.9"/>
    <n v="146.69999999999999"/>
    <x v="62"/>
    <x v="63"/>
    <x v="1"/>
    <x v="4"/>
    <x v="0"/>
    <x v="0"/>
    <x v="3"/>
    <x v="3"/>
    <x v="9"/>
    <x v="1"/>
    <x v="3"/>
  </r>
  <r>
    <x v="1714"/>
    <x v="8"/>
    <x v="2"/>
    <n v="18.100000000000001"/>
    <n v="54.300000000000004"/>
    <x v="62"/>
    <x v="71"/>
    <x v="2"/>
    <x v="1"/>
    <x v="2"/>
    <x v="0"/>
    <x v="29"/>
    <x v="6"/>
    <x v="9"/>
    <x v="2"/>
    <x v="29"/>
  </r>
  <r>
    <x v="1715"/>
    <x v="2"/>
    <x v="1"/>
    <n v="118.5"/>
    <n v="237"/>
    <x v="62"/>
    <x v="68"/>
    <x v="1"/>
    <x v="1"/>
    <x v="2"/>
    <x v="0"/>
    <x v="16"/>
    <x v="2"/>
    <x v="9"/>
    <x v="1"/>
    <x v="16"/>
  </r>
  <r>
    <x v="1716"/>
    <x v="15"/>
    <x v="3"/>
    <n v="59.1"/>
    <n v="413.7"/>
    <x v="62"/>
    <x v="63"/>
    <x v="2"/>
    <x v="3"/>
    <x v="0"/>
    <x v="0"/>
    <x v="25"/>
    <x v="3"/>
    <x v="9"/>
    <x v="2"/>
    <x v="25"/>
  </r>
  <r>
    <x v="1717"/>
    <x v="4"/>
    <x v="0"/>
    <n v="21.2"/>
    <n v="21.2"/>
    <x v="62"/>
    <x v="63"/>
    <x v="2"/>
    <x v="0"/>
    <x v="1"/>
    <x v="0"/>
    <x v="6"/>
    <x v="3"/>
    <x v="9"/>
    <x v="2"/>
    <x v="6"/>
  </r>
  <r>
    <x v="1718"/>
    <x v="6"/>
    <x v="1"/>
    <n v="68.8"/>
    <n v="137.6"/>
    <x v="62"/>
    <x v="60"/>
    <x v="2"/>
    <x v="3"/>
    <x v="2"/>
    <x v="0"/>
    <x v="6"/>
    <x v="0"/>
    <x v="9"/>
    <x v="2"/>
    <x v="6"/>
  </r>
  <r>
    <x v="1719"/>
    <x v="6"/>
    <x v="1"/>
    <n v="65.400000000000006"/>
    <n v="130.80000000000001"/>
    <x v="62"/>
    <x v="70"/>
    <x v="2"/>
    <x v="0"/>
    <x v="0"/>
    <x v="0"/>
    <x v="6"/>
    <x v="5"/>
    <x v="9"/>
    <x v="2"/>
    <x v="6"/>
  </r>
  <r>
    <x v="1720"/>
    <x v="12"/>
    <x v="9"/>
    <n v="66.3"/>
    <n v="331.5"/>
    <x v="63"/>
    <x v="70"/>
    <x v="2"/>
    <x v="4"/>
    <x v="0"/>
    <x v="0"/>
    <x v="6"/>
    <x v="2"/>
    <x v="9"/>
    <x v="2"/>
    <x v="6"/>
  </r>
  <r>
    <x v="1721"/>
    <x v="6"/>
    <x v="2"/>
    <n v="97.5"/>
    <n v="292.5"/>
    <x v="63"/>
    <x v="63"/>
    <x v="1"/>
    <x v="3"/>
    <x v="0"/>
    <x v="0"/>
    <x v="8"/>
    <x v="7"/>
    <x v="9"/>
    <x v="1"/>
    <x v="8"/>
  </r>
  <r>
    <x v="1722"/>
    <x v="1"/>
    <x v="1"/>
    <n v="44"/>
    <n v="88"/>
    <x v="63"/>
    <x v="70"/>
    <x v="2"/>
    <x v="1"/>
    <x v="2"/>
    <x v="0"/>
    <x v="8"/>
    <x v="2"/>
    <x v="9"/>
    <x v="2"/>
    <x v="8"/>
  </r>
  <r>
    <x v="1723"/>
    <x v="0"/>
    <x v="0"/>
    <n v="21.9"/>
    <n v="21.9"/>
    <x v="63"/>
    <x v="66"/>
    <x v="1"/>
    <x v="0"/>
    <x v="0"/>
    <x v="0"/>
    <x v="8"/>
    <x v="3"/>
    <x v="9"/>
    <x v="1"/>
    <x v="8"/>
  </r>
  <r>
    <x v="1724"/>
    <x v="4"/>
    <x v="3"/>
    <n v="21.5"/>
    <n v="150.5"/>
    <x v="63"/>
    <x v="68"/>
    <x v="2"/>
    <x v="1"/>
    <x v="2"/>
    <x v="0"/>
    <x v="9"/>
    <x v="1"/>
    <x v="9"/>
    <x v="2"/>
    <x v="9"/>
  </r>
  <r>
    <x v="1725"/>
    <x v="12"/>
    <x v="13"/>
    <n v="133"/>
    <n v="798"/>
    <x v="63"/>
    <x v="66"/>
    <x v="3"/>
    <x v="0"/>
    <x v="2"/>
    <x v="0"/>
    <x v="10"/>
    <x v="3"/>
    <x v="9"/>
    <x v="3"/>
    <x v="10"/>
  </r>
  <r>
    <x v="1726"/>
    <x v="8"/>
    <x v="1"/>
    <n v="47.7"/>
    <n v="95.4"/>
    <x v="63"/>
    <x v="60"/>
    <x v="1"/>
    <x v="0"/>
    <x v="2"/>
    <x v="0"/>
    <x v="10"/>
    <x v="5"/>
    <x v="9"/>
    <x v="1"/>
    <x v="10"/>
  </r>
  <r>
    <x v="1727"/>
    <x v="16"/>
    <x v="2"/>
    <n v="58.1"/>
    <n v="174.3"/>
    <x v="63"/>
    <x v="66"/>
    <x v="2"/>
    <x v="0"/>
    <x v="0"/>
    <x v="0"/>
    <x v="11"/>
    <x v="3"/>
    <x v="9"/>
    <x v="2"/>
    <x v="11"/>
  </r>
  <r>
    <x v="1728"/>
    <x v="12"/>
    <x v="12"/>
    <n v="66.599999999999994"/>
    <n v="266.39999999999998"/>
    <x v="63"/>
    <x v="66"/>
    <x v="0"/>
    <x v="0"/>
    <x v="0"/>
    <x v="0"/>
    <x v="11"/>
    <x v="3"/>
    <x v="9"/>
    <x v="0"/>
    <x v="11"/>
  </r>
  <r>
    <x v="1729"/>
    <x v="9"/>
    <x v="0"/>
    <n v="24.1"/>
    <n v="24.1"/>
    <x v="63"/>
    <x v="70"/>
    <x v="1"/>
    <x v="2"/>
    <x v="1"/>
    <x v="0"/>
    <x v="19"/>
    <x v="2"/>
    <x v="9"/>
    <x v="1"/>
    <x v="19"/>
  </r>
  <r>
    <x v="1730"/>
    <x v="10"/>
    <x v="9"/>
    <n v="51.5"/>
    <n v="257.5"/>
    <x v="63"/>
    <x v="65"/>
    <x v="2"/>
    <x v="0"/>
    <x v="0"/>
    <x v="0"/>
    <x v="13"/>
    <x v="0"/>
    <x v="9"/>
    <x v="2"/>
    <x v="13"/>
  </r>
  <r>
    <x v="1731"/>
    <x v="0"/>
    <x v="5"/>
    <n v="25.8"/>
    <n v="283.8"/>
    <x v="63"/>
    <x v="60"/>
    <x v="2"/>
    <x v="3"/>
    <x v="4"/>
    <x v="0"/>
    <x v="21"/>
    <x v="5"/>
    <x v="9"/>
    <x v="2"/>
    <x v="21"/>
  </r>
  <r>
    <x v="1732"/>
    <x v="9"/>
    <x v="12"/>
    <n v="47.7"/>
    <n v="190.8"/>
    <x v="63"/>
    <x v="63"/>
    <x v="2"/>
    <x v="0"/>
    <x v="1"/>
    <x v="0"/>
    <x v="21"/>
    <x v="7"/>
    <x v="9"/>
    <x v="2"/>
    <x v="21"/>
  </r>
  <r>
    <x v="1733"/>
    <x v="7"/>
    <x v="9"/>
    <n v="73.599999999999994"/>
    <n v="368"/>
    <x v="63"/>
    <x v="60"/>
    <x v="1"/>
    <x v="1"/>
    <x v="0"/>
    <x v="0"/>
    <x v="21"/>
    <x v="5"/>
    <x v="9"/>
    <x v="1"/>
    <x v="21"/>
  </r>
  <r>
    <x v="1734"/>
    <x v="5"/>
    <x v="3"/>
    <n v="91.2"/>
    <n v="638.4"/>
    <x v="63"/>
    <x v="66"/>
    <x v="1"/>
    <x v="1"/>
    <x v="2"/>
    <x v="0"/>
    <x v="21"/>
    <x v="3"/>
    <x v="9"/>
    <x v="1"/>
    <x v="21"/>
  </r>
  <r>
    <x v="1735"/>
    <x v="1"/>
    <x v="8"/>
    <n v="36.200000000000003"/>
    <n v="289.60000000000002"/>
    <x v="63"/>
    <x v="63"/>
    <x v="1"/>
    <x v="2"/>
    <x v="2"/>
    <x v="0"/>
    <x v="1"/>
    <x v="7"/>
    <x v="9"/>
    <x v="1"/>
    <x v="1"/>
  </r>
  <r>
    <x v="1736"/>
    <x v="9"/>
    <x v="8"/>
    <n v="98"/>
    <n v="784"/>
    <x v="63"/>
    <x v="60"/>
    <x v="2"/>
    <x v="2"/>
    <x v="0"/>
    <x v="0"/>
    <x v="2"/>
    <x v="5"/>
    <x v="9"/>
    <x v="2"/>
    <x v="2"/>
  </r>
  <r>
    <x v="1737"/>
    <x v="1"/>
    <x v="8"/>
    <n v="43.6"/>
    <n v="348.8"/>
    <x v="63"/>
    <x v="66"/>
    <x v="2"/>
    <x v="2"/>
    <x v="0"/>
    <x v="0"/>
    <x v="22"/>
    <x v="3"/>
    <x v="9"/>
    <x v="2"/>
    <x v="22"/>
  </r>
  <r>
    <x v="1738"/>
    <x v="8"/>
    <x v="7"/>
    <n v="37.799999999999997"/>
    <n v="378"/>
    <x v="63"/>
    <x v="63"/>
    <x v="3"/>
    <x v="0"/>
    <x v="0"/>
    <x v="0"/>
    <x v="50"/>
    <x v="7"/>
    <x v="9"/>
    <x v="3"/>
    <x v="50"/>
  </r>
  <r>
    <x v="1739"/>
    <x v="17"/>
    <x v="9"/>
    <n v="63.7"/>
    <n v="318.5"/>
    <x v="63"/>
    <x v="70"/>
    <x v="2"/>
    <x v="2"/>
    <x v="1"/>
    <x v="0"/>
    <x v="3"/>
    <x v="2"/>
    <x v="9"/>
    <x v="2"/>
    <x v="3"/>
  </r>
  <r>
    <x v="1740"/>
    <x v="5"/>
    <x v="11"/>
    <n v="62.9"/>
    <n v="566.1"/>
    <x v="63"/>
    <x v="65"/>
    <x v="1"/>
    <x v="3"/>
    <x v="2"/>
    <x v="0"/>
    <x v="3"/>
    <x v="0"/>
    <x v="9"/>
    <x v="1"/>
    <x v="3"/>
  </r>
  <r>
    <x v="1741"/>
    <x v="6"/>
    <x v="3"/>
    <n v="61.7"/>
    <n v="431.90000000000003"/>
    <x v="63"/>
    <x v="70"/>
    <x v="2"/>
    <x v="2"/>
    <x v="2"/>
    <x v="0"/>
    <x v="3"/>
    <x v="2"/>
    <x v="9"/>
    <x v="2"/>
    <x v="3"/>
  </r>
  <r>
    <x v="1742"/>
    <x v="18"/>
    <x v="21"/>
    <n v="36.5"/>
    <n v="511"/>
    <x v="63"/>
    <x v="66"/>
    <x v="1"/>
    <x v="0"/>
    <x v="2"/>
    <x v="0"/>
    <x v="3"/>
    <x v="3"/>
    <x v="9"/>
    <x v="1"/>
    <x v="3"/>
  </r>
  <r>
    <x v="1743"/>
    <x v="11"/>
    <x v="2"/>
    <n v="98.6"/>
    <n v="295.79999999999995"/>
    <x v="63"/>
    <x v="70"/>
    <x v="3"/>
    <x v="0"/>
    <x v="4"/>
    <x v="0"/>
    <x v="3"/>
    <x v="2"/>
    <x v="9"/>
    <x v="3"/>
    <x v="3"/>
  </r>
  <r>
    <x v="1744"/>
    <x v="8"/>
    <x v="1"/>
    <n v="19.2"/>
    <n v="38.4"/>
    <x v="63"/>
    <x v="72"/>
    <x v="1"/>
    <x v="0"/>
    <x v="0"/>
    <x v="0"/>
    <x v="3"/>
    <x v="14"/>
    <x v="9"/>
    <x v="1"/>
    <x v="3"/>
  </r>
  <r>
    <x v="1745"/>
    <x v="3"/>
    <x v="13"/>
    <n v="55.6"/>
    <n v="333.6"/>
    <x v="63"/>
    <x v="60"/>
    <x v="2"/>
    <x v="0"/>
    <x v="2"/>
    <x v="0"/>
    <x v="3"/>
    <x v="5"/>
    <x v="9"/>
    <x v="2"/>
    <x v="3"/>
  </r>
  <r>
    <x v="1746"/>
    <x v="5"/>
    <x v="13"/>
    <n v="56.4"/>
    <n v="338.4"/>
    <x v="63"/>
    <x v="66"/>
    <x v="2"/>
    <x v="1"/>
    <x v="0"/>
    <x v="0"/>
    <x v="3"/>
    <x v="3"/>
    <x v="9"/>
    <x v="2"/>
    <x v="3"/>
  </r>
  <r>
    <x v="1747"/>
    <x v="4"/>
    <x v="8"/>
    <n v="43.1"/>
    <n v="344.8"/>
    <x v="63"/>
    <x v="60"/>
    <x v="2"/>
    <x v="4"/>
    <x v="0"/>
    <x v="0"/>
    <x v="3"/>
    <x v="5"/>
    <x v="9"/>
    <x v="2"/>
    <x v="3"/>
  </r>
  <r>
    <x v="1748"/>
    <x v="1"/>
    <x v="1"/>
    <n v="77.3"/>
    <n v="154.6"/>
    <x v="63"/>
    <x v="68"/>
    <x v="1"/>
    <x v="0"/>
    <x v="0"/>
    <x v="0"/>
    <x v="6"/>
    <x v="1"/>
    <x v="9"/>
    <x v="1"/>
    <x v="6"/>
  </r>
  <r>
    <x v="1749"/>
    <x v="9"/>
    <x v="8"/>
    <n v="38.299999999999997"/>
    <n v="306.39999999999998"/>
    <x v="63"/>
    <x v="66"/>
    <x v="1"/>
    <x v="0"/>
    <x v="0"/>
    <x v="0"/>
    <x v="7"/>
    <x v="3"/>
    <x v="9"/>
    <x v="1"/>
    <x v="7"/>
  </r>
  <r>
    <x v="1750"/>
    <x v="0"/>
    <x v="3"/>
    <n v="16.8"/>
    <n v="117.60000000000001"/>
    <x v="63"/>
    <x v="70"/>
    <x v="1"/>
    <x v="2"/>
    <x v="1"/>
    <x v="0"/>
    <x v="8"/>
    <x v="2"/>
    <x v="9"/>
    <x v="1"/>
    <x v="8"/>
  </r>
  <r>
    <x v="1751"/>
    <x v="2"/>
    <x v="2"/>
    <n v="63.2"/>
    <n v="189.60000000000002"/>
    <x v="63"/>
    <x v="66"/>
    <x v="2"/>
    <x v="0"/>
    <x v="2"/>
    <x v="0"/>
    <x v="8"/>
    <x v="3"/>
    <x v="9"/>
    <x v="2"/>
    <x v="8"/>
  </r>
  <r>
    <x v="1752"/>
    <x v="14"/>
    <x v="44"/>
    <n v="39.700000000000003"/>
    <n v="913.1"/>
    <x v="63"/>
    <x v="66"/>
    <x v="1"/>
    <x v="0"/>
    <x v="0"/>
    <x v="0"/>
    <x v="8"/>
    <x v="3"/>
    <x v="9"/>
    <x v="1"/>
    <x v="8"/>
  </r>
  <r>
    <x v="1753"/>
    <x v="10"/>
    <x v="2"/>
    <n v="45.8"/>
    <n v="137.39999999999998"/>
    <x v="63"/>
    <x v="66"/>
    <x v="2"/>
    <x v="1"/>
    <x v="2"/>
    <x v="0"/>
    <x v="8"/>
    <x v="3"/>
    <x v="9"/>
    <x v="2"/>
    <x v="8"/>
  </r>
  <r>
    <x v="1754"/>
    <x v="0"/>
    <x v="13"/>
    <n v="12.4"/>
    <n v="74.400000000000006"/>
    <x v="63"/>
    <x v="70"/>
    <x v="1"/>
    <x v="0"/>
    <x v="0"/>
    <x v="0"/>
    <x v="8"/>
    <x v="2"/>
    <x v="9"/>
    <x v="1"/>
    <x v="8"/>
  </r>
  <r>
    <x v="1755"/>
    <x v="14"/>
    <x v="2"/>
    <n v="50.8"/>
    <n v="152.39999999999998"/>
    <x v="64"/>
    <x v="66"/>
    <x v="2"/>
    <x v="4"/>
    <x v="0"/>
    <x v="0"/>
    <x v="17"/>
    <x v="7"/>
    <x v="9"/>
    <x v="2"/>
    <x v="17"/>
  </r>
  <r>
    <x v="1756"/>
    <x v="9"/>
    <x v="0"/>
    <n v="76"/>
    <n v="76"/>
    <x v="64"/>
    <x v="65"/>
    <x v="3"/>
    <x v="2"/>
    <x v="2"/>
    <x v="0"/>
    <x v="17"/>
    <x v="5"/>
    <x v="9"/>
    <x v="3"/>
    <x v="17"/>
  </r>
  <r>
    <x v="1757"/>
    <x v="1"/>
    <x v="1"/>
    <n v="51.9"/>
    <n v="103.8"/>
    <x v="64"/>
    <x v="68"/>
    <x v="1"/>
    <x v="1"/>
    <x v="2"/>
    <x v="0"/>
    <x v="26"/>
    <x v="3"/>
    <x v="9"/>
    <x v="1"/>
    <x v="26"/>
  </r>
  <r>
    <x v="1758"/>
    <x v="2"/>
    <x v="1"/>
    <n v="93.4"/>
    <n v="186.8"/>
    <x v="64"/>
    <x v="64"/>
    <x v="1"/>
    <x v="0"/>
    <x v="3"/>
    <x v="0"/>
    <x v="11"/>
    <x v="6"/>
    <x v="9"/>
    <x v="1"/>
    <x v="11"/>
  </r>
  <r>
    <x v="1759"/>
    <x v="7"/>
    <x v="13"/>
    <n v="30.8"/>
    <n v="184.8"/>
    <x v="64"/>
    <x v="60"/>
    <x v="2"/>
    <x v="1"/>
    <x v="0"/>
    <x v="0"/>
    <x v="11"/>
    <x v="2"/>
    <x v="9"/>
    <x v="2"/>
    <x v="11"/>
  </r>
  <r>
    <x v="1760"/>
    <x v="2"/>
    <x v="0"/>
    <n v="143.19999999999999"/>
    <n v="143.19999999999999"/>
    <x v="64"/>
    <x v="60"/>
    <x v="1"/>
    <x v="2"/>
    <x v="0"/>
    <x v="0"/>
    <x v="11"/>
    <x v="2"/>
    <x v="9"/>
    <x v="1"/>
    <x v="11"/>
  </r>
  <r>
    <x v="1761"/>
    <x v="6"/>
    <x v="5"/>
    <n v="40.4"/>
    <n v="444.4"/>
    <x v="64"/>
    <x v="70"/>
    <x v="1"/>
    <x v="2"/>
    <x v="2"/>
    <x v="0"/>
    <x v="18"/>
    <x v="1"/>
    <x v="9"/>
    <x v="1"/>
    <x v="18"/>
  </r>
  <r>
    <x v="1762"/>
    <x v="2"/>
    <x v="10"/>
    <n v="131.5"/>
    <n v="2498.5"/>
    <x v="64"/>
    <x v="70"/>
    <x v="1"/>
    <x v="1"/>
    <x v="1"/>
    <x v="0"/>
    <x v="18"/>
    <x v="1"/>
    <x v="9"/>
    <x v="1"/>
    <x v="18"/>
  </r>
  <r>
    <x v="1763"/>
    <x v="18"/>
    <x v="3"/>
    <n v="61.6"/>
    <n v="431.2"/>
    <x v="64"/>
    <x v="68"/>
    <x v="1"/>
    <x v="2"/>
    <x v="0"/>
    <x v="0"/>
    <x v="21"/>
    <x v="3"/>
    <x v="9"/>
    <x v="1"/>
    <x v="21"/>
  </r>
  <r>
    <x v="1764"/>
    <x v="9"/>
    <x v="9"/>
    <n v="32.700000000000003"/>
    <n v="163.5"/>
    <x v="64"/>
    <x v="70"/>
    <x v="1"/>
    <x v="2"/>
    <x v="0"/>
    <x v="0"/>
    <x v="1"/>
    <x v="1"/>
    <x v="9"/>
    <x v="1"/>
    <x v="1"/>
  </r>
  <r>
    <x v="1765"/>
    <x v="0"/>
    <x v="7"/>
    <n v="13.7"/>
    <n v="137"/>
    <x v="64"/>
    <x v="68"/>
    <x v="1"/>
    <x v="0"/>
    <x v="2"/>
    <x v="0"/>
    <x v="3"/>
    <x v="3"/>
    <x v="9"/>
    <x v="1"/>
    <x v="3"/>
  </r>
  <r>
    <x v="1766"/>
    <x v="0"/>
    <x v="12"/>
    <n v="32.1"/>
    <n v="128.4"/>
    <x v="64"/>
    <x v="68"/>
    <x v="1"/>
    <x v="4"/>
    <x v="1"/>
    <x v="0"/>
    <x v="3"/>
    <x v="3"/>
    <x v="9"/>
    <x v="1"/>
    <x v="3"/>
  </r>
  <r>
    <x v="1767"/>
    <x v="14"/>
    <x v="8"/>
    <n v="12"/>
    <n v="96"/>
    <x v="64"/>
    <x v="68"/>
    <x v="1"/>
    <x v="1"/>
    <x v="0"/>
    <x v="0"/>
    <x v="24"/>
    <x v="3"/>
    <x v="9"/>
    <x v="1"/>
    <x v="24"/>
  </r>
  <r>
    <x v="1768"/>
    <x v="12"/>
    <x v="0"/>
    <n v="64.3"/>
    <n v="64.3"/>
    <x v="64"/>
    <x v="70"/>
    <x v="2"/>
    <x v="2"/>
    <x v="2"/>
    <x v="0"/>
    <x v="6"/>
    <x v="1"/>
    <x v="9"/>
    <x v="2"/>
    <x v="6"/>
  </r>
  <r>
    <x v="1769"/>
    <x v="1"/>
    <x v="2"/>
    <n v="58.2"/>
    <n v="174.60000000000002"/>
    <x v="64"/>
    <x v="70"/>
    <x v="2"/>
    <x v="1"/>
    <x v="2"/>
    <x v="0"/>
    <x v="6"/>
    <x v="1"/>
    <x v="9"/>
    <x v="2"/>
    <x v="6"/>
  </r>
  <r>
    <x v="1770"/>
    <x v="6"/>
    <x v="12"/>
    <n v="59.2"/>
    <n v="236.8"/>
    <x v="64"/>
    <x v="66"/>
    <x v="1"/>
    <x v="1"/>
    <x v="2"/>
    <x v="0"/>
    <x v="6"/>
    <x v="7"/>
    <x v="9"/>
    <x v="1"/>
    <x v="6"/>
  </r>
  <r>
    <x v="1771"/>
    <x v="10"/>
    <x v="5"/>
    <n v="35.6"/>
    <n v="391.6"/>
    <x v="64"/>
    <x v="64"/>
    <x v="1"/>
    <x v="0"/>
    <x v="2"/>
    <x v="0"/>
    <x v="8"/>
    <x v="6"/>
    <x v="9"/>
    <x v="1"/>
    <x v="8"/>
  </r>
  <r>
    <x v="1772"/>
    <x v="16"/>
    <x v="8"/>
    <n v="37"/>
    <n v="296"/>
    <x v="64"/>
    <x v="65"/>
    <x v="2"/>
    <x v="2"/>
    <x v="1"/>
    <x v="0"/>
    <x v="8"/>
    <x v="5"/>
    <x v="9"/>
    <x v="2"/>
    <x v="8"/>
  </r>
  <r>
    <x v="1773"/>
    <x v="1"/>
    <x v="15"/>
    <n v="80.8"/>
    <n v="1050.3999999999999"/>
    <x v="64"/>
    <x v="70"/>
    <x v="2"/>
    <x v="0"/>
    <x v="0"/>
    <x v="0"/>
    <x v="8"/>
    <x v="1"/>
    <x v="9"/>
    <x v="2"/>
    <x v="8"/>
  </r>
  <r>
    <x v="1774"/>
    <x v="8"/>
    <x v="1"/>
    <n v="63.2"/>
    <n v="126.4"/>
    <x v="64"/>
    <x v="68"/>
    <x v="1"/>
    <x v="0"/>
    <x v="1"/>
    <x v="0"/>
    <x v="8"/>
    <x v="3"/>
    <x v="9"/>
    <x v="1"/>
    <x v="8"/>
  </r>
  <r>
    <x v="1775"/>
    <x v="3"/>
    <x v="1"/>
    <n v="40.799999999999997"/>
    <n v="81.599999999999994"/>
    <x v="64"/>
    <x v="70"/>
    <x v="1"/>
    <x v="0"/>
    <x v="1"/>
    <x v="0"/>
    <x v="17"/>
    <x v="1"/>
    <x v="9"/>
    <x v="1"/>
    <x v="17"/>
  </r>
  <r>
    <x v="1776"/>
    <x v="13"/>
    <x v="13"/>
    <n v="25.7"/>
    <n v="154.19999999999999"/>
    <x v="64"/>
    <x v="70"/>
    <x v="1"/>
    <x v="4"/>
    <x v="0"/>
    <x v="0"/>
    <x v="18"/>
    <x v="1"/>
    <x v="9"/>
    <x v="1"/>
    <x v="18"/>
  </r>
  <r>
    <x v="1777"/>
    <x v="16"/>
    <x v="1"/>
    <n v="49.9"/>
    <n v="99.8"/>
    <x v="64"/>
    <x v="60"/>
    <x v="1"/>
    <x v="0"/>
    <x v="0"/>
    <x v="0"/>
    <x v="20"/>
    <x v="2"/>
    <x v="9"/>
    <x v="1"/>
    <x v="20"/>
  </r>
  <r>
    <x v="1778"/>
    <x v="8"/>
    <x v="1"/>
    <n v="20.2"/>
    <n v="40.4"/>
    <x v="64"/>
    <x v="70"/>
    <x v="2"/>
    <x v="3"/>
    <x v="0"/>
    <x v="0"/>
    <x v="21"/>
    <x v="1"/>
    <x v="9"/>
    <x v="2"/>
    <x v="21"/>
  </r>
  <r>
    <x v="1779"/>
    <x v="6"/>
    <x v="2"/>
    <n v="48.4"/>
    <n v="145.19999999999999"/>
    <x v="64"/>
    <x v="71"/>
    <x v="2"/>
    <x v="0"/>
    <x v="2"/>
    <x v="0"/>
    <x v="21"/>
    <x v="0"/>
    <x v="9"/>
    <x v="2"/>
    <x v="21"/>
  </r>
  <r>
    <x v="1780"/>
    <x v="6"/>
    <x v="1"/>
    <n v="81"/>
    <n v="162"/>
    <x v="64"/>
    <x v="68"/>
    <x v="2"/>
    <x v="1"/>
    <x v="2"/>
    <x v="0"/>
    <x v="21"/>
    <x v="3"/>
    <x v="9"/>
    <x v="2"/>
    <x v="21"/>
  </r>
  <r>
    <x v="1781"/>
    <x v="8"/>
    <x v="13"/>
    <n v="19.899999999999999"/>
    <n v="119.39999999999999"/>
    <x v="64"/>
    <x v="60"/>
    <x v="2"/>
    <x v="0"/>
    <x v="1"/>
    <x v="0"/>
    <x v="22"/>
    <x v="2"/>
    <x v="9"/>
    <x v="2"/>
    <x v="22"/>
  </r>
  <r>
    <x v="1782"/>
    <x v="4"/>
    <x v="12"/>
    <n v="32.200000000000003"/>
    <n v="128.80000000000001"/>
    <x v="64"/>
    <x v="69"/>
    <x v="1"/>
    <x v="0"/>
    <x v="0"/>
    <x v="0"/>
    <x v="22"/>
    <x v="14"/>
    <x v="9"/>
    <x v="1"/>
    <x v="22"/>
  </r>
  <r>
    <x v="1783"/>
    <x v="5"/>
    <x v="2"/>
    <n v="76.8"/>
    <n v="230.39999999999998"/>
    <x v="64"/>
    <x v="68"/>
    <x v="2"/>
    <x v="0"/>
    <x v="1"/>
    <x v="0"/>
    <x v="3"/>
    <x v="3"/>
    <x v="9"/>
    <x v="2"/>
    <x v="3"/>
  </r>
  <r>
    <x v="1784"/>
    <x v="6"/>
    <x v="1"/>
    <n v="41.9"/>
    <n v="83.8"/>
    <x v="64"/>
    <x v="70"/>
    <x v="2"/>
    <x v="0"/>
    <x v="0"/>
    <x v="0"/>
    <x v="3"/>
    <x v="1"/>
    <x v="9"/>
    <x v="2"/>
    <x v="3"/>
  </r>
  <r>
    <x v="1785"/>
    <x v="0"/>
    <x v="3"/>
    <n v="34"/>
    <n v="238"/>
    <x v="64"/>
    <x v="70"/>
    <x v="2"/>
    <x v="1"/>
    <x v="2"/>
    <x v="0"/>
    <x v="3"/>
    <x v="1"/>
    <x v="9"/>
    <x v="2"/>
    <x v="3"/>
  </r>
  <r>
    <x v="1786"/>
    <x v="7"/>
    <x v="3"/>
    <n v="61.3"/>
    <n v="429.09999999999997"/>
    <x v="64"/>
    <x v="66"/>
    <x v="2"/>
    <x v="4"/>
    <x v="2"/>
    <x v="0"/>
    <x v="3"/>
    <x v="7"/>
    <x v="9"/>
    <x v="2"/>
    <x v="3"/>
  </r>
  <r>
    <x v="1787"/>
    <x v="9"/>
    <x v="0"/>
    <n v="54.7"/>
    <n v="54.7"/>
    <x v="65"/>
    <x v="70"/>
    <x v="1"/>
    <x v="0"/>
    <x v="1"/>
    <x v="0"/>
    <x v="3"/>
    <x v="3"/>
    <x v="9"/>
    <x v="1"/>
    <x v="3"/>
  </r>
  <r>
    <x v="1788"/>
    <x v="6"/>
    <x v="7"/>
    <n v="84.7"/>
    <n v="847"/>
    <x v="65"/>
    <x v="71"/>
    <x v="2"/>
    <x v="0"/>
    <x v="0"/>
    <x v="0"/>
    <x v="3"/>
    <x v="5"/>
    <x v="9"/>
    <x v="2"/>
    <x v="3"/>
  </r>
  <r>
    <x v="1789"/>
    <x v="1"/>
    <x v="2"/>
    <n v="93.4"/>
    <n v="280.20000000000005"/>
    <x v="65"/>
    <x v="71"/>
    <x v="2"/>
    <x v="3"/>
    <x v="0"/>
    <x v="0"/>
    <x v="3"/>
    <x v="5"/>
    <x v="9"/>
    <x v="2"/>
    <x v="3"/>
  </r>
  <r>
    <x v="1790"/>
    <x v="8"/>
    <x v="9"/>
    <n v="27"/>
    <n v="135"/>
    <x v="65"/>
    <x v="65"/>
    <x v="1"/>
    <x v="0"/>
    <x v="1"/>
    <x v="0"/>
    <x v="3"/>
    <x v="2"/>
    <x v="9"/>
    <x v="1"/>
    <x v="3"/>
  </r>
  <r>
    <x v="1791"/>
    <x v="0"/>
    <x v="12"/>
    <n v="10.9"/>
    <n v="43.6"/>
    <x v="65"/>
    <x v="70"/>
    <x v="1"/>
    <x v="2"/>
    <x v="0"/>
    <x v="0"/>
    <x v="3"/>
    <x v="3"/>
    <x v="9"/>
    <x v="1"/>
    <x v="3"/>
  </r>
  <r>
    <x v="1792"/>
    <x v="16"/>
    <x v="2"/>
    <n v="48"/>
    <n v="144"/>
    <x v="65"/>
    <x v="74"/>
    <x v="2"/>
    <x v="4"/>
    <x v="0"/>
    <x v="0"/>
    <x v="3"/>
    <x v="0"/>
    <x v="9"/>
    <x v="2"/>
    <x v="3"/>
  </r>
  <r>
    <x v="1793"/>
    <x v="5"/>
    <x v="1"/>
    <n v="67.900000000000006"/>
    <n v="135.80000000000001"/>
    <x v="65"/>
    <x v="70"/>
    <x v="1"/>
    <x v="0"/>
    <x v="2"/>
    <x v="0"/>
    <x v="23"/>
    <x v="3"/>
    <x v="9"/>
    <x v="1"/>
    <x v="23"/>
  </r>
  <r>
    <x v="1794"/>
    <x v="4"/>
    <x v="2"/>
    <n v="36"/>
    <n v="108"/>
    <x v="65"/>
    <x v="70"/>
    <x v="1"/>
    <x v="1"/>
    <x v="0"/>
    <x v="0"/>
    <x v="6"/>
    <x v="3"/>
    <x v="9"/>
    <x v="1"/>
    <x v="6"/>
  </r>
  <r>
    <x v="1795"/>
    <x v="2"/>
    <x v="0"/>
    <n v="128.80000000000001"/>
    <n v="128.80000000000001"/>
    <x v="65"/>
    <x v="70"/>
    <x v="1"/>
    <x v="4"/>
    <x v="2"/>
    <x v="0"/>
    <x v="6"/>
    <x v="3"/>
    <x v="9"/>
    <x v="1"/>
    <x v="6"/>
  </r>
  <r>
    <x v="1796"/>
    <x v="18"/>
    <x v="3"/>
    <n v="33.299999999999997"/>
    <n v="233.09999999999997"/>
    <x v="65"/>
    <x v="70"/>
    <x v="2"/>
    <x v="3"/>
    <x v="0"/>
    <x v="0"/>
    <x v="8"/>
    <x v="3"/>
    <x v="9"/>
    <x v="2"/>
    <x v="8"/>
  </r>
  <r>
    <x v="1797"/>
    <x v="10"/>
    <x v="2"/>
    <n v="37.799999999999997"/>
    <n v="113.39999999999999"/>
    <x v="65"/>
    <x v="60"/>
    <x v="1"/>
    <x v="1"/>
    <x v="2"/>
    <x v="0"/>
    <x v="8"/>
    <x v="1"/>
    <x v="9"/>
    <x v="1"/>
    <x v="8"/>
  </r>
  <r>
    <x v="1798"/>
    <x v="5"/>
    <x v="2"/>
    <n v="26"/>
    <n v="78"/>
    <x v="65"/>
    <x v="74"/>
    <x v="2"/>
    <x v="0"/>
    <x v="0"/>
    <x v="0"/>
    <x v="8"/>
    <x v="0"/>
    <x v="9"/>
    <x v="2"/>
    <x v="8"/>
  </r>
  <r>
    <x v="1799"/>
    <x v="8"/>
    <x v="10"/>
    <n v="28.3"/>
    <n v="537.70000000000005"/>
    <x v="65"/>
    <x v="70"/>
    <x v="2"/>
    <x v="3"/>
    <x v="4"/>
    <x v="0"/>
    <x v="8"/>
    <x v="3"/>
    <x v="9"/>
    <x v="2"/>
    <x v="8"/>
  </r>
  <r>
    <x v="1800"/>
    <x v="8"/>
    <x v="12"/>
    <n v="31.3"/>
    <n v="125.2"/>
    <x v="65"/>
    <x v="68"/>
    <x v="2"/>
    <x v="0"/>
    <x v="0"/>
    <x v="0"/>
    <x v="8"/>
    <x v="7"/>
    <x v="9"/>
    <x v="2"/>
    <x v="8"/>
  </r>
  <r>
    <x v="1801"/>
    <x v="7"/>
    <x v="2"/>
    <n v="69.5"/>
    <n v="208.5"/>
    <x v="65"/>
    <x v="70"/>
    <x v="2"/>
    <x v="3"/>
    <x v="2"/>
    <x v="0"/>
    <x v="8"/>
    <x v="3"/>
    <x v="9"/>
    <x v="2"/>
    <x v="8"/>
  </r>
  <r>
    <x v="1802"/>
    <x v="0"/>
    <x v="1"/>
    <n v="16.7"/>
    <n v="33.4"/>
    <x v="65"/>
    <x v="70"/>
    <x v="2"/>
    <x v="3"/>
    <x v="1"/>
    <x v="0"/>
    <x v="8"/>
    <x v="3"/>
    <x v="9"/>
    <x v="2"/>
    <x v="8"/>
  </r>
  <r>
    <x v="1803"/>
    <x v="9"/>
    <x v="1"/>
    <n v="62.6"/>
    <n v="125.2"/>
    <x v="65"/>
    <x v="70"/>
    <x v="1"/>
    <x v="2"/>
    <x v="2"/>
    <x v="0"/>
    <x v="9"/>
    <x v="3"/>
    <x v="9"/>
    <x v="1"/>
    <x v="9"/>
  </r>
  <r>
    <x v="1804"/>
    <x v="7"/>
    <x v="0"/>
    <n v="81.2"/>
    <n v="81.2"/>
    <x v="65"/>
    <x v="64"/>
    <x v="1"/>
    <x v="4"/>
    <x v="4"/>
    <x v="0"/>
    <x v="9"/>
    <x v="4"/>
    <x v="9"/>
    <x v="1"/>
    <x v="9"/>
  </r>
  <r>
    <x v="1805"/>
    <x v="0"/>
    <x v="7"/>
    <n v="12.7"/>
    <n v="127"/>
    <x v="65"/>
    <x v="70"/>
    <x v="2"/>
    <x v="0"/>
    <x v="2"/>
    <x v="0"/>
    <x v="9"/>
    <x v="3"/>
    <x v="9"/>
    <x v="2"/>
    <x v="9"/>
  </r>
  <r>
    <x v="1806"/>
    <x v="7"/>
    <x v="12"/>
    <n v="77.7"/>
    <n v="310.8"/>
    <x v="66"/>
    <x v="74"/>
    <x v="1"/>
    <x v="1"/>
    <x v="0"/>
    <x v="0"/>
    <x v="11"/>
    <x v="5"/>
    <x v="9"/>
    <x v="1"/>
    <x v="11"/>
  </r>
  <r>
    <x v="1807"/>
    <x v="5"/>
    <x v="1"/>
    <n v="37.299999999999997"/>
    <n v="74.599999999999994"/>
    <x v="66"/>
    <x v="60"/>
    <x v="2"/>
    <x v="0"/>
    <x v="2"/>
    <x v="0"/>
    <x v="18"/>
    <x v="3"/>
    <x v="9"/>
    <x v="2"/>
    <x v="18"/>
  </r>
  <r>
    <x v="1808"/>
    <x v="10"/>
    <x v="12"/>
    <n v="35.6"/>
    <n v="142.4"/>
    <x v="66"/>
    <x v="65"/>
    <x v="2"/>
    <x v="1"/>
    <x v="1"/>
    <x v="0"/>
    <x v="19"/>
    <x v="1"/>
    <x v="9"/>
    <x v="2"/>
    <x v="19"/>
  </r>
  <r>
    <x v="1809"/>
    <x v="2"/>
    <x v="2"/>
    <n v="95"/>
    <n v="285"/>
    <x v="66"/>
    <x v="74"/>
    <x v="2"/>
    <x v="2"/>
    <x v="2"/>
    <x v="0"/>
    <x v="56"/>
    <x v="5"/>
    <x v="9"/>
    <x v="2"/>
    <x v="56"/>
  </r>
  <r>
    <x v="1810"/>
    <x v="2"/>
    <x v="12"/>
    <n v="172.1"/>
    <n v="688.4"/>
    <x v="66"/>
    <x v="74"/>
    <x v="3"/>
    <x v="2"/>
    <x v="2"/>
    <x v="0"/>
    <x v="21"/>
    <x v="5"/>
    <x v="9"/>
    <x v="3"/>
    <x v="21"/>
  </r>
  <r>
    <x v="1811"/>
    <x v="2"/>
    <x v="1"/>
    <n v="233"/>
    <n v="466"/>
    <x v="66"/>
    <x v="71"/>
    <x v="2"/>
    <x v="1"/>
    <x v="0"/>
    <x v="0"/>
    <x v="21"/>
    <x v="2"/>
    <x v="9"/>
    <x v="2"/>
    <x v="21"/>
  </r>
  <r>
    <x v="1812"/>
    <x v="0"/>
    <x v="0"/>
    <n v="43.5"/>
    <n v="43.5"/>
    <x v="66"/>
    <x v="60"/>
    <x v="2"/>
    <x v="2"/>
    <x v="2"/>
    <x v="0"/>
    <x v="21"/>
    <x v="3"/>
    <x v="9"/>
    <x v="2"/>
    <x v="21"/>
  </r>
  <r>
    <x v="1813"/>
    <x v="9"/>
    <x v="1"/>
    <n v="47.8"/>
    <n v="95.6"/>
    <x v="66"/>
    <x v="71"/>
    <x v="1"/>
    <x v="4"/>
    <x v="2"/>
    <x v="0"/>
    <x v="1"/>
    <x v="2"/>
    <x v="9"/>
    <x v="1"/>
    <x v="1"/>
  </r>
  <r>
    <x v="1814"/>
    <x v="12"/>
    <x v="1"/>
    <n v="65.8"/>
    <n v="131.6"/>
    <x v="66"/>
    <x v="65"/>
    <x v="2"/>
    <x v="0"/>
    <x v="3"/>
    <x v="0"/>
    <x v="33"/>
    <x v="1"/>
    <x v="9"/>
    <x v="2"/>
    <x v="33"/>
  </r>
  <r>
    <x v="1815"/>
    <x v="15"/>
    <x v="5"/>
    <n v="38.700000000000003"/>
    <n v="425.70000000000005"/>
    <x v="66"/>
    <x v="70"/>
    <x v="1"/>
    <x v="0"/>
    <x v="0"/>
    <x v="0"/>
    <x v="22"/>
    <x v="7"/>
    <x v="9"/>
    <x v="1"/>
    <x v="22"/>
  </r>
  <r>
    <x v="1816"/>
    <x v="3"/>
    <x v="12"/>
    <n v="55.7"/>
    <n v="222.8"/>
    <x v="66"/>
    <x v="65"/>
    <x v="3"/>
    <x v="0"/>
    <x v="1"/>
    <x v="0"/>
    <x v="22"/>
    <x v="1"/>
    <x v="9"/>
    <x v="3"/>
    <x v="22"/>
  </r>
  <r>
    <x v="1817"/>
    <x v="7"/>
    <x v="1"/>
    <n v="102.4"/>
    <n v="204.8"/>
    <x v="66"/>
    <x v="70"/>
    <x v="2"/>
    <x v="1"/>
    <x v="0"/>
    <x v="0"/>
    <x v="3"/>
    <x v="7"/>
    <x v="9"/>
    <x v="2"/>
    <x v="3"/>
  </r>
  <r>
    <x v="1818"/>
    <x v="1"/>
    <x v="0"/>
    <n v="92"/>
    <n v="92"/>
    <x v="66"/>
    <x v="74"/>
    <x v="0"/>
    <x v="2"/>
    <x v="0"/>
    <x v="0"/>
    <x v="3"/>
    <x v="5"/>
    <x v="9"/>
    <x v="0"/>
    <x v="3"/>
  </r>
  <r>
    <x v="1819"/>
    <x v="6"/>
    <x v="12"/>
    <n v="75.900000000000006"/>
    <n v="303.60000000000002"/>
    <x v="66"/>
    <x v="65"/>
    <x v="2"/>
    <x v="1"/>
    <x v="0"/>
    <x v="0"/>
    <x v="3"/>
    <x v="1"/>
    <x v="9"/>
    <x v="2"/>
    <x v="3"/>
  </r>
  <r>
    <x v="1820"/>
    <x v="1"/>
    <x v="12"/>
    <n v="36.200000000000003"/>
    <n v="144.80000000000001"/>
    <x v="66"/>
    <x v="60"/>
    <x v="2"/>
    <x v="1"/>
    <x v="0"/>
    <x v="0"/>
    <x v="3"/>
    <x v="3"/>
    <x v="9"/>
    <x v="2"/>
    <x v="3"/>
  </r>
  <r>
    <x v="1821"/>
    <x v="6"/>
    <x v="45"/>
    <n v="83.5"/>
    <n v="7264.5"/>
    <x v="66"/>
    <x v="65"/>
    <x v="0"/>
    <x v="3"/>
    <x v="0"/>
    <x v="0"/>
    <x v="3"/>
    <x v="1"/>
    <x v="9"/>
    <x v="0"/>
    <x v="3"/>
  </r>
  <r>
    <x v="1822"/>
    <x v="19"/>
    <x v="4"/>
    <n v="52.4"/>
    <n v="628.79999999999995"/>
    <x v="66"/>
    <x v="70"/>
    <x v="1"/>
    <x v="2"/>
    <x v="0"/>
    <x v="0"/>
    <x v="3"/>
    <x v="7"/>
    <x v="9"/>
    <x v="1"/>
    <x v="3"/>
  </r>
  <r>
    <x v="1823"/>
    <x v="12"/>
    <x v="2"/>
    <n v="69.5"/>
    <n v="208.5"/>
    <x v="66"/>
    <x v="60"/>
    <x v="3"/>
    <x v="4"/>
    <x v="0"/>
    <x v="0"/>
    <x v="3"/>
    <x v="3"/>
    <x v="9"/>
    <x v="3"/>
    <x v="3"/>
  </r>
  <r>
    <x v="1824"/>
    <x v="0"/>
    <x v="0"/>
    <n v="15.5"/>
    <n v="15.5"/>
    <x v="66"/>
    <x v="65"/>
    <x v="1"/>
    <x v="0"/>
    <x v="0"/>
    <x v="0"/>
    <x v="3"/>
    <x v="1"/>
    <x v="9"/>
    <x v="1"/>
    <x v="3"/>
  </r>
  <r>
    <x v="1825"/>
    <x v="4"/>
    <x v="12"/>
    <n v="35.200000000000003"/>
    <n v="140.80000000000001"/>
    <x v="66"/>
    <x v="60"/>
    <x v="2"/>
    <x v="2"/>
    <x v="2"/>
    <x v="0"/>
    <x v="3"/>
    <x v="3"/>
    <x v="9"/>
    <x v="2"/>
    <x v="3"/>
  </r>
  <r>
    <x v="1826"/>
    <x v="8"/>
    <x v="13"/>
    <n v="34.6"/>
    <n v="207.60000000000002"/>
    <x v="66"/>
    <x v="60"/>
    <x v="0"/>
    <x v="0"/>
    <x v="1"/>
    <x v="0"/>
    <x v="3"/>
    <x v="3"/>
    <x v="9"/>
    <x v="0"/>
    <x v="3"/>
  </r>
  <r>
    <x v="1827"/>
    <x v="4"/>
    <x v="0"/>
    <n v="21.3"/>
    <n v="21.3"/>
    <x v="67"/>
    <x v="65"/>
    <x v="1"/>
    <x v="2"/>
    <x v="1"/>
    <x v="0"/>
    <x v="3"/>
    <x v="3"/>
    <x v="10"/>
    <x v="1"/>
    <x v="3"/>
  </r>
  <r>
    <x v="1828"/>
    <x v="6"/>
    <x v="1"/>
    <n v="136.5"/>
    <n v="273"/>
    <x v="67"/>
    <x v="72"/>
    <x v="2"/>
    <x v="0"/>
    <x v="0"/>
    <x v="0"/>
    <x v="37"/>
    <x v="4"/>
    <x v="10"/>
    <x v="2"/>
    <x v="37"/>
  </r>
  <r>
    <x v="1829"/>
    <x v="9"/>
    <x v="3"/>
    <n v="30.7"/>
    <n v="214.9"/>
    <x v="67"/>
    <x v="65"/>
    <x v="1"/>
    <x v="2"/>
    <x v="2"/>
    <x v="0"/>
    <x v="25"/>
    <x v="3"/>
    <x v="10"/>
    <x v="1"/>
    <x v="25"/>
  </r>
  <r>
    <x v="1830"/>
    <x v="1"/>
    <x v="1"/>
    <n v="61.6"/>
    <n v="123.2"/>
    <x v="67"/>
    <x v="65"/>
    <x v="2"/>
    <x v="2"/>
    <x v="2"/>
    <x v="0"/>
    <x v="23"/>
    <x v="3"/>
    <x v="10"/>
    <x v="2"/>
    <x v="23"/>
  </r>
  <r>
    <x v="1831"/>
    <x v="6"/>
    <x v="12"/>
    <n v="54.3"/>
    <n v="217.2"/>
    <x v="67"/>
    <x v="71"/>
    <x v="0"/>
    <x v="4"/>
    <x v="0"/>
    <x v="0"/>
    <x v="7"/>
    <x v="1"/>
    <x v="10"/>
    <x v="0"/>
    <x v="7"/>
  </r>
  <r>
    <x v="1832"/>
    <x v="1"/>
    <x v="1"/>
    <n v="44.1"/>
    <n v="88.2"/>
    <x v="67"/>
    <x v="75"/>
    <x v="2"/>
    <x v="0"/>
    <x v="2"/>
    <x v="0"/>
    <x v="8"/>
    <x v="13"/>
    <x v="10"/>
    <x v="2"/>
    <x v="8"/>
  </r>
  <r>
    <x v="1833"/>
    <x v="8"/>
    <x v="12"/>
    <n v="43.5"/>
    <n v="174"/>
    <x v="67"/>
    <x v="72"/>
    <x v="1"/>
    <x v="3"/>
    <x v="0"/>
    <x v="0"/>
    <x v="8"/>
    <x v="4"/>
    <x v="10"/>
    <x v="1"/>
    <x v="8"/>
  </r>
  <r>
    <x v="1834"/>
    <x v="8"/>
    <x v="2"/>
    <n v="48.2"/>
    <n v="144.60000000000002"/>
    <x v="67"/>
    <x v="64"/>
    <x v="1"/>
    <x v="3"/>
    <x v="1"/>
    <x v="0"/>
    <x v="8"/>
    <x v="5"/>
    <x v="10"/>
    <x v="1"/>
    <x v="8"/>
  </r>
  <r>
    <x v="1835"/>
    <x v="19"/>
    <x v="0"/>
    <n v="13.7"/>
    <n v="13.7"/>
    <x v="67"/>
    <x v="65"/>
    <x v="2"/>
    <x v="2"/>
    <x v="2"/>
    <x v="0"/>
    <x v="8"/>
    <x v="3"/>
    <x v="10"/>
    <x v="2"/>
    <x v="8"/>
  </r>
  <r>
    <x v="1836"/>
    <x v="2"/>
    <x v="1"/>
    <n v="110.5"/>
    <n v="221"/>
    <x v="67"/>
    <x v="65"/>
    <x v="2"/>
    <x v="0"/>
    <x v="1"/>
    <x v="0"/>
    <x v="8"/>
    <x v="3"/>
    <x v="10"/>
    <x v="2"/>
    <x v="8"/>
  </r>
  <r>
    <x v="1837"/>
    <x v="8"/>
    <x v="2"/>
    <n v="26"/>
    <n v="78"/>
    <x v="67"/>
    <x v="67"/>
    <x v="2"/>
    <x v="1"/>
    <x v="1"/>
    <x v="0"/>
    <x v="8"/>
    <x v="0"/>
    <x v="10"/>
    <x v="2"/>
    <x v="8"/>
  </r>
  <r>
    <x v="1838"/>
    <x v="2"/>
    <x v="7"/>
    <n v="140.69999999999999"/>
    <n v="1407"/>
    <x v="67"/>
    <x v="72"/>
    <x v="1"/>
    <x v="3"/>
    <x v="1"/>
    <x v="0"/>
    <x v="8"/>
    <x v="4"/>
    <x v="10"/>
    <x v="1"/>
    <x v="8"/>
  </r>
  <r>
    <x v="1839"/>
    <x v="17"/>
    <x v="1"/>
    <n v="41.7"/>
    <n v="83.4"/>
    <x v="67"/>
    <x v="76"/>
    <x v="2"/>
    <x v="0"/>
    <x v="4"/>
    <x v="0"/>
    <x v="8"/>
    <x v="9"/>
    <x v="10"/>
    <x v="2"/>
    <x v="8"/>
  </r>
  <r>
    <x v="1840"/>
    <x v="2"/>
    <x v="1"/>
    <n v="135.1"/>
    <n v="270.2"/>
    <x v="67"/>
    <x v="65"/>
    <x v="1"/>
    <x v="0"/>
    <x v="2"/>
    <x v="0"/>
    <x v="17"/>
    <x v="3"/>
    <x v="10"/>
    <x v="1"/>
    <x v="17"/>
  </r>
  <r>
    <x v="1841"/>
    <x v="12"/>
    <x v="32"/>
    <n v="95.5"/>
    <n v="2101"/>
    <x v="67"/>
    <x v="65"/>
    <x v="2"/>
    <x v="4"/>
    <x v="4"/>
    <x v="0"/>
    <x v="26"/>
    <x v="3"/>
    <x v="10"/>
    <x v="2"/>
    <x v="26"/>
  </r>
  <r>
    <x v="1842"/>
    <x v="15"/>
    <x v="0"/>
    <n v="25.5"/>
    <n v="25.5"/>
    <x v="67"/>
    <x v="74"/>
    <x v="0"/>
    <x v="2"/>
    <x v="2"/>
    <x v="0"/>
    <x v="11"/>
    <x v="2"/>
    <x v="10"/>
    <x v="0"/>
    <x v="11"/>
  </r>
  <r>
    <x v="1843"/>
    <x v="1"/>
    <x v="0"/>
    <n v="42.6"/>
    <n v="42.6"/>
    <x v="67"/>
    <x v="64"/>
    <x v="2"/>
    <x v="0"/>
    <x v="0"/>
    <x v="0"/>
    <x v="11"/>
    <x v="5"/>
    <x v="10"/>
    <x v="2"/>
    <x v="11"/>
  </r>
  <r>
    <x v="1844"/>
    <x v="8"/>
    <x v="20"/>
    <n v="32.4"/>
    <n v="486"/>
    <x v="67"/>
    <x v="65"/>
    <x v="1"/>
    <x v="1"/>
    <x v="1"/>
    <x v="0"/>
    <x v="11"/>
    <x v="3"/>
    <x v="10"/>
    <x v="1"/>
    <x v="11"/>
  </r>
  <r>
    <x v="1845"/>
    <x v="4"/>
    <x v="12"/>
    <n v="20.2"/>
    <n v="80.8"/>
    <x v="67"/>
    <x v="65"/>
    <x v="3"/>
    <x v="2"/>
    <x v="0"/>
    <x v="0"/>
    <x v="11"/>
    <x v="3"/>
    <x v="10"/>
    <x v="3"/>
    <x v="11"/>
  </r>
  <r>
    <x v="1846"/>
    <x v="16"/>
    <x v="2"/>
    <n v="52.5"/>
    <n v="157.5"/>
    <x v="67"/>
    <x v="67"/>
    <x v="2"/>
    <x v="4"/>
    <x v="0"/>
    <x v="0"/>
    <x v="18"/>
    <x v="0"/>
    <x v="10"/>
    <x v="2"/>
    <x v="18"/>
  </r>
  <r>
    <x v="1847"/>
    <x v="2"/>
    <x v="9"/>
    <n v="59.9"/>
    <n v="299.5"/>
    <x v="67"/>
    <x v="71"/>
    <x v="2"/>
    <x v="2"/>
    <x v="0"/>
    <x v="0"/>
    <x v="19"/>
    <x v="1"/>
    <x v="10"/>
    <x v="2"/>
    <x v="19"/>
  </r>
  <r>
    <x v="1848"/>
    <x v="4"/>
    <x v="1"/>
    <n v="53.2"/>
    <n v="106.4"/>
    <x v="67"/>
    <x v="65"/>
    <x v="2"/>
    <x v="1"/>
    <x v="3"/>
    <x v="0"/>
    <x v="20"/>
    <x v="3"/>
    <x v="10"/>
    <x v="2"/>
    <x v="20"/>
  </r>
  <r>
    <x v="1849"/>
    <x v="2"/>
    <x v="1"/>
    <n v="60"/>
    <n v="120"/>
    <x v="67"/>
    <x v="72"/>
    <x v="1"/>
    <x v="1"/>
    <x v="2"/>
    <x v="0"/>
    <x v="20"/>
    <x v="4"/>
    <x v="10"/>
    <x v="1"/>
    <x v="20"/>
  </r>
  <r>
    <x v="1850"/>
    <x v="8"/>
    <x v="2"/>
    <n v="29.3"/>
    <n v="87.9"/>
    <x v="67"/>
    <x v="65"/>
    <x v="2"/>
    <x v="4"/>
    <x v="0"/>
    <x v="0"/>
    <x v="13"/>
    <x v="3"/>
    <x v="10"/>
    <x v="2"/>
    <x v="13"/>
  </r>
  <r>
    <x v="1851"/>
    <x v="12"/>
    <x v="1"/>
    <n v="55.4"/>
    <n v="110.8"/>
    <x v="67"/>
    <x v="65"/>
    <x v="2"/>
    <x v="0"/>
    <x v="2"/>
    <x v="0"/>
    <x v="21"/>
    <x v="3"/>
    <x v="10"/>
    <x v="2"/>
    <x v="21"/>
  </r>
  <r>
    <x v="1852"/>
    <x v="0"/>
    <x v="9"/>
    <n v="20.100000000000001"/>
    <n v="100.5"/>
    <x v="67"/>
    <x v="71"/>
    <x v="2"/>
    <x v="1"/>
    <x v="2"/>
    <x v="0"/>
    <x v="21"/>
    <x v="1"/>
    <x v="10"/>
    <x v="2"/>
    <x v="21"/>
  </r>
  <r>
    <x v="1853"/>
    <x v="14"/>
    <x v="9"/>
    <n v="24"/>
    <n v="120"/>
    <x v="67"/>
    <x v="74"/>
    <x v="1"/>
    <x v="2"/>
    <x v="0"/>
    <x v="0"/>
    <x v="1"/>
    <x v="2"/>
    <x v="10"/>
    <x v="1"/>
    <x v="1"/>
  </r>
  <r>
    <x v="1854"/>
    <x v="8"/>
    <x v="1"/>
    <n v="30.6"/>
    <n v="61.2"/>
    <x v="68"/>
    <x v="74"/>
    <x v="2"/>
    <x v="0"/>
    <x v="0"/>
    <x v="0"/>
    <x v="1"/>
    <x v="1"/>
    <x v="10"/>
    <x v="2"/>
    <x v="1"/>
  </r>
  <r>
    <x v="1855"/>
    <x v="10"/>
    <x v="9"/>
    <n v="33"/>
    <n v="165"/>
    <x v="68"/>
    <x v="71"/>
    <x v="1"/>
    <x v="1"/>
    <x v="1"/>
    <x v="0"/>
    <x v="27"/>
    <x v="3"/>
    <x v="10"/>
    <x v="1"/>
    <x v="27"/>
  </r>
  <r>
    <x v="1856"/>
    <x v="17"/>
    <x v="11"/>
    <n v="42.1"/>
    <n v="378.90000000000003"/>
    <x v="68"/>
    <x v="69"/>
    <x v="2"/>
    <x v="2"/>
    <x v="0"/>
    <x v="0"/>
    <x v="44"/>
    <x v="4"/>
    <x v="10"/>
    <x v="2"/>
    <x v="44"/>
  </r>
  <r>
    <x v="1857"/>
    <x v="6"/>
    <x v="3"/>
    <n v="77.7"/>
    <n v="543.9"/>
    <x v="68"/>
    <x v="72"/>
    <x v="2"/>
    <x v="1"/>
    <x v="2"/>
    <x v="0"/>
    <x v="50"/>
    <x v="0"/>
    <x v="10"/>
    <x v="2"/>
    <x v="50"/>
  </r>
  <r>
    <x v="1858"/>
    <x v="17"/>
    <x v="13"/>
    <n v="22.7"/>
    <n v="136.19999999999999"/>
    <x v="68"/>
    <x v="64"/>
    <x v="2"/>
    <x v="2"/>
    <x v="0"/>
    <x v="0"/>
    <x v="3"/>
    <x v="2"/>
    <x v="10"/>
    <x v="2"/>
    <x v="3"/>
  </r>
  <r>
    <x v="1859"/>
    <x v="2"/>
    <x v="1"/>
    <n v="133"/>
    <n v="266"/>
    <x v="68"/>
    <x v="65"/>
    <x v="1"/>
    <x v="2"/>
    <x v="2"/>
    <x v="0"/>
    <x v="3"/>
    <x v="7"/>
    <x v="10"/>
    <x v="1"/>
    <x v="3"/>
  </r>
  <r>
    <x v="1860"/>
    <x v="0"/>
    <x v="1"/>
    <n v="23.3"/>
    <n v="46.6"/>
    <x v="68"/>
    <x v="71"/>
    <x v="1"/>
    <x v="1"/>
    <x v="2"/>
    <x v="0"/>
    <x v="3"/>
    <x v="3"/>
    <x v="10"/>
    <x v="1"/>
    <x v="3"/>
  </r>
  <r>
    <x v="1861"/>
    <x v="8"/>
    <x v="2"/>
    <n v="20.7"/>
    <n v="62.099999999999994"/>
    <x v="68"/>
    <x v="74"/>
    <x v="3"/>
    <x v="0"/>
    <x v="2"/>
    <x v="0"/>
    <x v="3"/>
    <x v="1"/>
    <x v="10"/>
    <x v="3"/>
    <x v="3"/>
  </r>
  <r>
    <x v="1862"/>
    <x v="12"/>
    <x v="1"/>
    <n v="47"/>
    <n v="94"/>
    <x v="68"/>
    <x v="71"/>
    <x v="1"/>
    <x v="1"/>
    <x v="2"/>
    <x v="0"/>
    <x v="3"/>
    <x v="3"/>
    <x v="10"/>
    <x v="1"/>
    <x v="3"/>
  </r>
  <r>
    <x v="1863"/>
    <x v="12"/>
    <x v="2"/>
    <n v="38.200000000000003"/>
    <n v="114.60000000000001"/>
    <x v="68"/>
    <x v="74"/>
    <x v="2"/>
    <x v="2"/>
    <x v="4"/>
    <x v="0"/>
    <x v="3"/>
    <x v="1"/>
    <x v="10"/>
    <x v="2"/>
    <x v="3"/>
  </r>
  <r>
    <x v="1864"/>
    <x v="9"/>
    <x v="0"/>
    <n v="39.1"/>
    <n v="39.1"/>
    <x v="68"/>
    <x v="74"/>
    <x v="2"/>
    <x v="0"/>
    <x v="0"/>
    <x v="0"/>
    <x v="3"/>
    <x v="1"/>
    <x v="10"/>
    <x v="2"/>
    <x v="3"/>
  </r>
  <r>
    <x v="1865"/>
    <x v="7"/>
    <x v="30"/>
    <n v="55.6"/>
    <n v="1390"/>
    <x v="68"/>
    <x v="74"/>
    <x v="1"/>
    <x v="0"/>
    <x v="2"/>
    <x v="0"/>
    <x v="3"/>
    <x v="1"/>
    <x v="10"/>
    <x v="1"/>
    <x v="3"/>
  </r>
  <r>
    <x v="1866"/>
    <x v="15"/>
    <x v="0"/>
    <n v="43.1"/>
    <n v="43.1"/>
    <x v="68"/>
    <x v="65"/>
    <x v="3"/>
    <x v="1"/>
    <x v="2"/>
    <x v="0"/>
    <x v="3"/>
    <x v="7"/>
    <x v="10"/>
    <x v="3"/>
    <x v="3"/>
  </r>
  <r>
    <x v="1867"/>
    <x v="6"/>
    <x v="12"/>
    <n v="48.1"/>
    <n v="192.4"/>
    <x v="68"/>
    <x v="71"/>
    <x v="2"/>
    <x v="4"/>
    <x v="2"/>
    <x v="0"/>
    <x v="3"/>
    <x v="3"/>
    <x v="10"/>
    <x v="2"/>
    <x v="3"/>
  </r>
  <r>
    <x v="1868"/>
    <x v="4"/>
    <x v="0"/>
    <n v="42"/>
    <n v="42"/>
    <x v="68"/>
    <x v="71"/>
    <x v="3"/>
    <x v="0"/>
    <x v="0"/>
    <x v="0"/>
    <x v="3"/>
    <x v="3"/>
    <x v="10"/>
    <x v="3"/>
    <x v="3"/>
  </r>
  <r>
    <x v="1869"/>
    <x v="8"/>
    <x v="9"/>
    <n v="18.3"/>
    <n v="91.5"/>
    <x v="68"/>
    <x v="65"/>
    <x v="2"/>
    <x v="2"/>
    <x v="0"/>
    <x v="0"/>
    <x v="3"/>
    <x v="7"/>
    <x v="10"/>
    <x v="2"/>
    <x v="3"/>
  </r>
  <r>
    <x v="1870"/>
    <x v="10"/>
    <x v="12"/>
    <n v="45.3"/>
    <n v="181.2"/>
    <x v="68"/>
    <x v="64"/>
    <x v="2"/>
    <x v="0"/>
    <x v="2"/>
    <x v="0"/>
    <x v="3"/>
    <x v="2"/>
    <x v="10"/>
    <x v="2"/>
    <x v="3"/>
  </r>
  <r>
    <x v="1871"/>
    <x v="0"/>
    <x v="1"/>
    <n v="27.6"/>
    <n v="55.2"/>
    <x v="68"/>
    <x v="74"/>
    <x v="1"/>
    <x v="0"/>
    <x v="2"/>
    <x v="0"/>
    <x v="37"/>
    <x v="1"/>
    <x v="10"/>
    <x v="1"/>
    <x v="37"/>
  </r>
  <r>
    <x v="1872"/>
    <x v="4"/>
    <x v="9"/>
    <n v="26.9"/>
    <n v="134.5"/>
    <x v="68"/>
    <x v="71"/>
    <x v="2"/>
    <x v="2"/>
    <x v="0"/>
    <x v="0"/>
    <x v="25"/>
    <x v="3"/>
    <x v="10"/>
    <x v="2"/>
    <x v="25"/>
  </r>
  <r>
    <x v="1873"/>
    <x v="2"/>
    <x v="11"/>
    <n v="82.4"/>
    <n v="741.6"/>
    <x v="68"/>
    <x v="74"/>
    <x v="3"/>
    <x v="2"/>
    <x v="0"/>
    <x v="0"/>
    <x v="5"/>
    <x v="1"/>
    <x v="10"/>
    <x v="3"/>
    <x v="5"/>
  </r>
  <r>
    <x v="1874"/>
    <x v="6"/>
    <x v="0"/>
    <n v="103.7"/>
    <n v="103.7"/>
    <x v="68"/>
    <x v="74"/>
    <x v="2"/>
    <x v="1"/>
    <x v="0"/>
    <x v="0"/>
    <x v="5"/>
    <x v="1"/>
    <x v="10"/>
    <x v="2"/>
    <x v="5"/>
  </r>
  <r>
    <x v="1875"/>
    <x v="2"/>
    <x v="1"/>
    <n v="58.8"/>
    <n v="117.6"/>
    <x v="68"/>
    <x v="72"/>
    <x v="2"/>
    <x v="1"/>
    <x v="2"/>
    <x v="0"/>
    <x v="6"/>
    <x v="0"/>
    <x v="10"/>
    <x v="2"/>
    <x v="6"/>
  </r>
  <r>
    <x v="1876"/>
    <x v="13"/>
    <x v="0"/>
    <n v="31.5"/>
    <n v="31.5"/>
    <x v="68"/>
    <x v="71"/>
    <x v="2"/>
    <x v="1"/>
    <x v="1"/>
    <x v="0"/>
    <x v="6"/>
    <x v="3"/>
    <x v="10"/>
    <x v="2"/>
    <x v="6"/>
  </r>
  <r>
    <x v="1877"/>
    <x v="7"/>
    <x v="9"/>
    <n v="36.799999999999997"/>
    <n v="184"/>
    <x v="68"/>
    <x v="74"/>
    <x v="2"/>
    <x v="0"/>
    <x v="0"/>
    <x v="0"/>
    <x v="8"/>
    <x v="1"/>
    <x v="10"/>
    <x v="2"/>
    <x v="8"/>
  </r>
  <r>
    <x v="1878"/>
    <x v="3"/>
    <x v="0"/>
    <n v="84.4"/>
    <n v="84.4"/>
    <x v="68"/>
    <x v="71"/>
    <x v="2"/>
    <x v="0"/>
    <x v="0"/>
    <x v="0"/>
    <x v="8"/>
    <x v="3"/>
    <x v="10"/>
    <x v="2"/>
    <x v="8"/>
  </r>
  <r>
    <x v="1879"/>
    <x v="14"/>
    <x v="0"/>
    <n v="44.7"/>
    <n v="44.7"/>
    <x v="68"/>
    <x v="71"/>
    <x v="1"/>
    <x v="0"/>
    <x v="1"/>
    <x v="0"/>
    <x v="8"/>
    <x v="3"/>
    <x v="10"/>
    <x v="1"/>
    <x v="8"/>
  </r>
  <r>
    <x v="1880"/>
    <x v="9"/>
    <x v="8"/>
    <n v="39.4"/>
    <n v="315.2"/>
    <x v="68"/>
    <x v="71"/>
    <x v="2"/>
    <x v="1"/>
    <x v="2"/>
    <x v="0"/>
    <x v="8"/>
    <x v="3"/>
    <x v="10"/>
    <x v="2"/>
    <x v="8"/>
  </r>
  <r>
    <x v="1881"/>
    <x v="11"/>
    <x v="12"/>
    <n v="34.9"/>
    <n v="139.6"/>
    <x v="68"/>
    <x v="74"/>
    <x v="2"/>
    <x v="0"/>
    <x v="2"/>
    <x v="0"/>
    <x v="8"/>
    <x v="1"/>
    <x v="10"/>
    <x v="2"/>
    <x v="8"/>
  </r>
  <r>
    <x v="1882"/>
    <x v="1"/>
    <x v="2"/>
    <n v="62.3"/>
    <n v="186.89999999999998"/>
    <x v="68"/>
    <x v="74"/>
    <x v="1"/>
    <x v="4"/>
    <x v="2"/>
    <x v="0"/>
    <x v="8"/>
    <x v="1"/>
    <x v="10"/>
    <x v="1"/>
    <x v="8"/>
  </r>
  <r>
    <x v="1883"/>
    <x v="8"/>
    <x v="12"/>
    <n v="21.1"/>
    <n v="84.4"/>
    <x v="68"/>
    <x v="64"/>
    <x v="1"/>
    <x v="3"/>
    <x v="0"/>
    <x v="0"/>
    <x v="8"/>
    <x v="2"/>
    <x v="10"/>
    <x v="1"/>
    <x v="8"/>
  </r>
  <r>
    <x v="1884"/>
    <x v="8"/>
    <x v="2"/>
    <n v="33.200000000000003"/>
    <n v="99.600000000000009"/>
    <x v="68"/>
    <x v="77"/>
    <x v="0"/>
    <x v="0"/>
    <x v="4"/>
    <x v="0"/>
    <x v="8"/>
    <x v="12"/>
    <x v="10"/>
    <x v="0"/>
    <x v="8"/>
  </r>
  <r>
    <x v="1885"/>
    <x v="1"/>
    <x v="12"/>
    <n v="74.5"/>
    <n v="298"/>
    <x v="68"/>
    <x v="71"/>
    <x v="1"/>
    <x v="4"/>
    <x v="0"/>
    <x v="0"/>
    <x v="8"/>
    <x v="3"/>
    <x v="10"/>
    <x v="1"/>
    <x v="8"/>
  </r>
  <r>
    <x v="1886"/>
    <x v="10"/>
    <x v="4"/>
    <n v="68.599999999999994"/>
    <n v="823.19999999999993"/>
    <x v="68"/>
    <x v="64"/>
    <x v="2"/>
    <x v="0"/>
    <x v="2"/>
    <x v="0"/>
    <x v="8"/>
    <x v="2"/>
    <x v="10"/>
    <x v="2"/>
    <x v="8"/>
  </r>
  <r>
    <x v="1887"/>
    <x v="5"/>
    <x v="21"/>
    <n v="36.4"/>
    <n v="509.59999999999997"/>
    <x v="68"/>
    <x v="74"/>
    <x v="2"/>
    <x v="0"/>
    <x v="1"/>
    <x v="0"/>
    <x v="9"/>
    <x v="1"/>
    <x v="10"/>
    <x v="2"/>
    <x v="9"/>
  </r>
  <r>
    <x v="1888"/>
    <x v="16"/>
    <x v="9"/>
    <n v="67.599999999999994"/>
    <n v="338"/>
    <x v="69"/>
    <x v="67"/>
    <x v="2"/>
    <x v="4"/>
    <x v="1"/>
    <x v="0"/>
    <x v="9"/>
    <x v="2"/>
    <x v="10"/>
    <x v="2"/>
    <x v="9"/>
  </r>
  <r>
    <x v="1889"/>
    <x v="15"/>
    <x v="0"/>
    <n v="46.3"/>
    <n v="46.3"/>
    <x v="69"/>
    <x v="74"/>
    <x v="1"/>
    <x v="2"/>
    <x v="0"/>
    <x v="0"/>
    <x v="9"/>
    <x v="3"/>
    <x v="10"/>
    <x v="1"/>
    <x v="9"/>
  </r>
  <r>
    <x v="1890"/>
    <x v="1"/>
    <x v="2"/>
    <n v="124.2"/>
    <n v="372.6"/>
    <x v="69"/>
    <x v="64"/>
    <x v="2"/>
    <x v="1"/>
    <x v="2"/>
    <x v="0"/>
    <x v="11"/>
    <x v="1"/>
    <x v="10"/>
    <x v="2"/>
    <x v="11"/>
  </r>
  <r>
    <x v="1891"/>
    <x v="10"/>
    <x v="1"/>
    <n v="37"/>
    <n v="74"/>
    <x v="69"/>
    <x v="76"/>
    <x v="1"/>
    <x v="0"/>
    <x v="0"/>
    <x v="0"/>
    <x v="11"/>
    <x v="4"/>
    <x v="10"/>
    <x v="1"/>
    <x v="11"/>
  </r>
  <r>
    <x v="1892"/>
    <x v="5"/>
    <x v="0"/>
    <n v="41.8"/>
    <n v="41.8"/>
    <x v="69"/>
    <x v="74"/>
    <x v="1"/>
    <x v="2"/>
    <x v="0"/>
    <x v="0"/>
    <x v="31"/>
    <x v="3"/>
    <x v="10"/>
    <x v="1"/>
    <x v="31"/>
  </r>
  <r>
    <x v="1893"/>
    <x v="9"/>
    <x v="1"/>
    <n v="57.2"/>
    <n v="114.4"/>
    <x v="69"/>
    <x v="64"/>
    <x v="1"/>
    <x v="2"/>
    <x v="1"/>
    <x v="0"/>
    <x v="20"/>
    <x v="1"/>
    <x v="10"/>
    <x v="1"/>
    <x v="20"/>
  </r>
  <r>
    <x v="1894"/>
    <x v="6"/>
    <x v="1"/>
    <n v="47.1"/>
    <n v="94.2"/>
    <x v="69"/>
    <x v="64"/>
    <x v="2"/>
    <x v="0"/>
    <x v="4"/>
    <x v="0"/>
    <x v="20"/>
    <x v="1"/>
    <x v="10"/>
    <x v="2"/>
    <x v="20"/>
  </r>
  <r>
    <x v="1895"/>
    <x v="5"/>
    <x v="2"/>
    <n v="86.4"/>
    <n v="259.20000000000005"/>
    <x v="69"/>
    <x v="74"/>
    <x v="1"/>
    <x v="2"/>
    <x v="1"/>
    <x v="0"/>
    <x v="52"/>
    <x v="3"/>
    <x v="10"/>
    <x v="1"/>
    <x v="52"/>
  </r>
  <r>
    <x v="1896"/>
    <x v="6"/>
    <x v="9"/>
    <n v="105"/>
    <n v="525"/>
    <x v="69"/>
    <x v="67"/>
    <x v="1"/>
    <x v="0"/>
    <x v="0"/>
    <x v="0"/>
    <x v="13"/>
    <x v="2"/>
    <x v="10"/>
    <x v="1"/>
    <x v="13"/>
  </r>
  <r>
    <x v="1897"/>
    <x v="18"/>
    <x v="0"/>
    <n v="33"/>
    <n v="33"/>
    <x v="69"/>
    <x v="67"/>
    <x v="1"/>
    <x v="4"/>
    <x v="0"/>
    <x v="0"/>
    <x v="21"/>
    <x v="2"/>
    <x v="10"/>
    <x v="1"/>
    <x v="21"/>
  </r>
  <r>
    <x v="1898"/>
    <x v="6"/>
    <x v="9"/>
    <n v="106.6"/>
    <n v="533"/>
    <x v="69"/>
    <x v="77"/>
    <x v="2"/>
    <x v="2"/>
    <x v="0"/>
    <x v="0"/>
    <x v="1"/>
    <x v="10"/>
    <x v="10"/>
    <x v="2"/>
    <x v="1"/>
  </r>
  <r>
    <x v="1899"/>
    <x v="10"/>
    <x v="46"/>
    <n v="26.8"/>
    <n v="857.6"/>
    <x v="69"/>
    <x v="74"/>
    <x v="2"/>
    <x v="2"/>
    <x v="0"/>
    <x v="0"/>
    <x v="1"/>
    <x v="3"/>
    <x v="10"/>
    <x v="2"/>
    <x v="1"/>
  </r>
  <r>
    <x v="1900"/>
    <x v="17"/>
    <x v="9"/>
    <n v="25.8"/>
    <n v="129"/>
    <x v="69"/>
    <x v="71"/>
    <x v="2"/>
    <x v="1"/>
    <x v="2"/>
    <x v="0"/>
    <x v="3"/>
    <x v="7"/>
    <x v="10"/>
    <x v="2"/>
    <x v="3"/>
  </r>
  <r>
    <x v="1901"/>
    <x v="2"/>
    <x v="2"/>
    <n v="217"/>
    <n v="651"/>
    <x v="69"/>
    <x v="74"/>
    <x v="2"/>
    <x v="1"/>
    <x v="1"/>
    <x v="0"/>
    <x v="3"/>
    <x v="3"/>
    <x v="10"/>
    <x v="2"/>
    <x v="3"/>
  </r>
  <r>
    <x v="1902"/>
    <x v="2"/>
    <x v="1"/>
    <n v="97.3"/>
    <n v="194.6"/>
    <x v="69"/>
    <x v="74"/>
    <x v="1"/>
    <x v="2"/>
    <x v="4"/>
    <x v="0"/>
    <x v="3"/>
    <x v="3"/>
    <x v="10"/>
    <x v="1"/>
    <x v="3"/>
  </r>
  <r>
    <x v="1903"/>
    <x v="1"/>
    <x v="0"/>
    <n v="49.8"/>
    <n v="49.8"/>
    <x v="69"/>
    <x v="74"/>
    <x v="2"/>
    <x v="0"/>
    <x v="0"/>
    <x v="0"/>
    <x v="3"/>
    <x v="3"/>
    <x v="10"/>
    <x v="2"/>
    <x v="3"/>
  </r>
  <r>
    <x v="1904"/>
    <x v="12"/>
    <x v="9"/>
    <n v="32.6"/>
    <n v="163"/>
    <x v="69"/>
    <x v="74"/>
    <x v="2"/>
    <x v="0"/>
    <x v="0"/>
    <x v="0"/>
    <x v="3"/>
    <x v="3"/>
    <x v="10"/>
    <x v="2"/>
    <x v="3"/>
  </r>
  <r>
    <x v="1905"/>
    <x v="9"/>
    <x v="1"/>
    <n v="40.1"/>
    <n v="80.2"/>
    <x v="69"/>
    <x v="67"/>
    <x v="1"/>
    <x v="1"/>
    <x v="2"/>
    <x v="0"/>
    <x v="3"/>
    <x v="2"/>
    <x v="10"/>
    <x v="1"/>
    <x v="3"/>
  </r>
  <r>
    <x v="1906"/>
    <x v="10"/>
    <x v="1"/>
    <n v="49.4"/>
    <n v="98.8"/>
    <x v="69"/>
    <x v="64"/>
    <x v="1"/>
    <x v="1"/>
    <x v="0"/>
    <x v="0"/>
    <x v="3"/>
    <x v="1"/>
    <x v="10"/>
    <x v="1"/>
    <x v="3"/>
  </r>
  <r>
    <x v="1907"/>
    <x v="2"/>
    <x v="0"/>
    <n v="67.3"/>
    <n v="67.3"/>
    <x v="69"/>
    <x v="74"/>
    <x v="2"/>
    <x v="0"/>
    <x v="2"/>
    <x v="0"/>
    <x v="3"/>
    <x v="3"/>
    <x v="10"/>
    <x v="2"/>
    <x v="3"/>
  </r>
  <r>
    <x v="1908"/>
    <x v="18"/>
    <x v="12"/>
    <n v="44.5"/>
    <n v="178"/>
    <x v="69"/>
    <x v="67"/>
    <x v="0"/>
    <x v="1"/>
    <x v="0"/>
    <x v="0"/>
    <x v="3"/>
    <x v="2"/>
    <x v="10"/>
    <x v="0"/>
    <x v="3"/>
  </r>
  <r>
    <x v="1909"/>
    <x v="6"/>
    <x v="5"/>
    <n v="111.1"/>
    <n v="1222.0999999999999"/>
    <x v="69"/>
    <x v="74"/>
    <x v="2"/>
    <x v="4"/>
    <x v="0"/>
    <x v="0"/>
    <x v="3"/>
    <x v="3"/>
    <x v="10"/>
    <x v="2"/>
    <x v="3"/>
  </r>
  <r>
    <x v="1910"/>
    <x v="8"/>
    <x v="2"/>
    <n v="19.7"/>
    <n v="59.099999999999994"/>
    <x v="69"/>
    <x v="74"/>
    <x v="2"/>
    <x v="4"/>
    <x v="4"/>
    <x v="0"/>
    <x v="3"/>
    <x v="3"/>
    <x v="10"/>
    <x v="2"/>
    <x v="3"/>
  </r>
  <r>
    <x v="1911"/>
    <x v="1"/>
    <x v="0"/>
    <n v="40.299999999999997"/>
    <n v="40.299999999999997"/>
    <x v="69"/>
    <x v="74"/>
    <x v="3"/>
    <x v="1"/>
    <x v="0"/>
    <x v="0"/>
    <x v="3"/>
    <x v="3"/>
    <x v="10"/>
    <x v="3"/>
    <x v="3"/>
  </r>
  <r>
    <x v="1912"/>
    <x v="6"/>
    <x v="1"/>
    <n v="108.8"/>
    <n v="217.6"/>
    <x v="69"/>
    <x v="69"/>
    <x v="1"/>
    <x v="0"/>
    <x v="2"/>
    <x v="0"/>
    <x v="6"/>
    <x v="0"/>
    <x v="10"/>
    <x v="1"/>
    <x v="6"/>
  </r>
  <r>
    <x v="1913"/>
    <x v="8"/>
    <x v="2"/>
    <n v="48.2"/>
    <n v="144.60000000000002"/>
    <x v="69"/>
    <x v="69"/>
    <x v="2"/>
    <x v="4"/>
    <x v="0"/>
    <x v="0"/>
    <x v="7"/>
    <x v="0"/>
    <x v="10"/>
    <x v="2"/>
    <x v="7"/>
  </r>
  <r>
    <x v="1914"/>
    <x v="2"/>
    <x v="2"/>
    <n v="104.7"/>
    <n v="314.10000000000002"/>
    <x v="69"/>
    <x v="64"/>
    <x v="2"/>
    <x v="0"/>
    <x v="1"/>
    <x v="0"/>
    <x v="7"/>
    <x v="1"/>
    <x v="10"/>
    <x v="2"/>
    <x v="7"/>
  </r>
  <r>
    <x v="1915"/>
    <x v="1"/>
    <x v="1"/>
    <n v="80.599999999999994"/>
    <n v="161.19999999999999"/>
    <x v="69"/>
    <x v="71"/>
    <x v="2"/>
    <x v="1"/>
    <x v="0"/>
    <x v="0"/>
    <x v="8"/>
    <x v="7"/>
    <x v="10"/>
    <x v="2"/>
    <x v="8"/>
  </r>
  <r>
    <x v="1916"/>
    <x v="6"/>
    <x v="0"/>
    <n v="65.5"/>
    <n v="65.5"/>
    <x v="69"/>
    <x v="64"/>
    <x v="3"/>
    <x v="1"/>
    <x v="0"/>
    <x v="0"/>
    <x v="8"/>
    <x v="1"/>
    <x v="10"/>
    <x v="3"/>
    <x v="8"/>
  </r>
  <r>
    <x v="1917"/>
    <x v="9"/>
    <x v="2"/>
    <n v="61.4"/>
    <n v="184.2"/>
    <x v="69"/>
    <x v="64"/>
    <x v="2"/>
    <x v="4"/>
    <x v="2"/>
    <x v="0"/>
    <x v="8"/>
    <x v="1"/>
    <x v="10"/>
    <x v="2"/>
    <x v="8"/>
  </r>
  <r>
    <x v="1918"/>
    <x v="0"/>
    <x v="0"/>
    <n v="12.5"/>
    <n v="12.5"/>
    <x v="70"/>
    <x v="72"/>
    <x v="2"/>
    <x v="0"/>
    <x v="1"/>
    <x v="0"/>
    <x v="8"/>
    <x v="2"/>
    <x v="10"/>
    <x v="2"/>
    <x v="8"/>
  </r>
  <r>
    <x v="1919"/>
    <x v="4"/>
    <x v="12"/>
    <n v="35.1"/>
    <n v="140.4"/>
    <x v="70"/>
    <x v="64"/>
    <x v="1"/>
    <x v="2"/>
    <x v="1"/>
    <x v="0"/>
    <x v="17"/>
    <x v="3"/>
    <x v="10"/>
    <x v="1"/>
    <x v="17"/>
  </r>
  <r>
    <x v="1920"/>
    <x v="5"/>
    <x v="1"/>
    <n v="55.7"/>
    <n v="111.4"/>
    <x v="70"/>
    <x v="64"/>
    <x v="1"/>
    <x v="0"/>
    <x v="1"/>
    <x v="0"/>
    <x v="26"/>
    <x v="3"/>
    <x v="10"/>
    <x v="1"/>
    <x v="26"/>
  </r>
  <r>
    <x v="1921"/>
    <x v="7"/>
    <x v="1"/>
    <n v="57.7"/>
    <n v="115.4"/>
    <x v="70"/>
    <x v="67"/>
    <x v="1"/>
    <x v="4"/>
    <x v="1"/>
    <x v="0"/>
    <x v="9"/>
    <x v="1"/>
    <x v="10"/>
    <x v="1"/>
    <x v="9"/>
  </r>
  <r>
    <x v="1922"/>
    <x v="2"/>
    <x v="13"/>
    <n v="85.7"/>
    <n v="514.20000000000005"/>
    <x v="70"/>
    <x v="64"/>
    <x v="1"/>
    <x v="3"/>
    <x v="2"/>
    <x v="0"/>
    <x v="9"/>
    <x v="3"/>
    <x v="10"/>
    <x v="1"/>
    <x v="9"/>
  </r>
  <r>
    <x v="1923"/>
    <x v="2"/>
    <x v="2"/>
    <n v="86.9"/>
    <n v="260.70000000000005"/>
    <x v="70"/>
    <x v="67"/>
    <x v="2"/>
    <x v="1"/>
    <x v="0"/>
    <x v="0"/>
    <x v="11"/>
    <x v="1"/>
    <x v="10"/>
    <x v="2"/>
    <x v="11"/>
  </r>
  <r>
    <x v="1924"/>
    <x v="18"/>
    <x v="1"/>
    <n v="46.4"/>
    <n v="92.8"/>
    <x v="70"/>
    <x v="72"/>
    <x v="2"/>
    <x v="4"/>
    <x v="0"/>
    <x v="0"/>
    <x v="11"/>
    <x v="2"/>
    <x v="10"/>
    <x v="2"/>
    <x v="11"/>
  </r>
  <r>
    <x v="1925"/>
    <x v="5"/>
    <x v="2"/>
    <n v="25.4"/>
    <n v="76.199999999999989"/>
    <x v="70"/>
    <x v="74"/>
    <x v="2"/>
    <x v="2"/>
    <x v="2"/>
    <x v="0"/>
    <x v="18"/>
    <x v="7"/>
    <x v="10"/>
    <x v="2"/>
    <x v="18"/>
  </r>
  <r>
    <x v="1926"/>
    <x v="10"/>
    <x v="2"/>
    <n v="47.8"/>
    <n v="143.39999999999998"/>
    <x v="70"/>
    <x v="74"/>
    <x v="0"/>
    <x v="2"/>
    <x v="2"/>
    <x v="0"/>
    <x v="19"/>
    <x v="7"/>
    <x v="10"/>
    <x v="0"/>
    <x v="19"/>
  </r>
  <r>
    <x v="1927"/>
    <x v="8"/>
    <x v="10"/>
    <n v="18.399999999999999"/>
    <n v="349.59999999999997"/>
    <x v="70"/>
    <x v="67"/>
    <x v="3"/>
    <x v="2"/>
    <x v="0"/>
    <x v="0"/>
    <x v="20"/>
    <x v="1"/>
    <x v="10"/>
    <x v="3"/>
    <x v="20"/>
  </r>
  <r>
    <x v="1928"/>
    <x v="12"/>
    <x v="2"/>
    <n v="65.5"/>
    <n v="196.5"/>
    <x v="70"/>
    <x v="78"/>
    <x v="2"/>
    <x v="0"/>
    <x v="0"/>
    <x v="0"/>
    <x v="21"/>
    <x v="9"/>
    <x v="10"/>
    <x v="2"/>
    <x v="21"/>
  </r>
  <r>
    <x v="1929"/>
    <x v="10"/>
    <x v="1"/>
    <n v="50.6"/>
    <n v="101.2"/>
    <x v="70"/>
    <x v="72"/>
    <x v="1"/>
    <x v="2"/>
    <x v="4"/>
    <x v="0"/>
    <x v="21"/>
    <x v="2"/>
    <x v="10"/>
    <x v="1"/>
    <x v="21"/>
  </r>
  <r>
    <x v="1930"/>
    <x v="3"/>
    <x v="9"/>
    <n v="69"/>
    <n v="345"/>
    <x v="70"/>
    <x v="69"/>
    <x v="1"/>
    <x v="3"/>
    <x v="0"/>
    <x v="0"/>
    <x v="21"/>
    <x v="5"/>
    <x v="10"/>
    <x v="1"/>
    <x v="21"/>
  </r>
  <r>
    <x v="1931"/>
    <x v="9"/>
    <x v="8"/>
    <n v="51.1"/>
    <n v="408.8"/>
    <x v="70"/>
    <x v="67"/>
    <x v="2"/>
    <x v="0"/>
    <x v="0"/>
    <x v="0"/>
    <x v="1"/>
    <x v="1"/>
    <x v="10"/>
    <x v="2"/>
    <x v="1"/>
  </r>
  <r>
    <x v="1932"/>
    <x v="9"/>
    <x v="0"/>
    <n v="36.1"/>
    <n v="36.1"/>
    <x v="70"/>
    <x v="64"/>
    <x v="2"/>
    <x v="0"/>
    <x v="2"/>
    <x v="0"/>
    <x v="34"/>
    <x v="3"/>
    <x v="10"/>
    <x v="2"/>
    <x v="34"/>
  </r>
  <r>
    <x v="1933"/>
    <x v="14"/>
    <x v="0"/>
    <n v="18.7"/>
    <n v="18.7"/>
    <x v="70"/>
    <x v="64"/>
    <x v="1"/>
    <x v="0"/>
    <x v="0"/>
    <x v="0"/>
    <x v="3"/>
    <x v="3"/>
    <x v="10"/>
    <x v="1"/>
    <x v="3"/>
  </r>
  <r>
    <x v="1934"/>
    <x v="17"/>
    <x v="0"/>
    <n v="30.1"/>
    <n v="30.1"/>
    <x v="70"/>
    <x v="72"/>
    <x v="2"/>
    <x v="3"/>
    <x v="1"/>
    <x v="0"/>
    <x v="3"/>
    <x v="2"/>
    <x v="10"/>
    <x v="2"/>
    <x v="3"/>
  </r>
  <r>
    <x v="1935"/>
    <x v="8"/>
    <x v="0"/>
    <n v="16.3"/>
    <n v="16.3"/>
    <x v="70"/>
    <x v="64"/>
    <x v="1"/>
    <x v="3"/>
    <x v="0"/>
    <x v="0"/>
    <x v="3"/>
    <x v="3"/>
    <x v="10"/>
    <x v="1"/>
    <x v="3"/>
  </r>
  <r>
    <x v="1936"/>
    <x v="1"/>
    <x v="2"/>
    <n v="63.8"/>
    <n v="191.39999999999998"/>
    <x v="70"/>
    <x v="76"/>
    <x v="2"/>
    <x v="2"/>
    <x v="1"/>
    <x v="0"/>
    <x v="3"/>
    <x v="0"/>
    <x v="10"/>
    <x v="2"/>
    <x v="3"/>
  </r>
  <r>
    <x v="1937"/>
    <x v="1"/>
    <x v="3"/>
    <n v="73.900000000000006"/>
    <n v="517.30000000000007"/>
    <x v="70"/>
    <x v="74"/>
    <x v="2"/>
    <x v="0"/>
    <x v="1"/>
    <x v="0"/>
    <x v="3"/>
    <x v="7"/>
    <x v="10"/>
    <x v="2"/>
    <x v="3"/>
  </r>
  <r>
    <x v="1938"/>
    <x v="0"/>
    <x v="1"/>
    <n v="20.2"/>
    <n v="40.4"/>
    <x v="70"/>
    <x v="64"/>
    <x v="1"/>
    <x v="0"/>
    <x v="1"/>
    <x v="0"/>
    <x v="3"/>
    <x v="3"/>
    <x v="10"/>
    <x v="1"/>
    <x v="3"/>
  </r>
  <r>
    <x v="1939"/>
    <x v="11"/>
    <x v="5"/>
    <n v="29.5"/>
    <n v="324.5"/>
    <x v="70"/>
    <x v="64"/>
    <x v="1"/>
    <x v="0"/>
    <x v="0"/>
    <x v="0"/>
    <x v="3"/>
    <x v="3"/>
    <x v="10"/>
    <x v="1"/>
    <x v="3"/>
  </r>
  <r>
    <x v="1940"/>
    <x v="15"/>
    <x v="3"/>
    <n v="37.9"/>
    <n v="265.3"/>
    <x v="70"/>
    <x v="64"/>
    <x v="1"/>
    <x v="1"/>
    <x v="0"/>
    <x v="0"/>
    <x v="3"/>
    <x v="3"/>
    <x v="10"/>
    <x v="1"/>
    <x v="3"/>
  </r>
  <r>
    <x v="1941"/>
    <x v="2"/>
    <x v="0"/>
    <n v="56.5"/>
    <n v="56.5"/>
    <x v="70"/>
    <x v="64"/>
    <x v="2"/>
    <x v="2"/>
    <x v="1"/>
    <x v="0"/>
    <x v="3"/>
    <x v="3"/>
    <x v="10"/>
    <x v="2"/>
    <x v="3"/>
  </r>
  <r>
    <x v="1942"/>
    <x v="2"/>
    <x v="1"/>
    <n v="66.900000000000006"/>
    <n v="133.80000000000001"/>
    <x v="70"/>
    <x v="73"/>
    <x v="1"/>
    <x v="1"/>
    <x v="4"/>
    <x v="0"/>
    <x v="25"/>
    <x v="4"/>
    <x v="10"/>
    <x v="1"/>
    <x v="25"/>
  </r>
  <r>
    <x v="1943"/>
    <x v="2"/>
    <x v="9"/>
    <n v="51.9"/>
    <n v="259.5"/>
    <x v="70"/>
    <x v="72"/>
    <x v="1"/>
    <x v="1"/>
    <x v="0"/>
    <x v="0"/>
    <x v="7"/>
    <x v="2"/>
    <x v="10"/>
    <x v="1"/>
    <x v="7"/>
  </r>
  <r>
    <x v="1944"/>
    <x v="2"/>
    <x v="1"/>
    <n v="75.599999999999994"/>
    <n v="151.19999999999999"/>
    <x v="70"/>
    <x v="72"/>
    <x v="1"/>
    <x v="1"/>
    <x v="0"/>
    <x v="0"/>
    <x v="8"/>
    <x v="2"/>
    <x v="10"/>
    <x v="1"/>
    <x v="8"/>
  </r>
  <r>
    <x v="1945"/>
    <x v="12"/>
    <x v="13"/>
    <n v="47.3"/>
    <n v="283.79999999999995"/>
    <x v="70"/>
    <x v="79"/>
    <x v="1"/>
    <x v="0"/>
    <x v="0"/>
    <x v="0"/>
    <x v="8"/>
    <x v="11"/>
    <x v="10"/>
    <x v="1"/>
    <x v="8"/>
  </r>
  <r>
    <x v="1946"/>
    <x v="4"/>
    <x v="0"/>
    <n v="20.6"/>
    <n v="20.6"/>
    <x v="70"/>
    <x v="64"/>
    <x v="0"/>
    <x v="0"/>
    <x v="1"/>
    <x v="0"/>
    <x v="8"/>
    <x v="3"/>
    <x v="10"/>
    <x v="0"/>
    <x v="8"/>
  </r>
  <r>
    <x v="1947"/>
    <x v="6"/>
    <x v="2"/>
    <n v="49.7"/>
    <n v="149.10000000000002"/>
    <x v="70"/>
    <x v="67"/>
    <x v="1"/>
    <x v="0"/>
    <x v="1"/>
    <x v="0"/>
    <x v="8"/>
    <x v="1"/>
    <x v="10"/>
    <x v="1"/>
    <x v="8"/>
  </r>
  <r>
    <x v="1948"/>
    <x v="3"/>
    <x v="0"/>
    <n v="37.9"/>
    <n v="37.9"/>
    <x v="70"/>
    <x v="67"/>
    <x v="2"/>
    <x v="0"/>
    <x v="0"/>
    <x v="0"/>
    <x v="8"/>
    <x v="1"/>
    <x v="10"/>
    <x v="2"/>
    <x v="8"/>
  </r>
  <r>
    <x v="1949"/>
    <x v="13"/>
    <x v="20"/>
    <n v="32"/>
    <n v="480"/>
    <x v="70"/>
    <x v="67"/>
    <x v="2"/>
    <x v="4"/>
    <x v="0"/>
    <x v="0"/>
    <x v="11"/>
    <x v="1"/>
    <x v="10"/>
    <x v="2"/>
    <x v="11"/>
  </r>
  <r>
    <x v="1950"/>
    <x v="10"/>
    <x v="16"/>
    <n v="38.5"/>
    <n v="693"/>
    <x v="71"/>
    <x v="67"/>
    <x v="1"/>
    <x v="0"/>
    <x v="2"/>
    <x v="0"/>
    <x v="11"/>
    <x v="3"/>
    <x v="10"/>
    <x v="1"/>
    <x v="11"/>
  </r>
  <r>
    <x v="1951"/>
    <x v="0"/>
    <x v="12"/>
    <n v="11.7"/>
    <n v="46.8"/>
    <x v="71"/>
    <x v="72"/>
    <x v="2"/>
    <x v="1"/>
    <x v="0"/>
    <x v="0"/>
    <x v="20"/>
    <x v="1"/>
    <x v="10"/>
    <x v="2"/>
    <x v="20"/>
  </r>
  <r>
    <x v="1952"/>
    <x v="3"/>
    <x v="13"/>
    <n v="83.8"/>
    <n v="502.79999999999995"/>
    <x v="71"/>
    <x v="67"/>
    <x v="1"/>
    <x v="0"/>
    <x v="0"/>
    <x v="0"/>
    <x v="21"/>
    <x v="3"/>
    <x v="10"/>
    <x v="1"/>
    <x v="21"/>
  </r>
  <r>
    <x v="1953"/>
    <x v="0"/>
    <x v="3"/>
    <n v="14"/>
    <n v="98"/>
    <x v="71"/>
    <x v="69"/>
    <x v="1"/>
    <x v="0"/>
    <x v="1"/>
    <x v="0"/>
    <x v="22"/>
    <x v="2"/>
    <x v="10"/>
    <x v="1"/>
    <x v="22"/>
  </r>
  <r>
    <x v="1954"/>
    <x v="16"/>
    <x v="12"/>
    <n v="77.3"/>
    <n v="309.2"/>
    <x v="71"/>
    <x v="72"/>
    <x v="2"/>
    <x v="4"/>
    <x v="2"/>
    <x v="0"/>
    <x v="3"/>
    <x v="1"/>
    <x v="10"/>
    <x v="2"/>
    <x v="3"/>
  </r>
  <r>
    <x v="1955"/>
    <x v="2"/>
    <x v="1"/>
    <n v="76.900000000000006"/>
    <n v="153.80000000000001"/>
    <x v="71"/>
    <x v="76"/>
    <x v="2"/>
    <x v="0"/>
    <x v="1"/>
    <x v="0"/>
    <x v="3"/>
    <x v="5"/>
    <x v="10"/>
    <x v="2"/>
    <x v="3"/>
  </r>
  <r>
    <x v="1956"/>
    <x v="1"/>
    <x v="0"/>
    <n v="48"/>
    <n v="48"/>
    <x v="71"/>
    <x v="72"/>
    <x v="2"/>
    <x v="1"/>
    <x v="2"/>
    <x v="0"/>
    <x v="3"/>
    <x v="1"/>
    <x v="10"/>
    <x v="2"/>
    <x v="3"/>
  </r>
  <r>
    <x v="1957"/>
    <x v="2"/>
    <x v="0"/>
    <n v="94.5"/>
    <n v="94.5"/>
    <x v="71"/>
    <x v="69"/>
    <x v="1"/>
    <x v="1"/>
    <x v="1"/>
    <x v="0"/>
    <x v="3"/>
    <x v="2"/>
    <x v="10"/>
    <x v="1"/>
    <x v="3"/>
  </r>
  <r>
    <x v="1958"/>
    <x v="10"/>
    <x v="2"/>
    <n v="58.4"/>
    <n v="175.2"/>
    <x v="71"/>
    <x v="72"/>
    <x v="2"/>
    <x v="1"/>
    <x v="2"/>
    <x v="0"/>
    <x v="3"/>
    <x v="1"/>
    <x v="10"/>
    <x v="2"/>
    <x v="3"/>
  </r>
  <r>
    <x v="1959"/>
    <x v="7"/>
    <x v="15"/>
    <n v="42.2"/>
    <n v="548.6"/>
    <x v="71"/>
    <x v="64"/>
    <x v="1"/>
    <x v="0"/>
    <x v="0"/>
    <x v="0"/>
    <x v="25"/>
    <x v="7"/>
    <x v="10"/>
    <x v="1"/>
    <x v="25"/>
  </r>
  <r>
    <x v="1960"/>
    <x v="6"/>
    <x v="1"/>
    <n v="152.19999999999999"/>
    <n v="304.39999999999998"/>
    <x v="71"/>
    <x v="67"/>
    <x v="1"/>
    <x v="4"/>
    <x v="1"/>
    <x v="0"/>
    <x v="25"/>
    <x v="3"/>
    <x v="10"/>
    <x v="1"/>
    <x v="25"/>
  </r>
  <r>
    <x v="1961"/>
    <x v="6"/>
    <x v="25"/>
    <n v="72"/>
    <n v="1728"/>
    <x v="71"/>
    <x v="67"/>
    <x v="1"/>
    <x v="0"/>
    <x v="1"/>
    <x v="0"/>
    <x v="6"/>
    <x v="3"/>
    <x v="10"/>
    <x v="1"/>
    <x v="6"/>
  </r>
  <r>
    <x v="1962"/>
    <x v="1"/>
    <x v="44"/>
    <n v="70.900000000000006"/>
    <n v="1630.7"/>
    <x v="71"/>
    <x v="67"/>
    <x v="2"/>
    <x v="2"/>
    <x v="0"/>
    <x v="0"/>
    <x v="8"/>
    <x v="3"/>
    <x v="10"/>
    <x v="2"/>
    <x v="8"/>
  </r>
  <r>
    <x v="1963"/>
    <x v="2"/>
    <x v="1"/>
    <n v="53.7"/>
    <n v="107.4"/>
    <x v="71"/>
    <x v="67"/>
    <x v="1"/>
    <x v="2"/>
    <x v="2"/>
    <x v="0"/>
    <x v="8"/>
    <x v="3"/>
    <x v="10"/>
    <x v="1"/>
    <x v="8"/>
  </r>
  <r>
    <x v="1964"/>
    <x v="9"/>
    <x v="12"/>
    <n v="42.9"/>
    <n v="171.6"/>
    <x v="71"/>
    <x v="67"/>
    <x v="2"/>
    <x v="2"/>
    <x v="4"/>
    <x v="0"/>
    <x v="9"/>
    <x v="3"/>
    <x v="10"/>
    <x v="2"/>
    <x v="9"/>
  </r>
  <r>
    <x v="1965"/>
    <x v="2"/>
    <x v="3"/>
    <n v="107.5"/>
    <n v="752.5"/>
    <x v="71"/>
    <x v="67"/>
    <x v="1"/>
    <x v="1"/>
    <x v="0"/>
    <x v="0"/>
    <x v="11"/>
    <x v="3"/>
    <x v="10"/>
    <x v="1"/>
    <x v="11"/>
  </r>
  <r>
    <x v="1966"/>
    <x v="17"/>
    <x v="27"/>
    <n v="21.5"/>
    <n v="344"/>
    <x v="71"/>
    <x v="67"/>
    <x v="1"/>
    <x v="1"/>
    <x v="1"/>
    <x v="0"/>
    <x v="32"/>
    <x v="3"/>
    <x v="10"/>
    <x v="1"/>
    <x v="32"/>
  </r>
  <r>
    <x v="1967"/>
    <x v="3"/>
    <x v="9"/>
    <n v="85.3"/>
    <n v="426.5"/>
    <x v="71"/>
    <x v="72"/>
    <x v="2"/>
    <x v="3"/>
    <x v="0"/>
    <x v="0"/>
    <x v="18"/>
    <x v="1"/>
    <x v="10"/>
    <x v="2"/>
    <x v="18"/>
  </r>
  <r>
    <x v="1968"/>
    <x v="7"/>
    <x v="9"/>
    <n v="80.8"/>
    <n v="404"/>
    <x v="71"/>
    <x v="75"/>
    <x v="3"/>
    <x v="1"/>
    <x v="1"/>
    <x v="0"/>
    <x v="19"/>
    <x v="9"/>
    <x v="10"/>
    <x v="3"/>
    <x v="19"/>
  </r>
  <r>
    <x v="1969"/>
    <x v="2"/>
    <x v="2"/>
    <n v="123.1"/>
    <n v="369.29999999999995"/>
    <x v="71"/>
    <x v="72"/>
    <x v="0"/>
    <x v="2"/>
    <x v="0"/>
    <x v="0"/>
    <x v="21"/>
    <x v="1"/>
    <x v="10"/>
    <x v="0"/>
    <x v="21"/>
  </r>
  <r>
    <x v="1970"/>
    <x v="8"/>
    <x v="1"/>
    <n v="36.9"/>
    <n v="73.8"/>
    <x v="71"/>
    <x v="72"/>
    <x v="2"/>
    <x v="2"/>
    <x v="4"/>
    <x v="0"/>
    <x v="51"/>
    <x v="1"/>
    <x v="10"/>
    <x v="2"/>
    <x v="51"/>
  </r>
  <r>
    <x v="1971"/>
    <x v="11"/>
    <x v="9"/>
    <n v="40"/>
    <n v="200"/>
    <x v="71"/>
    <x v="67"/>
    <x v="1"/>
    <x v="0"/>
    <x v="0"/>
    <x v="0"/>
    <x v="1"/>
    <x v="3"/>
    <x v="10"/>
    <x v="1"/>
    <x v="1"/>
  </r>
  <r>
    <x v="1972"/>
    <x v="6"/>
    <x v="2"/>
    <n v="55.5"/>
    <n v="166.5"/>
    <x v="71"/>
    <x v="67"/>
    <x v="1"/>
    <x v="4"/>
    <x v="2"/>
    <x v="0"/>
    <x v="1"/>
    <x v="3"/>
    <x v="10"/>
    <x v="1"/>
    <x v="1"/>
  </r>
  <r>
    <x v="1973"/>
    <x v="0"/>
    <x v="12"/>
    <n v="20.5"/>
    <n v="82"/>
    <x v="71"/>
    <x v="76"/>
    <x v="2"/>
    <x v="4"/>
    <x v="0"/>
    <x v="0"/>
    <x v="1"/>
    <x v="5"/>
    <x v="10"/>
    <x v="2"/>
    <x v="1"/>
  </r>
  <r>
    <x v="1974"/>
    <x v="18"/>
    <x v="12"/>
    <n v="50.1"/>
    <n v="200.4"/>
    <x v="71"/>
    <x v="67"/>
    <x v="2"/>
    <x v="4"/>
    <x v="0"/>
    <x v="0"/>
    <x v="1"/>
    <x v="3"/>
    <x v="10"/>
    <x v="2"/>
    <x v="1"/>
  </r>
  <r>
    <x v="1975"/>
    <x v="9"/>
    <x v="0"/>
    <n v="35.9"/>
    <n v="35.9"/>
    <x v="71"/>
    <x v="72"/>
    <x v="1"/>
    <x v="1"/>
    <x v="2"/>
    <x v="0"/>
    <x v="1"/>
    <x v="1"/>
    <x v="10"/>
    <x v="1"/>
    <x v="1"/>
  </r>
  <r>
    <x v="1976"/>
    <x v="13"/>
    <x v="12"/>
    <n v="29.4"/>
    <n v="117.6"/>
    <x v="72"/>
    <x v="72"/>
    <x v="1"/>
    <x v="2"/>
    <x v="2"/>
    <x v="0"/>
    <x v="33"/>
    <x v="3"/>
    <x v="10"/>
    <x v="1"/>
    <x v="33"/>
  </r>
  <r>
    <x v="1977"/>
    <x v="8"/>
    <x v="9"/>
    <n v="29.1"/>
    <n v="145.5"/>
    <x v="72"/>
    <x v="80"/>
    <x v="3"/>
    <x v="2"/>
    <x v="1"/>
    <x v="0"/>
    <x v="33"/>
    <x v="9"/>
    <x v="10"/>
    <x v="3"/>
    <x v="33"/>
  </r>
  <r>
    <x v="1978"/>
    <x v="8"/>
    <x v="2"/>
    <n v="33.5"/>
    <n v="100.5"/>
    <x v="72"/>
    <x v="81"/>
    <x v="1"/>
    <x v="0"/>
    <x v="2"/>
    <x v="0"/>
    <x v="22"/>
    <x v="13"/>
    <x v="10"/>
    <x v="1"/>
    <x v="22"/>
  </r>
  <r>
    <x v="1979"/>
    <x v="4"/>
    <x v="7"/>
    <n v="36"/>
    <n v="360"/>
    <x v="72"/>
    <x v="67"/>
    <x v="1"/>
    <x v="3"/>
    <x v="2"/>
    <x v="0"/>
    <x v="3"/>
    <x v="7"/>
    <x v="10"/>
    <x v="1"/>
    <x v="3"/>
  </r>
  <r>
    <x v="1980"/>
    <x v="16"/>
    <x v="2"/>
    <n v="57.3"/>
    <n v="171.89999999999998"/>
    <x v="72"/>
    <x v="73"/>
    <x v="2"/>
    <x v="0"/>
    <x v="2"/>
    <x v="0"/>
    <x v="3"/>
    <x v="5"/>
    <x v="10"/>
    <x v="2"/>
    <x v="3"/>
  </r>
  <r>
    <x v="1981"/>
    <x v="1"/>
    <x v="0"/>
    <n v="81.400000000000006"/>
    <n v="81.400000000000006"/>
    <x v="72"/>
    <x v="72"/>
    <x v="2"/>
    <x v="2"/>
    <x v="2"/>
    <x v="0"/>
    <x v="3"/>
    <x v="3"/>
    <x v="10"/>
    <x v="2"/>
    <x v="3"/>
  </r>
  <r>
    <x v="1982"/>
    <x v="10"/>
    <x v="1"/>
    <n v="35.299999999999997"/>
    <n v="70.599999999999994"/>
    <x v="72"/>
    <x v="73"/>
    <x v="1"/>
    <x v="0"/>
    <x v="2"/>
    <x v="0"/>
    <x v="3"/>
    <x v="5"/>
    <x v="10"/>
    <x v="1"/>
    <x v="3"/>
  </r>
  <r>
    <x v="1983"/>
    <x v="3"/>
    <x v="0"/>
    <n v="36.1"/>
    <n v="36.1"/>
    <x v="72"/>
    <x v="72"/>
    <x v="2"/>
    <x v="4"/>
    <x v="0"/>
    <x v="0"/>
    <x v="3"/>
    <x v="3"/>
    <x v="10"/>
    <x v="2"/>
    <x v="3"/>
  </r>
  <r>
    <x v="1984"/>
    <x v="1"/>
    <x v="1"/>
    <n v="36.700000000000003"/>
    <n v="73.400000000000006"/>
    <x v="72"/>
    <x v="69"/>
    <x v="2"/>
    <x v="0"/>
    <x v="2"/>
    <x v="0"/>
    <x v="3"/>
    <x v="1"/>
    <x v="10"/>
    <x v="2"/>
    <x v="3"/>
  </r>
  <r>
    <x v="1985"/>
    <x v="10"/>
    <x v="0"/>
    <n v="20.9"/>
    <n v="20.9"/>
    <x v="72"/>
    <x v="69"/>
    <x v="2"/>
    <x v="0"/>
    <x v="4"/>
    <x v="0"/>
    <x v="3"/>
    <x v="1"/>
    <x v="10"/>
    <x v="2"/>
    <x v="3"/>
  </r>
  <r>
    <x v="1986"/>
    <x v="12"/>
    <x v="2"/>
    <n v="58.8"/>
    <n v="176.39999999999998"/>
    <x v="72"/>
    <x v="73"/>
    <x v="1"/>
    <x v="0"/>
    <x v="2"/>
    <x v="0"/>
    <x v="25"/>
    <x v="5"/>
    <x v="10"/>
    <x v="1"/>
    <x v="25"/>
  </r>
  <r>
    <x v="1987"/>
    <x v="2"/>
    <x v="2"/>
    <n v="97.6"/>
    <n v="292.79999999999995"/>
    <x v="73"/>
    <x v="76"/>
    <x v="0"/>
    <x v="0"/>
    <x v="0"/>
    <x v="0"/>
    <x v="6"/>
    <x v="1"/>
    <x v="10"/>
    <x v="0"/>
    <x v="6"/>
  </r>
  <r>
    <x v="1988"/>
    <x v="1"/>
    <x v="1"/>
    <n v="58.7"/>
    <n v="117.4"/>
    <x v="73"/>
    <x v="73"/>
    <x v="2"/>
    <x v="0"/>
    <x v="1"/>
    <x v="0"/>
    <x v="6"/>
    <x v="2"/>
    <x v="10"/>
    <x v="2"/>
    <x v="6"/>
  </r>
  <r>
    <x v="1989"/>
    <x v="6"/>
    <x v="9"/>
    <n v="71.900000000000006"/>
    <n v="359.5"/>
    <x v="73"/>
    <x v="69"/>
    <x v="0"/>
    <x v="0"/>
    <x v="1"/>
    <x v="0"/>
    <x v="6"/>
    <x v="3"/>
    <x v="10"/>
    <x v="0"/>
    <x v="6"/>
  </r>
  <r>
    <x v="1990"/>
    <x v="1"/>
    <x v="1"/>
    <n v="62.4"/>
    <n v="124.8"/>
    <x v="73"/>
    <x v="76"/>
    <x v="0"/>
    <x v="0"/>
    <x v="1"/>
    <x v="0"/>
    <x v="8"/>
    <x v="1"/>
    <x v="10"/>
    <x v="0"/>
    <x v="8"/>
  </r>
  <r>
    <x v="1991"/>
    <x v="6"/>
    <x v="27"/>
    <n v="53.8"/>
    <n v="860.8"/>
    <x v="73"/>
    <x v="69"/>
    <x v="2"/>
    <x v="1"/>
    <x v="0"/>
    <x v="0"/>
    <x v="8"/>
    <x v="3"/>
    <x v="10"/>
    <x v="2"/>
    <x v="8"/>
  </r>
  <r>
    <x v="1992"/>
    <x v="9"/>
    <x v="0"/>
    <n v="43.8"/>
    <n v="43.8"/>
    <x v="73"/>
    <x v="80"/>
    <x v="2"/>
    <x v="0"/>
    <x v="2"/>
    <x v="0"/>
    <x v="8"/>
    <x v="6"/>
    <x v="10"/>
    <x v="2"/>
    <x v="8"/>
  </r>
  <r>
    <x v="1993"/>
    <x v="5"/>
    <x v="2"/>
    <n v="53.6"/>
    <n v="160.80000000000001"/>
    <x v="73"/>
    <x v="69"/>
    <x v="1"/>
    <x v="3"/>
    <x v="0"/>
    <x v="0"/>
    <x v="8"/>
    <x v="3"/>
    <x v="10"/>
    <x v="1"/>
    <x v="8"/>
  </r>
  <r>
    <x v="1994"/>
    <x v="12"/>
    <x v="1"/>
    <n v="84.3"/>
    <n v="168.6"/>
    <x v="73"/>
    <x v="73"/>
    <x v="1"/>
    <x v="4"/>
    <x v="1"/>
    <x v="0"/>
    <x v="8"/>
    <x v="2"/>
    <x v="10"/>
    <x v="1"/>
    <x v="8"/>
  </r>
  <r>
    <x v="1995"/>
    <x v="6"/>
    <x v="11"/>
    <n v="117.9"/>
    <n v="1061.1000000000001"/>
    <x v="73"/>
    <x v="69"/>
    <x v="2"/>
    <x v="1"/>
    <x v="2"/>
    <x v="0"/>
    <x v="8"/>
    <x v="3"/>
    <x v="10"/>
    <x v="2"/>
    <x v="8"/>
  </r>
  <r>
    <x v="1996"/>
    <x v="4"/>
    <x v="8"/>
    <n v="30"/>
    <n v="240"/>
    <x v="73"/>
    <x v="69"/>
    <x v="2"/>
    <x v="1"/>
    <x v="0"/>
    <x v="0"/>
    <x v="26"/>
    <x v="3"/>
    <x v="10"/>
    <x v="2"/>
    <x v="26"/>
  </r>
  <r>
    <x v="1997"/>
    <x v="14"/>
    <x v="2"/>
    <n v="37.299999999999997"/>
    <n v="111.89999999999999"/>
    <x v="73"/>
    <x v="69"/>
    <x v="1"/>
    <x v="2"/>
    <x v="0"/>
    <x v="0"/>
    <x v="9"/>
    <x v="3"/>
    <x v="10"/>
    <x v="1"/>
    <x v="9"/>
  </r>
  <r>
    <x v="1998"/>
    <x v="4"/>
    <x v="11"/>
    <n v="25.1"/>
    <n v="225.9"/>
    <x v="73"/>
    <x v="76"/>
    <x v="1"/>
    <x v="1"/>
    <x v="2"/>
    <x v="0"/>
    <x v="11"/>
    <x v="1"/>
    <x v="10"/>
    <x v="1"/>
    <x v="11"/>
  </r>
  <r>
    <x v="1999"/>
    <x v="8"/>
    <x v="5"/>
    <n v="36"/>
    <n v="396"/>
    <x v="73"/>
    <x v="82"/>
    <x v="1"/>
    <x v="1"/>
    <x v="0"/>
    <x v="0"/>
    <x v="18"/>
    <x v="14"/>
    <x v="10"/>
    <x v="1"/>
    <x v="18"/>
  </r>
  <r>
    <x v="2000"/>
    <x v="16"/>
    <x v="2"/>
    <n v="48.5"/>
    <n v="145.5"/>
    <x v="73"/>
    <x v="83"/>
    <x v="2"/>
    <x v="1"/>
    <x v="0"/>
    <x v="0"/>
    <x v="19"/>
    <x v="5"/>
    <x v="10"/>
    <x v="2"/>
    <x v="19"/>
  </r>
  <r>
    <x v="2001"/>
    <x v="17"/>
    <x v="13"/>
    <n v="21.1"/>
    <n v="126.60000000000001"/>
    <x v="73"/>
    <x v="69"/>
    <x v="1"/>
    <x v="1"/>
    <x v="2"/>
    <x v="0"/>
    <x v="21"/>
    <x v="3"/>
    <x v="10"/>
    <x v="1"/>
    <x v="21"/>
  </r>
  <r>
    <x v="2002"/>
    <x v="15"/>
    <x v="21"/>
    <n v="43.2"/>
    <n v="604.80000000000007"/>
    <x v="73"/>
    <x v="69"/>
    <x v="3"/>
    <x v="0"/>
    <x v="1"/>
    <x v="0"/>
    <x v="21"/>
    <x v="3"/>
    <x v="10"/>
    <x v="3"/>
    <x v="21"/>
  </r>
  <r>
    <x v="2003"/>
    <x v="9"/>
    <x v="1"/>
    <n v="21.1"/>
    <n v="42.2"/>
    <x v="73"/>
    <x v="69"/>
    <x v="0"/>
    <x v="3"/>
    <x v="1"/>
    <x v="0"/>
    <x v="21"/>
    <x v="3"/>
    <x v="10"/>
    <x v="0"/>
    <x v="21"/>
  </r>
  <r>
    <x v="2004"/>
    <x v="6"/>
    <x v="12"/>
    <n v="41.3"/>
    <n v="165.2"/>
    <x v="73"/>
    <x v="76"/>
    <x v="2"/>
    <x v="3"/>
    <x v="2"/>
    <x v="0"/>
    <x v="1"/>
    <x v="1"/>
    <x v="10"/>
    <x v="2"/>
    <x v="1"/>
  </r>
  <r>
    <x v="2005"/>
    <x v="8"/>
    <x v="1"/>
    <n v="15.3"/>
    <n v="30.6"/>
    <x v="73"/>
    <x v="73"/>
    <x v="0"/>
    <x v="2"/>
    <x v="2"/>
    <x v="0"/>
    <x v="1"/>
    <x v="2"/>
    <x v="10"/>
    <x v="0"/>
    <x v="1"/>
  </r>
  <r>
    <x v="2006"/>
    <x v="1"/>
    <x v="0"/>
    <n v="54.6"/>
    <n v="54.6"/>
    <x v="73"/>
    <x v="76"/>
    <x v="1"/>
    <x v="1"/>
    <x v="1"/>
    <x v="0"/>
    <x v="2"/>
    <x v="1"/>
    <x v="10"/>
    <x v="1"/>
    <x v="2"/>
  </r>
  <r>
    <x v="2007"/>
    <x v="8"/>
    <x v="0"/>
    <n v="15.9"/>
    <n v="15.9"/>
    <x v="73"/>
    <x v="69"/>
    <x v="1"/>
    <x v="0"/>
    <x v="1"/>
    <x v="0"/>
    <x v="22"/>
    <x v="3"/>
    <x v="10"/>
    <x v="1"/>
    <x v="22"/>
  </r>
  <r>
    <x v="2008"/>
    <x v="9"/>
    <x v="0"/>
    <n v="50.2"/>
    <n v="50.2"/>
    <x v="73"/>
    <x v="76"/>
    <x v="2"/>
    <x v="3"/>
    <x v="2"/>
    <x v="0"/>
    <x v="34"/>
    <x v="1"/>
    <x v="10"/>
    <x v="2"/>
    <x v="34"/>
  </r>
  <r>
    <x v="2009"/>
    <x v="11"/>
    <x v="12"/>
    <n v="85.1"/>
    <n v="340.4"/>
    <x v="73"/>
    <x v="69"/>
    <x v="2"/>
    <x v="3"/>
    <x v="4"/>
    <x v="0"/>
    <x v="34"/>
    <x v="3"/>
    <x v="10"/>
    <x v="2"/>
    <x v="34"/>
  </r>
  <r>
    <x v="2010"/>
    <x v="11"/>
    <x v="1"/>
    <n v="41.4"/>
    <n v="82.8"/>
    <x v="73"/>
    <x v="69"/>
    <x v="2"/>
    <x v="0"/>
    <x v="2"/>
    <x v="0"/>
    <x v="3"/>
    <x v="3"/>
    <x v="10"/>
    <x v="2"/>
    <x v="3"/>
  </r>
  <r>
    <x v="2011"/>
    <x v="4"/>
    <x v="3"/>
    <n v="32.700000000000003"/>
    <n v="228.90000000000003"/>
    <x v="73"/>
    <x v="69"/>
    <x v="2"/>
    <x v="2"/>
    <x v="1"/>
    <x v="0"/>
    <x v="3"/>
    <x v="3"/>
    <x v="10"/>
    <x v="2"/>
    <x v="3"/>
  </r>
  <r>
    <x v="2012"/>
    <x v="4"/>
    <x v="1"/>
    <n v="41.6"/>
    <n v="83.2"/>
    <x v="73"/>
    <x v="76"/>
    <x v="1"/>
    <x v="4"/>
    <x v="1"/>
    <x v="0"/>
    <x v="3"/>
    <x v="1"/>
    <x v="10"/>
    <x v="1"/>
    <x v="3"/>
  </r>
  <r>
    <x v="2013"/>
    <x v="5"/>
    <x v="12"/>
    <n v="64.8"/>
    <n v="259.2"/>
    <x v="73"/>
    <x v="69"/>
    <x v="0"/>
    <x v="2"/>
    <x v="0"/>
    <x v="0"/>
    <x v="3"/>
    <x v="3"/>
    <x v="10"/>
    <x v="0"/>
    <x v="3"/>
  </r>
  <r>
    <x v="2014"/>
    <x v="15"/>
    <x v="1"/>
    <n v="33.6"/>
    <n v="67.2"/>
    <x v="73"/>
    <x v="69"/>
    <x v="1"/>
    <x v="0"/>
    <x v="2"/>
    <x v="0"/>
    <x v="3"/>
    <x v="3"/>
    <x v="10"/>
    <x v="1"/>
    <x v="3"/>
  </r>
  <r>
    <x v="2015"/>
    <x v="6"/>
    <x v="2"/>
    <n v="100.7"/>
    <n v="302.10000000000002"/>
    <x v="73"/>
    <x v="69"/>
    <x v="0"/>
    <x v="1"/>
    <x v="0"/>
    <x v="0"/>
    <x v="3"/>
    <x v="3"/>
    <x v="10"/>
    <x v="0"/>
    <x v="3"/>
  </r>
  <r>
    <x v="2016"/>
    <x v="4"/>
    <x v="1"/>
    <n v="49.3"/>
    <n v="98.6"/>
    <x v="74"/>
    <x v="73"/>
    <x v="2"/>
    <x v="4"/>
    <x v="2"/>
    <x v="0"/>
    <x v="3"/>
    <x v="1"/>
    <x v="11"/>
    <x v="2"/>
    <x v="3"/>
  </r>
  <r>
    <x v="2017"/>
    <x v="2"/>
    <x v="13"/>
    <n v="97"/>
    <n v="582"/>
    <x v="74"/>
    <x v="83"/>
    <x v="1"/>
    <x v="2"/>
    <x v="2"/>
    <x v="0"/>
    <x v="3"/>
    <x v="2"/>
    <x v="11"/>
    <x v="1"/>
    <x v="3"/>
  </r>
  <r>
    <x v="2018"/>
    <x v="0"/>
    <x v="13"/>
    <n v="25.2"/>
    <n v="151.19999999999999"/>
    <x v="74"/>
    <x v="83"/>
    <x v="2"/>
    <x v="4"/>
    <x v="2"/>
    <x v="0"/>
    <x v="3"/>
    <x v="2"/>
    <x v="11"/>
    <x v="2"/>
    <x v="3"/>
  </r>
  <r>
    <x v="2019"/>
    <x v="0"/>
    <x v="5"/>
    <n v="12.2"/>
    <n v="134.19999999999999"/>
    <x v="74"/>
    <x v="76"/>
    <x v="0"/>
    <x v="0"/>
    <x v="1"/>
    <x v="0"/>
    <x v="3"/>
    <x v="3"/>
    <x v="11"/>
    <x v="0"/>
    <x v="3"/>
  </r>
  <r>
    <x v="2020"/>
    <x v="8"/>
    <x v="3"/>
    <n v="38.799999999999997"/>
    <n v="271.59999999999997"/>
    <x v="74"/>
    <x v="73"/>
    <x v="2"/>
    <x v="1"/>
    <x v="1"/>
    <x v="0"/>
    <x v="23"/>
    <x v="1"/>
    <x v="11"/>
    <x v="2"/>
    <x v="23"/>
  </r>
  <r>
    <x v="2021"/>
    <x v="2"/>
    <x v="12"/>
    <n v="53.2"/>
    <n v="212.8"/>
    <x v="74"/>
    <x v="76"/>
    <x v="1"/>
    <x v="0"/>
    <x v="2"/>
    <x v="0"/>
    <x v="8"/>
    <x v="3"/>
    <x v="11"/>
    <x v="1"/>
    <x v="8"/>
  </r>
  <r>
    <x v="2022"/>
    <x v="6"/>
    <x v="3"/>
    <n v="151"/>
    <n v="1057"/>
    <x v="74"/>
    <x v="76"/>
    <x v="3"/>
    <x v="1"/>
    <x v="1"/>
    <x v="0"/>
    <x v="8"/>
    <x v="3"/>
    <x v="11"/>
    <x v="3"/>
    <x v="8"/>
  </r>
  <r>
    <x v="2023"/>
    <x v="1"/>
    <x v="1"/>
    <n v="37.1"/>
    <n v="74.2"/>
    <x v="74"/>
    <x v="76"/>
    <x v="2"/>
    <x v="4"/>
    <x v="0"/>
    <x v="0"/>
    <x v="8"/>
    <x v="3"/>
    <x v="11"/>
    <x v="2"/>
    <x v="8"/>
  </r>
  <r>
    <x v="2024"/>
    <x v="5"/>
    <x v="1"/>
    <n v="38.9"/>
    <n v="77.8"/>
    <x v="74"/>
    <x v="76"/>
    <x v="1"/>
    <x v="4"/>
    <x v="0"/>
    <x v="0"/>
    <x v="8"/>
    <x v="3"/>
    <x v="11"/>
    <x v="1"/>
    <x v="8"/>
  </r>
  <r>
    <x v="2025"/>
    <x v="10"/>
    <x v="1"/>
    <n v="35.200000000000003"/>
    <n v="70.400000000000006"/>
    <x v="74"/>
    <x v="76"/>
    <x v="1"/>
    <x v="0"/>
    <x v="2"/>
    <x v="0"/>
    <x v="17"/>
    <x v="3"/>
    <x v="11"/>
    <x v="1"/>
    <x v="17"/>
  </r>
  <r>
    <x v="2026"/>
    <x v="0"/>
    <x v="1"/>
    <n v="22.3"/>
    <n v="44.6"/>
    <x v="74"/>
    <x v="73"/>
    <x v="2"/>
    <x v="1"/>
    <x v="0"/>
    <x v="0"/>
    <x v="9"/>
    <x v="1"/>
    <x v="11"/>
    <x v="2"/>
    <x v="9"/>
  </r>
  <r>
    <x v="2027"/>
    <x v="9"/>
    <x v="0"/>
    <n v="43.3"/>
    <n v="43.3"/>
    <x v="74"/>
    <x v="83"/>
    <x v="2"/>
    <x v="0"/>
    <x v="2"/>
    <x v="0"/>
    <x v="11"/>
    <x v="2"/>
    <x v="11"/>
    <x v="2"/>
    <x v="11"/>
  </r>
  <r>
    <x v="2028"/>
    <x v="6"/>
    <x v="13"/>
    <n v="75.900000000000006"/>
    <n v="455.40000000000003"/>
    <x v="74"/>
    <x v="80"/>
    <x v="1"/>
    <x v="0"/>
    <x v="0"/>
    <x v="0"/>
    <x v="11"/>
    <x v="4"/>
    <x v="11"/>
    <x v="1"/>
    <x v="11"/>
  </r>
  <r>
    <x v="2029"/>
    <x v="6"/>
    <x v="2"/>
    <n v="78.7"/>
    <n v="236.10000000000002"/>
    <x v="74"/>
    <x v="78"/>
    <x v="2"/>
    <x v="2"/>
    <x v="1"/>
    <x v="0"/>
    <x v="11"/>
    <x v="5"/>
    <x v="11"/>
    <x v="2"/>
    <x v="11"/>
  </r>
  <r>
    <x v="2030"/>
    <x v="1"/>
    <x v="0"/>
    <n v="66.3"/>
    <n v="66.3"/>
    <x v="74"/>
    <x v="78"/>
    <x v="2"/>
    <x v="0"/>
    <x v="2"/>
    <x v="0"/>
    <x v="19"/>
    <x v="5"/>
    <x v="11"/>
    <x v="2"/>
    <x v="19"/>
  </r>
  <r>
    <x v="2031"/>
    <x v="8"/>
    <x v="1"/>
    <n v="33.6"/>
    <n v="67.2"/>
    <x v="74"/>
    <x v="69"/>
    <x v="1"/>
    <x v="0"/>
    <x v="1"/>
    <x v="0"/>
    <x v="19"/>
    <x v="7"/>
    <x v="11"/>
    <x v="1"/>
    <x v="19"/>
  </r>
  <r>
    <x v="2032"/>
    <x v="2"/>
    <x v="3"/>
    <n v="61.4"/>
    <n v="429.8"/>
    <x v="74"/>
    <x v="76"/>
    <x v="1"/>
    <x v="4"/>
    <x v="0"/>
    <x v="0"/>
    <x v="19"/>
    <x v="3"/>
    <x v="11"/>
    <x v="1"/>
    <x v="19"/>
  </r>
  <r>
    <x v="2033"/>
    <x v="8"/>
    <x v="1"/>
    <n v="17.5"/>
    <n v="35"/>
    <x v="74"/>
    <x v="83"/>
    <x v="2"/>
    <x v="0"/>
    <x v="0"/>
    <x v="0"/>
    <x v="21"/>
    <x v="2"/>
    <x v="11"/>
    <x v="2"/>
    <x v="21"/>
  </r>
  <r>
    <x v="2034"/>
    <x v="8"/>
    <x v="1"/>
    <n v="32.5"/>
    <n v="65"/>
    <x v="74"/>
    <x v="83"/>
    <x v="2"/>
    <x v="1"/>
    <x v="0"/>
    <x v="0"/>
    <x v="21"/>
    <x v="2"/>
    <x v="11"/>
    <x v="2"/>
    <x v="21"/>
  </r>
  <r>
    <x v="2035"/>
    <x v="4"/>
    <x v="0"/>
    <n v="34.6"/>
    <n v="34.6"/>
    <x v="74"/>
    <x v="76"/>
    <x v="2"/>
    <x v="4"/>
    <x v="0"/>
    <x v="0"/>
    <x v="21"/>
    <x v="3"/>
    <x v="11"/>
    <x v="2"/>
    <x v="21"/>
  </r>
  <r>
    <x v="2036"/>
    <x v="2"/>
    <x v="0"/>
    <n v="75.900000000000006"/>
    <n v="75.900000000000006"/>
    <x v="74"/>
    <x v="69"/>
    <x v="1"/>
    <x v="1"/>
    <x v="2"/>
    <x v="0"/>
    <x v="21"/>
    <x v="7"/>
    <x v="11"/>
    <x v="1"/>
    <x v="21"/>
  </r>
  <r>
    <x v="2037"/>
    <x v="1"/>
    <x v="2"/>
    <n v="42.1"/>
    <n v="126.30000000000001"/>
    <x v="74"/>
    <x v="83"/>
    <x v="1"/>
    <x v="1"/>
    <x v="1"/>
    <x v="0"/>
    <x v="21"/>
    <x v="2"/>
    <x v="11"/>
    <x v="1"/>
    <x v="21"/>
  </r>
  <r>
    <x v="2038"/>
    <x v="7"/>
    <x v="2"/>
    <n v="65.3"/>
    <n v="195.89999999999998"/>
    <x v="74"/>
    <x v="79"/>
    <x v="1"/>
    <x v="0"/>
    <x v="0"/>
    <x v="0"/>
    <x v="1"/>
    <x v="6"/>
    <x v="11"/>
    <x v="1"/>
    <x v="1"/>
  </r>
  <r>
    <x v="2039"/>
    <x v="15"/>
    <x v="0"/>
    <n v="20.6"/>
    <n v="20.6"/>
    <x v="74"/>
    <x v="83"/>
    <x v="1"/>
    <x v="3"/>
    <x v="0"/>
    <x v="0"/>
    <x v="42"/>
    <x v="2"/>
    <x v="11"/>
    <x v="1"/>
    <x v="42"/>
  </r>
  <r>
    <x v="2040"/>
    <x v="8"/>
    <x v="3"/>
    <n v="16.5"/>
    <n v="115.5"/>
    <x v="74"/>
    <x v="76"/>
    <x v="1"/>
    <x v="1"/>
    <x v="1"/>
    <x v="0"/>
    <x v="2"/>
    <x v="3"/>
    <x v="11"/>
    <x v="1"/>
    <x v="2"/>
  </r>
  <r>
    <x v="2041"/>
    <x v="16"/>
    <x v="7"/>
    <n v="36.200000000000003"/>
    <n v="362"/>
    <x v="74"/>
    <x v="73"/>
    <x v="1"/>
    <x v="0"/>
    <x v="2"/>
    <x v="0"/>
    <x v="2"/>
    <x v="1"/>
    <x v="11"/>
    <x v="1"/>
    <x v="2"/>
  </r>
  <r>
    <x v="2042"/>
    <x v="6"/>
    <x v="0"/>
    <n v="53.2"/>
    <n v="53.2"/>
    <x v="74"/>
    <x v="76"/>
    <x v="2"/>
    <x v="0"/>
    <x v="1"/>
    <x v="0"/>
    <x v="22"/>
    <x v="3"/>
    <x v="11"/>
    <x v="2"/>
    <x v="22"/>
  </r>
  <r>
    <x v="2043"/>
    <x v="2"/>
    <x v="21"/>
    <n v="176"/>
    <n v="2464"/>
    <x v="74"/>
    <x v="76"/>
    <x v="2"/>
    <x v="0"/>
    <x v="1"/>
    <x v="0"/>
    <x v="3"/>
    <x v="3"/>
    <x v="11"/>
    <x v="2"/>
    <x v="3"/>
  </r>
  <r>
    <x v="2044"/>
    <x v="1"/>
    <x v="0"/>
    <n v="52.4"/>
    <n v="52.4"/>
    <x v="74"/>
    <x v="76"/>
    <x v="1"/>
    <x v="1"/>
    <x v="0"/>
    <x v="0"/>
    <x v="3"/>
    <x v="3"/>
    <x v="11"/>
    <x v="1"/>
    <x v="3"/>
  </r>
  <r>
    <x v="2045"/>
    <x v="10"/>
    <x v="2"/>
    <n v="48.2"/>
    <n v="144.60000000000002"/>
    <x v="74"/>
    <x v="76"/>
    <x v="2"/>
    <x v="1"/>
    <x v="2"/>
    <x v="0"/>
    <x v="3"/>
    <x v="3"/>
    <x v="11"/>
    <x v="2"/>
    <x v="3"/>
  </r>
  <r>
    <x v="2046"/>
    <x v="15"/>
    <x v="0"/>
    <n v="51.6"/>
    <n v="51.6"/>
    <x v="74"/>
    <x v="78"/>
    <x v="2"/>
    <x v="2"/>
    <x v="1"/>
    <x v="0"/>
    <x v="3"/>
    <x v="5"/>
    <x v="11"/>
    <x v="2"/>
    <x v="3"/>
  </r>
  <r>
    <x v="2047"/>
    <x v="0"/>
    <x v="12"/>
    <n v="33.700000000000003"/>
    <n v="134.80000000000001"/>
    <x v="75"/>
    <x v="73"/>
    <x v="1"/>
    <x v="0"/>
    <x v="0"/>
    <x v="0"/>
    <x v="3"/>
    <x v="3"/>
    <x v="11"/>
    <x v="1"/>
    <x v="3"/>
  </r>
  <r>
    <x v="2048"/>
    <x v="4"/>
    <x v="7"/>
    <n v="36.299999999999997"/>
    <n v="363"/>
    <x v="75"/>
    <x v="83"/>
    <x v="2"/>
    <x v="4"/>
    <x v="1"/>
    <x v="0"/>
    <x v="3"/>
    <x v="1"/>
    <x v="11"/>
    <x v="2"/>
    <x v="3"/>
  </r>
  <r>
    <x v="2049"/>
    <x v="8"/>
    <x v="0"/>
    <n v="23.4"/>
    <n v="23.4"/>
    <x v="75"/>
    <x v="80"/>
    <x v="2"/>
    <x v="1"/>
    <x v="2"/>
    <x v="0"/>
    <x v="3"/>
    <x v="0"/>
    <x v="11"/>
    <x v="2"/>
    <x v="3"/>
  </r>
  <r>
    <x v="2050"/>
    <x v="15"/>
    <x v="8"/>
    <n v="56.6"/>
    <n v="452.8"/>
    <x v="75"/>
    <x v="83"/>
    <x v="2"/>
    <x v="1"/>
    <x v="0"/>
    <x v="0"/>
    <x v="3"/>
    <x v="1"/>
    <x v="11"/>
    <x v="2"/>
    <x v="3"/>
  </r>
  <r>
    <x v="2051"/>
    <x v="15"/>
    <x v="1"/>
    <n v="26.8"/>
    <n v="53.6"/>
    <x v="75"/>
    <x v="73"/>
    <x v="1"/>
    <x v="0"/>
    <x v="0"/>
    <x v="0"/>
    <x v="4"/>
    <x v="3"/>
    <x v="11"/>
    <x v="1"/>
    <x v="4"/>
  </r>
  <r>
    <x v="2052"/>
    <x v="0"/>
    <x v="2"/>
    <n v="11.3"/>
    <n v="33.900000000000006"/>
    <x v="75"/>
    <x v="83"/>
    <x v="1"/>
    <x v="2"/>
    <x v="0"/>
    <x v="0"/>
    <x v="25"/>
    <x v="1"/>
    <x v="11"/>
    <x v="1"/>
    <x v="25"/>
  </r>
  <r>
    <x v="2053"/>
    <x v="6"/>
    <x v="2"/>
    <n v="60.1"/>
    <n v="180.3"/>
    <x v="75"/>
    <x v="78"/>
    <x v="2"/>
    <x v="0"/>
    <x v="0"/>
    <x v="0"/>
    <x v="7"/>
    <x v="2"/>
    <x v="11"/>
    <x v="2"/>
    <x v="7"/>
  </r>
  <r>
    <x v="2054"/>
    <x v="0"/>
    <x v="5"/>
    <n v="27.7"/>
    <n v="304.7"/>
    <x v="75"/>
    <x v="80"/>
    <x v="2"/>
    <x v="0"/>
    <x v="0"/>
    <x v="0"/>
    <x v="8"/>
    <x v="0"/>
    <x v="11"/>
    <x v="2"/>
    <x v="8"/>
  </r>
  <r>
    <x v="2055"/>
    <x v="15"/>
    <x v="0"/>
    <n v="71.400000000000006"/>
    <n v="71.400000000000006"/>
    <x v="75"/>
    <x v="78"/>
    <x v="1"/>
    <x v="0"/>
    <x v="2"/>
    <x v="0"/>
    <x v="8"/>
    <x v="2"/>
    <x v="11"/>
    <x v="1"/>
    <x v="8"/>
  </r>
  <r>
    <x v="2056"/>
    <x v="2"/>
    <x v="1"/>
    <n v="66.7"/>
    <n v="133.4"/>
    <x v="75"/>
    <x v="73"/>
    <x v="2"/>
    <x v="0"/>
    <x v="2"/>
    <x v="0"/>
    <x v="8"/>
    <x v="3"/>
    <x v="11"/>
    <x v="2"/>
    <x v="8"/>
  </r>
  <r>
    <x v="2057"/>
    <x v="13"/>
    <x v="9"/>
    <n v="39.1"/>
    <n v="195.5"/>
    <x v="75"/>
    <x v="73"/>
    <x v="2"/>
    <x v="0"/>
    <x v="0"/>
    <x v="0"/>
    <x v="8"/>
    <x v="3"/>
    <x v="11"/>
    <x v="2"/>
    <x v="8"/>
  </r>
  <r>
    <x v="2058"/>
    <x v="8"/>
    <x v="12"/>
    <n v="24.9"/>
    <n v="99.6"/>
    <x v="75"/>
    <x v="80"/>
    <x v="1"/>
    <x v="1"/>
    <x v="2"/>
    <x v="0"/>
    <x v="8"/>
    <x v="0"/>
    <x v="11"/>
    <x v="1"/>
    <x v="8"/>
  </r>
  <r>
    <x v="2059"/>
    <x v="5"/>
    <x v="9"/>
    <n v="29.2"/>
    <n v="146"/>
    <x v="75"/>
    <x v="73"/>
    <x v="1"/>
    <x v="0"/>
    <x v="2"/>
    <x v="0"/>
    <x v="17"/>
    <x v="3"/>
    <x v="11"/>
    <x v="1"/>
    <x v="17"/>
  </r>
  <r>
    <x v="2060"/>
    <x v="13"/>
    <x v="21"/>
    <n v="28.3"/>
    <n v="396.2"/>
    <x v="75"/>
    <x v="83"/>
    <x v="2"/>
    <x v="1"/>
    <x v="0"/>
    <x v="0"/>
    <x v="11"/>
    <x v="1"/>
    <x v="11"/>
    <x v="2"/>
    <x v="11"/>
  </r>
  <r>
    <x v="2061"/>
    <x v="9"/>
    <x v="2"/>
    <n v="37.799999999999997"/>
    <n v="113.39999999999999"/>
    <x v="75"/>
    <x v="73"/>
    <x v="2"/>
    <x v="0"/>
    <x v="1"/>
    <x v="0"/>
    <x v="11"/>
    <x v="3"/>
    <x v="11"/>
    <x v="2"/>
    <x v="11"/>
  </r>
  <r>
    <x v="2062"/>
    <x v="14"/>
    <x v="3"/>
    <n v="28.1"/>
    <n v="196.70000000000002"/>
    <x v="75"/>
    <x v="79"/>
    <x v="2"/>
    <x v="2"/>
    <x v="0"/>
    <x v="0"/>
    <x v="11"/>
    <x v="4"/>
    <x v="11"/>
    <x v="2"/>
    <x v="11"/>
  </r>
  <r>
    <x v="2063"/>
    <x v="1"/>
    <x v="2"/>
    <n v="59.7"/>
    <n v="179.10000000000002"/>
    <x v="75"/>
    <x v="83"/>
    <x v="2"/>
    <x v="2"/>
    <x v="0"/>
    <x v="0"/>
    <x v="11"/>
    <x v="1"/>
    <x v="11"/>
    <x v="2"/>
    <x v="11"/>
  </r>
  <r>
    <x v="2064"/>
    <x v="16"/>
    <x v="0"/>
    <n v="71.900000000000006"/>
    <n v="71.900000000000006"/>
    <x v="75"/>
    <x v="73"/>
    <x v="1"/>
    <x v="1"/>
    <x v="1"/>
    <x v="0"/>
    <x v="11"/>
    <x v="3"/>
    <x v="11"/>
    <x v="1"/>
    <x v="11"/>
  </r>
  <r>
    <x v="2065"/>
    <x v="1"/>
    <x v="1"/>
    <n v="56.9"/>
    <n v="113.8"/>
    <x v="75"/>
    <x v="73"/>
    <x v="1"/>
    <x v="2"/>
    <x v="0"/>
    <x v="0"/>
    <x v="13"/>
    <x v="3"/>
    <x v="11"/>
    <x v="1"/>
    <x v="13"/>
  </r>
  <r>
    <x v="2066"/>
    <x v="8"/>
    <x v="1"/>
    <n v="15.8"/>
    <n v="31.6"/>
    <x v="75"/>
    <x v="78"/>
    <x v="2"/>
    <x v="2"/>
    <x v="1"/>
    <x v="0"/>
    <x v="1"/>
    <x v="2"/>
    <x v="11"/>
    <x v="2"/>
    <x v="1"/>
  </r>
  <r>
    <x v="2067"/>
    <x v="11"/>
    <x v="12"/>
    <n v="61.7"/>
    <n v="246.8"/>
    <x v="75"/>
    <x v="83"/>
    <x v="2"/>
    <x v="2"/>
    <x v="0"/>
    <x v="0"/>
    <x v="22"/>
    <x v="1"/>
    <x v="11"/>
    <x v="2"/>
    <x v="22"/>
  </r>
  <r>
    <x v="2068"/>
    <x v="2"/>
    <x v="7"/>
    <n v="105.2"/>
    <n v="1052"/>
    <x v="75"/>
    <x v="83"/>
    <x v="1"/>
    <x v="1"/>
    <x v="4"/>
    <x v="0"/>
    <x v="3"/>
    <x v="1"/>
    <x v="11"/>
    <x v="1"/>
    <x v="3"/>
  </r>
  <r>
    <x v="2069"/>
    <x v="0"/>
    <x v="1"/>
    <n v="17"/>
    <n v="34"/>
    <x v="75"/>
    <x v="83"/>
    <x v="2"/>
    <x v="2"/>
    <x v="0"/>
    <x v="0"/>
    <x v="3"/>
    <x v="1"/>
    <x v="11"/>
    <x v="2"/>
    <x v="3"/>
  </r>
  <r>
    <x v="2070"/>
    <x v="6"/>
    <x v="2"/>
    <n v="84.1"/>
    <n v="252.29999999999998"/>
    <x v="75"/>
    <x v="73"/>
    <x v="1"/>
    <x v="2"/>
    <x v="0"/>
    <x v="0"/>
    <x v="3"/>
    <x v="3"/>
    <x v="11"/>
    <x v="1"/>
    <x v="3"/>
  </r>
  <r>
    <x v="2071"/>
    <x v="3"/>
    <x v="12"/>
    <n v="59.5"/>
    <n v="238"/>
    <x v="75"/>
    <x v="80"/>
    <x v="1"/>
    <x v="0"/>
    <x v="2"/>
    <x v="0"/>
    <x v="3"/>
    <x v="0"/>
    <x v="11"/>
    <x v="1"/>
    <x v="3"/>
  </r>
  <r>
    <x v="2072"/>
    <x v="8"/>
    <x v="1"/>
    <n v="57.5"/>
    <n v="115"/>
    <x v="75"/>
    <x v="83"/>
    <x v="1"/>
    <x v="1"/>
    <x v="2"/>
    <x v="0"/>
    <x v="3"/>
    <x v="1"/>
    <x v="11"/>
    <x v="1"/>
    <x v="3"/>
  </r>
  <r>
    <x v="2073"/>
    <x v="8"/>
    <x v="0"/>
    <n v="34.299999999999997"/>
    <n v="34.299999999999997"/>
    <x v="75"/>
    <x v="73"/>
    <x v="2"/>
    <x v="4"/>
    <x v="2"/>
    <x v="0"/>
    <x v="3"/>
    <x v="3"/>
    <x v="11"/>
    <x v="2"/>
    <x v="3"/>
  </r>
  <r>
    <x v="2074"/>
    <x v="5"/>
    <x v="1"/>
    <n v="27.8"/>
    <n v="55.6"/>
    <x v="76"/>
    <x v="78"/>
    <x v="2"/>
    <x v="0"/>
    <x v="0"/>
    <x v="0"/>
    <x v="3"/>
    <x v="1"/>
    <x v="11"/>
    <x v="2"/>
    <x v="3"/>
  </r>
  <r>
    <x v="2075"/>
    <x v="12"/>
    <x v="1"/>
    <n v="85"/>
    <n v="170"/>
    <x v="76"/>
    <x v="73"/>
    <x v="1"/>
    <x v="2"/>
    <x v="2"/>
    <x v="0"/>
    <x v="3"/>
    <x v="7"/>
    <x v="11"/>
    <x v="1"/>
    <x v="3"/>
  </r>
  <r>
    <x v="2076"/>
    <x v="6"/>
    <x v="1"/>
    <n v="95"/>
    <n v="190"/>
    <x v="76"/>
    <x v="78"/>
    <x v="2"/>
    <x v="0"/>
    <x v="0"/>
    <x v="0"/>
    <x v="3"/>
    <x v="1"/>
    <x v="11"/>
    <x v="2"/>
    <x v="3"/>
  </r>
  <r>
    <x v="2077"/>
    <x v="16"/>
    <x v="1"/>
    <n v="32"/>
    <n v="64"/>
    <x v="76"/>
    <x v="78"/>
    <x v="1"/>
    <x v="0"/>
    <x v="1"/>
    <x v="0"/>
    <x v="3"/>
    <x v="1"/>
    <x v="11"/>
    <x v="1"/>
    <x v="3"/>
  </r>
  <r>
    <x v="2078"/>
    <x v="2"/>
    <x v="1"/>
    <n v="65.2"/>
    <n v="130.4"/>
    <x v="76"/>
    <x v="83"/>
    <x v="2"/>
    <x v="1"/>
    <x v="0"/>
    <x v="0"/>
    <x v="3"/>
    <x v="3"/>
    <x v="11"/>
    <x v="2"/>
    <x v="3"/>
  </r>
  <r>
    <x v="2079"/>
    <x v="17"/>
    <x v="12"/>
    <n v="22"/>
    <n v="88"/>
    <x v="76"/>
    <x v="83"/>
    <x v="1"/>
    <x v="1"/>
    <x v="2"/>
    <x v="0"/>
    <x v="3"/>
    <x v="3"/>
    <x v="11"/>
    <x v="1"/>
    <x v="3"/>
  </r>
  <r>
    <x v="2080"/>
    <x v="15"/>
    <x v="2"/>
    <n v="69.400000000000006"/>
    <n v="208.20000000000002"/>
    <x v="76"/>
    <x v="75"/>
    <x v="1"/>
    <x v="1"/>
    <x v="2"/>
    <x v="0"/>
    <x v="3"/>
    <x v="2"/>
    <x v="11"/>
    <x v="1"/>
    <x v="3"/>
  </r>
  <r>
    <x v="2081"/>
    <x v="10"/>
    <x v="13"/>
    <n v="31.5"/>
    <n v="189"/>
    <x v="76"/>
    <x v="78"/>
    <x v="2"/>
    <x v="0"/>
    <x v="2"/>
    <x v="0"/>
    <x v="3"/>
    <x v="1"/>
    <x v="11"/>
    <x v="2"/>
    <x v="3"/>
  </r>
  <r>
    <x v="2082"/>
    <x v="6"/>
    <x v="0"/>
    <n v="45.8"/>
    <n v="45.8"/>
    <x v="76"/>
    <x v="80"/>
    <x v="3"/>
    <x v="0"/>
    <x v="0"/>
    <x v="0"/>
    <x v="3"/>
    <x v="5"/>
    <x v="11"/>
    <x v="3"/>
    <x v="3"/>
  </r>
  <r>
    <x v="2083"/>
    <x v="19"/>
    <x v="12"/>
    <n v="12.8"/>
    <n v="51.2"/>
    <x v="76"/>
    <x v="82"/>
    <x v="2"/>
    <x v="1"/>
    <x v="1"/>
    <x v="0"/>
    <x v="5"/>
    <x v="6"/>
    <x v="11"/>
    <x v="2"/>
    <x v="5"/>
  </r>
  <r>
    <x v="2084"/>
    <x v="5"/>
    <x v="2"/>
    <n v="115.3"/>
    <n v="345.9"/>
    <x v="76"/>
    <x v="83"/>
    <x v="2"/>
    <x v="2"/>
    <x v="2"/>
    <x v="0"/>
    <x v="6"/>
    <x v="3"/>
    <x v="11"/>
    <x v="2"/>
    <x v="6"/>
  </r>
  <r>
    <x v="2085"/>
    <x v="5"/>
    <x v="1"/>
    <n v="85"/>
    <n v="170"/>
    <x v="76"/>
    <x v="78"/>
    <x v="2"/>
    <x v="1"/>
    <x v="0"/>
    <x v="0"/>
    <x v="7"/>
    <x v="1"/>
    <x v="11"/>
    <x v="2"/>
    <x v="7"/>
  </r>
  <r>
    <x v="2086"/>
    <x v="8"/>
    <x v="2"/>
    <n v="56.6"/>
    <n v="169.8"/>
    <x v="76"/>
    <x v="83"/>
    <x v="2"/>
    <x v="1"/>
    <x v="2"/>
    <x v="0"/>
    <x v="7"/>
    <x v="3"/>
    <x v="11"/>
    <x v="2"/>
    <x v="7"/>
  </r>
  <r>
    <x v="2087"/>
    <x v="15"/>
    <x v="6"/>
    <n v="46.3"/>
    <n v="1250.0999999999999"/>
    <x v="76"/>
    <x v="75"/>
    <x v="1"/>
    <x v="0"/>
    <x v="0"/>
    <x v="0"/>
    <x v="7"/>
    <x v="2"/>
    <x v="11"/>
    <x v="1"/>
    <x v="7"/>
  </r>
  <r>
    <x v="2088"/>
    <x v="14"/>
    <x v="12"/>
    <n v="23"/>
    <n v="92"/>
    <x v="76"/>
    <x v="80"/>
    <x v="1"/>
    <x v="3"/>
    <x v="2"/>
    <x v="0"/>
    <x v="7"/>
    <x v="5"/>
    <x v="11"/>
    <x v="1"/>
    <x v="7"/>
  </r>
  <r>
    <x v="2089"/>
    <x v="8"/>
    <x v="13"/>
    <n v="42.1"/>
    <n v="252.60000000000002"/>
    <x v="76"/>
    <x v="78"/>
    <x v="1"/>
    <x v="4"/>
    <x v="0"/>
    <x v="0"/>
    <x v="8"/>
    <x v="1"/>
    <x v="11"/>
    <x v="1"/>
    <x v="8"/>
  </r>
  <r>
    <x v="2090"/>
    <x v="5"/>
    <x v="3"/>
    <n v="57.4"/>
    <n v="401.8"/>
    <x v="76"/>
    <x v="80"/>
    <x v="2"/>
    <x v="1"/>
    <x v="4"/>
    <x v="0"/>
    <x v="8"/>
    <x v="5"/>
    <x v="11"/>
    <x v="2"/>
    <x v="8"/>
  </r>
  <r>
    <x v="2091"/>
    <x v="0"/>
    <x v="13"/>
    <n v="13.2"/>
    <n v="79.199999999999989"/>
    <x v="76"/>
    <x v="80"/>
    <x v="1"/>
    <x v="2"/>
    <x v="0"/>
    <x v="0"/>
    <x v="8"/>
    <x v="5"/>
    <x v="11"/>
    <x v="1"/>
    <x v="8"/>
  </r>
  <r>
    <x v="2092"/>
    <x v="6"/>
    <x v="2"/>
    <n v="52.3"/>
    <n v="156.89999999999998"/>
    <x v="76"/>
    <x v="83"/>
    <x v="1"/>
    <x v="1"/>
    <x v="0"/>
    <x v="0"/>
    <x v="8"/>
    <x v="3"/>
    <x v="11"/>
    <x v="1"/>
    <x v="8"/>
  </r>
  <r>
    <x v="2093"/>
    <x v="8"/>
    <x v="1"/>
    <n v="15.7"/>
    <n v="31.4"/>
    <x v="76"/>
    <x v="75"/>
    <x v="1"/>
    <x v="1"/>
    <x v="2"/>
    <x v="0"/>
    <x v="8"/>
    <x v="2"/>
    <x v="11"/>
    <x v="1"/>
    <x v="8"/>
  </r>
  <r>
    <x v="2094"/>
    <x v="7"/>
    <x v="2"/>
    <n v="35"/>
    <n v="105"/>
    <x v="76"/>
    <x v="75"/>
    <x v="2"/>
    <x v="1"/>
    <x v="2"/>
    <x v="0"/>
    <x v="9"/>
    <x v="2"/>
    <x v="11"/>
    <x v="2"/>
    <x v="9"/>
  </r>
  <r>
    <x v="2095"/>
    <x v="4"/>
    <x v="2"/>
    <n v="26.6"/>
    <n v="79.800000000000011"/>
    <x v="76"/>
    <x v="73"/>
    <x v="1"/>
    <x v="1"/>
    <x v="2"/>
    <x v="0"/>
    <x v="11"/>
    <x v="7"/>
    <x v="11"/>
    <x v="1"/>
    <x v="11"/>
  </r>
  <r>
    <x v="2096"/>
    <x v="4"/>
    <x v="8"/>
    <n v="47.9"/>
    <n v="383.2"/>
    <x v="77"/>
    <x v="78"/>
    <x v="2"/>
    <x v="3"/>
    <x v="2"/>
    <x v="0"/>
    <x v="20"/>
    <x v="3"/>
    <x v="11"/>
    <x v="2"/>
    <x v="20"/>
  </r>
  <r>
    <x v="2097"/>
    <x v="5"/>
    <x v="0"/>
    <n v="80.099999999999994"/>
    <n v="80.099999999999994"/>
    <x v="77"/>
    <x v="78"/>
    <x v="1"/>
    <x v="2"/>
    <x v="0"/>
    <x v="0"/>
    <x v="21"/>
    <x v="3"/>
    <x v="11"/>
    <x v="1"/>
    <x v="21"/>
  </r>
  <r>
    <x v="2098"/>
    <x v="6"/>
    <x v="9"/>
    <n v="50.4"/>
    <n v="252"/>
    <x v="77"/>
    <x v="78"/>
    <x v="1"/>
    <x v="1"/>
    <x v="2"/>
    <x v="0"/>
    <x v="21"/>
    <x v="3"/>
    <x v="11"/>
    <x v="1"/>
    <x v="21"/>
  </r>
  <r>
    <x v="2099"/>
    <x v="10"/>
    <x v="3"/>
    <n v="43.3"/>
    <n v="303.09999999999997"/>
    <x v="77"/>
    <x v="78"/>
    <x v="1"/>
    <x v="2"/>
    <x v="0"/>
    <x v="0"/>
    <x v="21"/>
    <x v="3"/>
    <x v="11"/>
    <x v="1"/>
    <x v="21"/>
  </r>
  <r>
    <x v="2100"/>
    <x v="10"/>
    <x v="12"/>
    <n v="57.5"/>
    <n v="230"/>
    <x v="77"/>
    <x v="78"/>
    <x v="2"/>
    <x v="1"/>
    <x v="2"/>
    <x v="0"/>
    <x v="1"/>
    <x v="3"/>
    <x v="11"/>
    <x v="2"/>
    <x v="1"/>
  </r>
  <r>
    <x v="2101"/>
    <x v="9"/>
    <x v="15"/>
    <n v="24.8"/>
    <n v="322.40000000000003"/>
    <x v="77"/>
    <x v="78"/>
    <x v="1"/>
    <x v="0"/>
    <x v="0"/>
    <x v="0"/>
    <x v="57"/>
    <x v="3"/>
    <x v="11"/>
    <x v="1"/>
    <x v="57"/>
  </r>
  <r>
    <x v="2102"/>
    <x v="2"/>
    <x v="11"/>
    <n v="85.7"/>
    <n v="771.30000000000007"/>
    <x v="77"/>
    <x v="78"/>
    <x v="2"/>
    <x v="0"/>
    <x v="0"/>
    <x v="0"/>
    <x v="42"/>
    <x v="3"/>
    <x v="11"/>
    <x v="2"/>
    <x v="42"/>
  </r>
  <r>
    <x v="2103"/>
    <x v="7"/>
    <x v="0"/>
    <n v="47.1"/>
    <n v="47.1"/>
    <x v="77"/>
    <x v="75"/>
    <x v="2"/>
    <x v="0"/>
    <x v="0"/>
    <x v="0"/>
    <x v="2"/>
    <x v="1"/>
    <x v="11"/>
    <x v="2"/>
    <x v="2"/>
  </r>
  <r>
    <x v="2104"/>
    <x v="5"/>
    <x v="7"/>
    <n v="83.2"/>
    <n v="832"/>
    <x v="77"/>
    <x v="79"/>
    <x v="2"/>
    <x v="0"/>
    <x v="0"/>
    <x v="0"/>
    <x v="33"/>
    <x v="5"/>
    <x v="11"/>
    <x v="2"/>
    <x v="33"/>
  </r>
  <r>
    <x v="2105"/>
    <x v="2"/>
    <x v="2"/>
    <n v="157"/>
    <n v="471"/>
    <x v="77"/>
    <x v="75"/>
    <x v="2"/>
    <x v="0"/>
    <x v="2"/>
    <x v="0"/>
    <x v="22"/>
    <x v="1"/>
    <x v="11"/>
    <x v="2"/>
    <x v="22"/>
  </r>
  <r>
    <x v="2106"/>
    <x v="16"/>
    <x v="12"/>
    <n v="33.700000000000003"/>
    <n v="134.80000000000001"/>
    <x v="77"/>
    <x v="78"/>
    <x v="1"/>
    <x v="2"/>
    <x v="2"/>
    <x v="0"/>
    <x v="22"/>
    <x v="3"/>
    <x v="11"/>
    <x v="1"/>
    <x v="22"/>
  </r>
  <r>
    <x v="2107"/>
    <x v="2"/>
    <x v="2"/>
    <n v="60.8"/>
    <n v="182.39999999999998"/>
    <x v="77"/>
    <x v="79"/>
    <x v="2"/>
    <x v="1"/>
    <x v="1"/>
    <x v="0"/>
    <x v="3"/>
    <x v="5"/>
    <x v="11"/>
    <x v="2"/>
    <x v="3"/>
  </r>
  <r>
    <x v="2108"/>
    <x v="7"/>
    <x v="0"/>
    <n v="57.6"/>
    <n v="57.6"/>
    <x v="77"/>
    <x v="78"/>
    <x v="1"/>
    <x v="1"/>
    <x v="4"/>
    <x v="0"/>
    <x v="3"/>
    <x v="3"/>
    <x v="11"/>
    <x v="1"/>
    <x v="3"/>
  </r>
  <r>
    <x v="2109"/>
    <x v="10"/>
    <x v="0"/>
    <n v="32"/>
    <n v="32"/>
    <x v="77"/>
    <x v="75"/>
    <x v="1"/>
    <x v="0"/>
    <x v="0"/>
    <x v="0"/>
    <x v="3"/>
    <x v="1"/>
    <x v="11"/>
    <x v="1"/>
    <x v="3"/>
  </r>
  <r>
    <x v="2110"/>
    <x v="10"/>
    <x v="12"/>
    <n v="23.5"/>
    <n v="94"/>
    <x v="77"/>
    <x v="78"/>
    <x v="2"/>
    <x v="0"/>
    <x v="2"/>
    <x v="0"/>
    <x v="3"/>
    <x v="3"/>
    <x v="11"/>
    <x v="2"/>
    <x v="3"/>
  </r>
  <r>
    <x v="2111"/>
    <x v="12"/>
    <x v="2"/>
    <n v="44.8"/>
    <n v="134.39999999999998"/>
    <x v="77"/>
    <x v="78"/>
    <x v="3"/>
    <x v="4"/>
    <x v="0"/>
    <x v="0"/>
    <x v="3"/>
    <x v="3"/>
    <x v="11"/>
    <x v="3"/>
    <x v="3"/>
  </r>
  <r>
    <x v="2112"/>
    <x v="0"/>
    <x v="8"/>
    <n v="11.7"/>
    <n v="93.6"/>
    <x v="77"/>
    <x v="78"/>
    <x v="1"/>
    <x v="2"/>
    <x v="2"/>
    <x v="0"/>
    <x v="3"/>
    <x v="3"/>
    <x v="11"/>
    <x v="1"/>
    <x v="3"/>
  </r>
  <r>
    <x v="2113"/>
    <x v="7"/>
    <x v="1"/>
    <n v="38.799999999999997"/>
    <n v="77.599999999999994"/>
    <x v="77"/>
    <x v="80"/>
    <x v="2"/>
    <x v="2"/>
    <x v="0"/>
    <x v="0"/>
    <x v="3"/>
    <x v="2"/>
    <x v="11"/>
    <x v="2"/>
    <x v="3"/>
  </r>
  <r>
    <x v="2114"/>
    <x v="5"/>
    <x v="21"/>
    <n v="86.9"/>
    <n v="1216.6000000000001"/>
    <x v="77"/>
    <x v="77"/>
    <x v="2"/>
    <x v="1"/>
    <x v="0"/>
    <x v="0"/>
    <x v="3"/>
    <x v="0"/>
    <x v="11"/>
    <x v="2"/>
    <x v="3"/>
  </r>
  <r>
    <x v="2115"/>
    <x v="8"/>
    <x v="0"/>
    <n v="18.3"/>
    <n v="18.3"/>
    <x v="77"/>
    <x v="78"/>
    <x v="2"/>
    <x v="0"/>
    <x v="0"/>
    <x v="0"/>
    <x v="3"/>
    <x v="3"/>
    <x v="11"/>
    <x v="2"/>
    <x v="3"/>
  </r>
  <r>
    <x v="2116"/>
    <x v="5"/>
    <x v="0"/>
    <n v="47.5"/>
    <n v="47.5"/>
    <x v="77"/>
    <x v="79"/>
    <x v="1"/>
    <x v="4"/>
    <x v="2"/>
    <x v="0"/>
    <x v="3"/>
    <x v="5"/>
    <x v="11"/>
    <x v="1"/>
    <x v="3"/>
  </r>
  <r>
    <x v="2117"/>
    <x v="1"/>
    <x v="1"/>
    <n v="78.599999999999994"/>
    <n v="157.19999999999999"/>
    <x v="77"/>
    <x v="78"/>
    <x v="1"/>
    <x v="2"/>
    <x v="2"/>
    <x v="0"/>
    <x v="3"/>
    <x v="3"/>
    <x v="11"/>
    <x v="1"/>
    <x v="3"/>
  </r>
  <r>
    <x v="2118"/>
    <x v="6"/>
    <x v="12"/>
    <n v="87.3"/>
    <n v="349.2"/>
    <x v="77"/>
    <x v="78"/>
    <x v="1"/>
    <x v="0"/>
    <x v="0"/>
    <x v="0"/>
    <x v="3"/>
    <x v="3"/>
    <x v="11"/>
    <x v="1"/>
    <x v="3"/>
  </r>
  <r>
    <x v="2119"/>
    <x v="9"/>
    <x v="1"/>
    <n v="63.2"/>
    <n v="126.4"/>
    <x v="77"/>
    <x v="83"/>
    <x v="1"/>
    <x v="4"/>
    <x v="1"/>
    <x v="0"/>
    <x v="3"/>
    <x v="7"/>
    <x v="11"/>
    <x v="1"/>
    <x v="3"/>
  </r>
  <r>
    <x v="2120"/>
    <x v="5"/>
    <x v="9"/>
    <n v="33.700000000000003"/>
    <n v="168.5"/>
    <x v="77"/>
    <x v="78"/>
    <x v="2"/>
    <x v="0"/>
    <x v="0"/>
    <x v="0"/>
    <x v="3"/>
    <x v="3"/>
    <x v="11"/>
    <x v="2"/>
    <x v="3"/>
  </r>
  <r>
    <x v="2121"/>
    <x v="2"/>
    <x v="2"/>
    <n v="107.4"/>
    <n v="322.20000000000005"/>
    <x v="77"/>
    <x v="84"/>
    <x v="2"/>
    <x v="1"/>
    <x v="2"/>
    <x v="0"/>
    <x v="3"/>
    <x v="10"/>
    <x v="11"/>
    <x v="2"/>
    <x v="3"/>
  </r>
  <r>
    <x v="2122"/>
    <x v="4"/>
    <x v="12"/>
    <n v="22.2"/>
    <n v="88.8"/>
    <x v="77"/>
    <x v="78"/>
    <x v="0"/>
    <x v="1"/>
    <x v="2"/>
    <x v="0"/>
    <x v="24"/>
    <x v="3"/>
    <x v="11"/>
    <x v="0"/>
    <x v="24"/>
  </r>
  <r>
    <x v="2123"/>
    <x v="18"/>
    <x v="2"/>
    <n v="52.8"/>
    <n v="158.39999999999998"/>
    <x v="77"/>
    <x v="78"/>
    <x v="1"/>
    <x v="3"/>
    <x v="2"/>
    <x v="0"/>
    <x v="24"/>
    <x v="3"/>
    <x v="11"/>
    <x v="1"/>
    <x v="24"/>
  </r>
  <r>
    <x v="2124"/>
    <x v="8"/>
    <x v="2"/>
    <n v="41.5"/>
    <n v="124.5"/>
    <x v="77"/>
    <x v="80"/>
    <x v="2"/>
    <x v="0"/>
    <x v="0"/>
    <x v="0"/>
    <x v="25"/>
    <x v="2"/>
    <x v="11"/>
    <x v="2"/>
    <x v="25"/>
  </r>
  <r>
    <x v="2125"/>
    <x v="12"/>
    <x v="8"/>
    <n v="103.5"/>
    <n v="828"/>
    <x v="77"/>
    <x v="80"/>
    <x v="2"/>
    <x v="0"/>
    <x v="2"/>
    <x v="0"/>
    <x v="23"/>
    <x v="2"/>
    <x v="11"/>
    <x v="2"/>
    <x v="23"/>
  </r>
  <r>
    <x v="2126"/>
    <x v="4"/>
    <x v="21"/>
    <n v="37.5"/>
    <n v="525"/>
    <x v="77"/>
    <x v="83"/>
    <x v="2"/>
    <x v="1"/>
    <x v="2"/>
    <x v="0"/>
    <x v="6"/>
    <x v="7"/>
    <x v="11"/>
    <x v="2"/>
    <x v="6"/>
  </r>
  <r>
    <x v="2127"/>
    <x v="15"/>
    <x v="8"/>
    <n v="44.4"/>
    <n v="355.2"/>
    <x v="77"/>
    <x v="82"/>
    <x v="2"/>
    <x v="3"/>
    <x v="2"/>
    <x v="0"/>
    <x v="7"/>
    <x v="4"/>
    <x v="11"/>
    <x v="2"/>
    <x v="7"/>
  </r>
  <r>
    <x v="2128"/>
    <x v="8"/>
    <x v="2"/>
    <n v="26.2"/>
    <n v="78.599999999999994"/>
    <x v="77"/>
    <x v="78"/>
    <x v="1"/>
    <x v="0"/>
    <x v="0"/>
    <x v="0"/>
    <x v="8"/>
    <x v="3"/>
    <x v="11"/>
    <x v="1"/>
    <x v="8"/>
  </r>
  <r>
    <x v="2129"/>
    <x v="1"/>
    <x v="3"/>
    <n v="32.200000000000003"/>
    <n v="225.40000000000003"/>
    <x v="77"/>
    <x v="78"/>
    <x v="2"/>
    <x v="1"/>
    <x v="2"/>
    <x v="0"/>
    <x v="8"/>
    <x v="3"/>
    <x v="11"/>
    <x v="2"/>
    <x v="8"/>
  </r>
  <r>
    <x v="2130"/>
    <x v="8"/>
    <x v="0"/>
    <n v="17.399999999999999"/>
    <n v="17.399999999999999"/>
    <x v="77"/>
    <x v="79"/>
    <x v="0"/>
    <x v="2"/>
    <x v="1"/>
    <x v="0"/>
    <x v="8"/>
    <x v="5"/>
    <x v="11"/>
    <x v="0"/>
    <x v="8"/>
  </r>
  <r>
    <x v="2131"/>
    <x v="8"/>
    <x v="13"/>
    <n v="72.3"/>
    <n v="433.79999999999995"/>
    <x v="77"/>
    <x v="80"/>
    <x v="2"/>
    <x v="0"/>
    <x v="0"/>
    <x v="0"/>
    <x v="8"/>
    <x v="2"/>
    <x v="11"/>
    <x v="2"/>
    <x v="8"/>
  </r>
  <r>
    <x v="2132"/>
    <x v="8"/>
    <x v="5"/>
    <n v="24.3"/>
    <n v="267.3"/>
    <x v="77"/>
    <x v="78"/>
    <x v="1"/>
    <x v="0"/>
    <x v="0"/>
    <x v="0"/>
    <x v="8"/>
    <x v="3"/>
    <x v="11"/>
    <x v="1"/>
    <x v="8"/>
  </r>
  <r>
    <x v="2133"/>
    <x v="13"/>
    <x v="2"/>
    <n v="49.1"/>
    <n v="147.30000000000001"/>
    <x v="77"/>
    <x v="82"/>
    <x v="1"/>
    <x v="2"/>
    <x v="4"/>
    <x v="0"/>
    <x v="8"/>
    <x v="4"/>
    <x v="11"/>
    <x v="1"/>
    <x v="8"/>
  </r>
  <r>
    <x v="2134"/>
    <x v="2"/>
    <x v="7"/>
    <n v="234.7"/>
    <n v="2347"/>
    <x v="77"/>
    <x v="78"/>
    <x v="1"/>
    <x v="3"/>
    <x v="1"/>
    <x v="0"/>
    <x v="8"/>
    <x v="3"/>
    <x v="11"/>
    <x v="1"/>
    <x v="8"/>
  </r>
  <r>
    <x v="2135"/>
    <x v="3"/>
    <x v="9"/>
    <n v="76.099999999999994"/>
    <n v="380.5"/>
    <x v="77"/>
    <x v="75"/>
    <x v="1"/>
    <x v="1"/>
    <x v="1"/>
    <x v="0"/>
    <x v="17"/>
    <x v="1"/>
    <x v="11"/>
    <x v="1"/>
    <x v="17"/>
  </r>
  <r>
    <x v="2136"/>
    <x v="1"/>
    <x v="2"/>
    <n v="93.9"/>
    <n v="281.70000000000005"/>
    <x v="77"/>
    <x v="78"/>
    <x v="1"/>
    <x v="1"/>
    <x v="4"/>
    <x v="0"/>
    <x v="11"/>
    <x v="3"/>
    <x v="11"/>
    <x v="1"/>
    <x v="11"/>
  </r>
  <r>
    <x v="2137"/>
    <x v="2"/>
    <x v="12"/>
    <n v="187"/>
    <n v="748"/>
    <x v="78"/>
    <x v="79"/>
    <x v="1"/>
    <x v="0"/>
    <x v="0"/>
    <x v="0"/>
    <x v="11"/>
    <x v="2"/>
    <x v="11"/>
    <x v="1"/>
    <x v="11"/>
  </r>
  <r>
    <x v="2138"/>
    <x v="8"/>
    <x v="1"/>
    <n v="18"/>
    <n v="36"/>
    <x v="78"/>
    <x v="75"/>
    <x v="2"/>
    <x v="1"/>
    <x v="2"/>
    <x v="0"/>
    <x v="53"/>
    <x v="3"/>
    <x v="11"/>
    <x v="2"/>
    <x v="53"/>
  </r>
  <r>
    <x v="2139"/>
    <x v="4"/>
    <x v="0"/>
    <n v="24.4"/>
    <n v="24.4"/>
    <x v="78"/>
    <x v="75"/>
    <x v="2"/>
    <x v="4"/>
    <x v="2"/>
    <x v="0"/>
    <x v="21"/>
    <x v="3"/>
    <x v="11"/>
    <x v="2"/>
    <x v="21"/>
  </r>
  <r>
    <x v="2140"/>
    <x v="10"/>
    <x v="1"/>
    <n v="38.799999999999997"/>
    <n v="77.599999999999994"/>
    <x v="78"/>
    <x v="75"/>
    <x v="1"/>
    <x v="4"/>
    <x v="1"/>
    <x v="0"/>
    <x v="3"/>
    <x v="3"/>
    <x v="11"/>
    <x v="1"/>
    <x v="3"/>
  </r>
  <r>
    <x v="2141"/>
    <x v="3"/>
    <x v="0"/>
    <n v="59.7"/>
    <n v="59.7"/>
    <x v="78"/>
    <x v="79"/>
    <x v="1"/>
    <x v="3"/>
    <x v="0"/>
    <x v="0"/>
    <x v="3"/>
    <x v="2"/>
    <x v="11"/>
    <x v="1"/>
    <x v="3"/>
  </r>
  <r>
    <x v="2142"/>
    <x v="7"/>
    <x v="0"/>
    <n v="31.2"/>
    <n v="31.2"/>
    <x v="78"/>
    <x v="75"/>
    <x v="1"/>
    <x v="1"/>
    <x v="2"/>
    <x v="0"/>
    <x v="3"/>
    <x v="3"/>
    <x v="11"/>
    <x v="1"/>
    <x v="3"/>
  </r>
  <r>
    <x v="2143"/>
    <x v="0"/>
    <x v="0"/>
    <n v="16.8"/>
    <n v="16.8"/>
    <x v="78"/>
    <x v="75"/>
    <x v="2"/>
    <x v="2"/>
    <x v="1"/>
    <x v="0"/>
    <x v="3"/>
    <x v="3"/>
    <x v="11"/>
    <x v="2"/>
    <x v="3"/>
  </r>
  <r>
    <x v="2144"/>
    <x v="8"/>
    <x v="0"/>
    <n v="46"/>
    <n v="46"/>
    <x v="78"/>
    <x v="75"/>
    <x v="1"/>
    <x v="0"/>
    <x v="0"/>
    <x v="0"/>
    <x v="3"/>
    <x v="3"/>
    <x v="11"/>
    <x v="1"/>
    <x v="3"/>
  </r>
  <r>
    <x v="2145"/>
    <x v="9"/>
    <x v="8"/>
    <n v="42.2"/>
    <n v="337.6"/>
    <x v="78"/>
    <x v="79"/>
    <x v="2"/>
    <x v="3"/>
    <x v="2"/>
    <x v="0"/>
    <x v="3"/>
    <x v="2"/>
    <x v="11"/>
    <x v="2"/>
    <x v="3"/>
  </r>
  <r>
    <x v="2146"/>
    <x v="1"/>
    <x v="2"/>
    <n v="71.5"/>
    <n v="214.5"/>
    <x v="78"/>
    <x v="85"/>
    <x v="2"/>
    <x v="0"/>
    <x v="0"/>
    <x v="0"/>
    <x v="3"/>
    <x v="12"/>
    <x v="11"/>
    <x v="2"/>
    <x v="3"/>
  </r>
  <r>
    <x v="2147"/>
    <x v="1"/>
    <x v="1"/>
    <n v="76.599999999999994"/>
    <n v="153.19999999999999"/>
    <x v="78"/>
    <x v="78"/>
    <x v="1"/>
    <x v="0"/>
    <x v="2"/>
    <x v="0"/>
    <x v="3"/>
    <x v="7"/>
    <x v="11"/>
    <x v="1"/>
    <x v="3"/>
  </r>
  <r>
    <x v="2148"/>
    <x v="12"/>
    <x v="1"/>
    <n v="87.3"/>
    <n v="174.6"/>
    <x v="78"/>
    <x v="86"/>
    <x v="2"/>
    <x v="3"/>
    <x v="2"/>
    <x v="0"/>
    <x v="3"/>
    <x v="9"/>
    <x v="11"/>
    <x v="2"/>
    <x v="3"/>
  </r>
  <r>
    <x v="2149"/>
    <x v="1"/>
    <x v="0"/>
    <n v="63"/>
    <n v="63"/>
    <x v="78"/>
    <x v="79"/>
    <x v="1"/>
    <x v="3"/>
    <x v="0"/>
    <x v="0"/>
    <x v="3"/>
    <x v="2"/>
    <x v="11"/>
    <x v="1"/>
    <x v="3"/>
  </r>
  <r>
    <x v="2150"/>
    <x v="8"/>
    <x v="1"/>
    <n v="41.7"/>
    <n v="83.4"/>
    <x v="78"/>
    <x v="75"/>
    <x v="2"/>
    <x v="4"/>
    <x v="1"/>
    <x v="0"/>
    <x v="43"/>
    <x v="3"/>
    <x v="11"/>
    <x v="2"/>
    <x v="43"/>
  </r>
  <r>
    <x v="2151"/>
    <x v="6"/>
    <x v="1"/>
    <n v="76.099999999999994"/>
    <n v="152.19999999999999"/>
    <x v="78"/>
    <x v="78"/>
    <x v="2"/>
    <x v="4"/>
    <x v="2"/>
    <x v="0"/>
    <x v="16"/>
    <x v="7"/>
    <x v="11"/>
    <x v="2"/>
    <x v="16"/>
  </r>
  <r>
    <x v="2152"/>
    <x v="13"/>
    <x v="1"/>
    <n v="28.5"/>
    <n v="57"/>
    <x v="78"/>
    <x v="75"/>
    <x v="2"/>
    <x v="0"/>
    <x v="2"/>
    <x v="0"/>
    <x v="4"/>
    <x v="3"/>
    <x v="11"/>
    <x v="2"/>
    <x v="4"/>
  </r>
  <r>
    <x v="2153"/>
    <x v="0"/>
    <x v="12"/>
    <n v="32.1"/>
    <n v="128.4"/>
    <x v="78"/>
    <x v="75"/>
    <x v="2"/>
    <x v="1"/>
    <x v="2"/>
    <x v="0"/>
    <x v="25"/>
    <x v="3"/>
    <x v="11"/>
    <x v="2"/>
    <x v="25"/>
  </r>
  <r>
    <x v="2154"/>
    <x v="4"/>
    <x v="2"/>
    <n v="39"/>
    <n v="117"/>
    <x v="78"/>
    <x v="79"/>
    <x v="1"/>
    <x v="1"/>
    <x v="2"/>
    <x v="0"/>
    <x v="25"/>
    <x v="2"/>
    <x v="11"/>
    <x v="1"/>
    <x v="25"/>
  </r>
  <r>
    <x v="2155"/>
    <x v="6"/>
    <x v="0"/>
    <n v="78.5"/>
    <n v="78.5"/>
    <x v="78"/>
    <x v="75"/>
    <x v="1"/>
    <x v="1"/>
    <x v="0"/>
    <x v="0"/>
    <x v="6"/>
    <x v="3"/>
    <x v="11"/>
    <x v="1"/>
    <x v="6"/>
  </r>
  <r>
    <x v="2156"/>
    <x v="4"/>
    <x v="9"/>
    <n v="49.7"/>
    <n v="248.5"/>
    <x v="78"/>
    <x v="80"/>
    <x v="2"/>
    <x v="0"/>
    <x v="0"/>
    <x v="0"/>
    <x v="6"/>
    <x v="1"/>
    <x v="11"/>
    <x v="2"/>
    <x v="6"/>
  </r>
  <r>
    <x v="2157"/>
    <x v="1"/>
    <x v="12"/>
    <n v="68.400000000000006"/>
    <n v="273.60000000000002"/>
    <x v="78"/>
    <x v="75"/>
    <x v="2"/>
    <x v="2"/>
    <x v="2"/>
    <x v="0"/>
    <x v="7"/>
    <x v="3"/>
    <x v="11"/>
    <x v="2"/>
    <x v="7"/>
  </r>
  <r>
    <x v="2158"/>
    <x v="3"/>
    <x v="1"/>
    <n v="72.900000000000006"/>
    <n v="145.80000000000001"/>
    <x v="78"/>
    <x v="79"/>
    <x v="0"/>
    <x v="0"/>
    <x v="2"/>
    <x v="0"/>
    <x v="7"/>
    <x v="2"/>
    <x v="11"/>
    <x v="0"/>
    <x v="7"/>
  </r>
  <r>
    <x v="2159"/>
    <x v="5"/>
    <x v="15"/>
    <n v="30.3"/>
    <n v="393.90000000000003"/>
    <x v="78"/>
    <x v="75"/>
    <x v="1"/>
    <x v="4"/>
    <x v="0"/>
    <x v="0"/>
    <x v="7"/>
    <x v="3"/>
    <x v="11"/>
    <x v="1"/>
    <x v="7"/>
  </r>
  <r>
    <x v="2160"/>
    <x v="6"/>
    <x v="5"/>
    <n v="57.9"/>
    <n v="636.9"/>
    <x v="78"/>
    <x v="75"/>
    <x v="2"/>
    <x v="0"/>
    <x v="0"/>
    <x v="0"/>
    <x v="8"/>
    <x v="3"/>
    <x v="11"/>
    <x v="2"/>
    <x v="8"/>
  </r>
  <r>
    <x v="2161"/>
    <x v="1"/>
    <x v="0"/>
    <n v="96.7"/>
    <n v="96.7"/>
    <x v="78"/>
    <x v="75"/>
    <x v="1"/>
    <x v="0"/>
    <x v="0"/>
    <x v="0"/>
    <x v="8"/>
    <x v="3"/>
    <x v="11"/>
    <x v="1"/>
    <x v="8"/>
  </r>
  <r>
    <x v="2162"/>
    <x v="8"/>
    <x v="4"/>
    <n v="27.6"/>
    <n v="331.20000000000005"/>
    <x v="78"/>
    <x v="80"/>
    <x v="1"/>
    <x v="2"/>
    <x v="2"/>
    <x v="0"/>
    <x v="8"/>
    <x v="1"/>
    <x v="11"/>
    <x v="1"/>
    <x v="8"/>
  </r>
  <r>
    <x v="2163"/>
    <x v="6"/>
    <x v="12"/>
    <n v="64.7"/>
    <n v="258.8"/>
    <x v="78"/>
    <x v="78"/>
    <x v="1"/>
    <x v="3"/>
    <x v="2"/>
    <x v="0"/>
    <x v="8"/>
    <x v="7"/>
    <x v="11"/>
    <x v="1"/>
    <x v="8"/>
  </r>
  <r>
    <x v="2164"/>
    <x v="10"/>
    <x v="13"/>
    <n v="30.5"/>
    <n v="183"/>
    <x v="78"/>
    <x v="75"/>
    <x v="1"/>
    <x v="4"/>
    <x v="0"/>
    <x v="0"/>
    <x v="8"/>
    <x v="3"/>
    <x v="11"/>
    <x v="1"/>
    <x v="8"/>
  </r>
  <r>
    <x v="2165"/>
    <x v="6"/>
    <x v="47"/>
    <n v="106"/>
    <n v="7420"/>
    <x v="79"/>
    <x v="79"/>
    <x v="1"/>
    <x v="4"/>
    <x v="2"/>
    <x v="0"/>
    <x v="8"/>
    <x v="1"/>
    <x v="11"/>
    <x v="1"/>
    <x v="8"/>
  </r>
  <r>
    <x v="2166"/>
    <x v="12"/>
    <x v="9"/>
    <n v="76.8"/>
    <n v="384"/>
    <x v="79"/>
    <x v="87"/>
    <x v="0"/>
    <x v="1"/>
    <x v="1"/>
    <x v="0"/>
    <x v="18"/>
    <x v="4"/>
    <x v="11"/>
    <x v="0"/>
    <x v="18"/>
  </r>
  <r>
    <x v="2167"/>
    <x v="6"/>
    <x v="1"/>
    <n v="80.400000000000006"/>
    <n v="160.80000000000001"/>
    <x v="79"/>
    <x v="80"/>
    <x v="2"/>
    <x v="2"/>
    <x v="0"/>
    <x v="0"/>
    <x v="13"/>
    <x v="3"/>
    <x v="11"/>
    <x v="2"/>
    <x v="13"/>
  </r>
  <r>
    <x v="2168"/>
    <x v="6"/>
    <x v="12"/>
    <n v="69.099999999999994"/>
    <n v="276.39999999999998"/>
    <x v="79"/>
    <x v="80"/>
    <x v="1"/>
    <x v="1"/>
    <x v="2"/>
    <x v="0"/>
    <x v="21"/>
    <x v="3"/>
    <x v="11"/>
    <x v="1"/>
    <x v="21"/>
  </r>
  <r>
    <x v="2169"/>
    <x v="18"/>
    <x v="1"/>
    <n v="76.400000000000006"/>
    <n v="152.80000000000001"/>
    <x v="79"/>
    <x v="75"/>
    <x v="1"/>
    <x v="3"/>
    <x v="0"/>
    <x v="0"/>
    <x v="21"/>
    <x v="7"/>
    <x v="11"/>
    <x v="1"/>
    <x v="21"/>
  </r>
  <r>
    <x v="2170"/>
    <x v="2"/>
    <x v="1"/>
    <n v="61.3"/>
    <n v="122.6"/>
    <x v="79"/>
    <x v="80"/>
    <x v="2"/>
    <x v="1"/>
    <x v="1"/>
    <x v="0"/>
    <x v="21"/>
    <x v="3"/>
    <x v="11"/>
    <x v="2"/>
    <x v="21"/>
  </r>
  <r>
    <x v="2171"/>
    <x v="7"/>
    <x v="0"/>
    <n v="58"/>
    <n v="58"/>
    <x v="79"/>
    <x v="80"/>
    <x v="1"/>
    <x v="3"/>
    <x v="1"/>
    <x v="0"/>
    <x v="1"/>
    <x v="3"/>
    <x v="11"/>
    <x v="1"/>
    <x v="1"/>
  </r>
  <r>
    <x v="2172"/>
    <x v="2"/>
    <x v="8"/>
    <n v="102.3"/>
    <n v="818.4"/>
    <x v="79"/>
    <x v="79"/>
    <x v="1"/>
    <x v="2"/>
    <x v="0"/>
    <x v="0"/>
    <x v="42"/>
    <x v="1"/>
    <x v="11"/>
    <x v="1"/>
    <x v="42"/>
  </r>
  <r>
    <x v="2173"/>
    <x v="19"/>
    <x v="1"/>
    <n v="13.8"/>
    <n v="27.6"/>
    <x v="79"/>
    <x v="80"/>
    <x v="2"/>
    <x v="4"/>
    <x v="2"/>
    <x v="0"/>
    <x v="2"/>
    <x v="3"/>
    <x v="11"/>
    <x v="2"/>
    <x v="2"/>
  </r>
  <r>
    <x v="2174"/>
    <x v="8"/>
    <x v="2"/>
    <n v="33.299999999999997"/>
    <n v="99.899999999999991"/>
    <x v="79"/>
    <x v="77"/>
    <x v="2"/>
    <x v="2"/>
    <x v="0"/>
    <x v="0"/>
    <x v="22"/>
    <x v="2"/>
    <x v="11"/>
    <x v="2"/>
    <x v="22"/>
  </r>
  <r>
    <x v="2175"/>
    <x v="10"/>
    <x v="0"/>
    <n v="27.4"/>
    <n v="27.4"/>
    <x v="79"/>
    <x v="77"/>
    <x v="1"/>
    <x v="0"/>
    <x v="2"/>
    <x v="0"/>
    <x v="22"/>
    <x v="2"/>
    <x v="11"/>
    <x v="1"/>
    <x v="22"/>
  </r>
  <r>
    <x v="2176"/>
    <x v="14"/>
    <x v="1"/>
    <n v="25.6"/>
    <n v="51.2"/>
    <x v="79"/>
    <x v="80"/>
    <x v="2"/>
    <x v="1"/>
    <x v="1"/>
    <x v="0"/>
    <x v="3"/>
    <x v="3"/>
    <x v="11"/>
    <x v="2"/>
    <x v="3"/>
  </r>
  <r>
    <x v="2177"/>
    <x v="13"/>
    <x v="0"/>
    <n v="58.4"/>
    <n v="58.4"/>
    <x v="79"/>
    <x v="80"/>
    <x v="2"/>
    <x v="2"/>
    <x v="2"/>
    <x v="0"/>
    <x v="3"/>
    <x v="3"/>
    <x v="11"/>
    <x v="2"/>
    <x v="3"/>
  </r>
  <r>
    <x v="2178"/>
    <x v="11"/>
    <x v="17"/>
    <n v="27"/>
    <n v="810"/>
    <x v="79"/>
    <x v="80"/>
    <x v="2"/>
    <x v="4"/>
    <x v="0"/>
    <x v="0"/>
    <x v="3"/>
    <x v="3"/>
    <x v="11"/>
    <x v="2"/>
    <x v="3"/>
  </r>
  <r>
    <x v="2179"/>
    <x v="0"/>
    <x v="12"/>
    <n v="14.2"/>
    <n v="56.8"/>
    <x v="79"/>
    <x v="80"/>
    <x v="1"/>
    <x v="0"/>
    <x v="2"/>
    <x v="0"/>
    <x v="3"/>
    <x v="3"/>
    <x v="11"/>
    <x v="1"/>
    <x v="3"/>
  </r>
  <r>
    <x v="2180"/>
    <x v="7"/>
    <x v="1"/>
    <n v="68"/>
    <n v="136"/>
    <x v="79"/>
    <x v="88"/>
    <x v="1"/>
    <x v="2"/>
    <x v="1"/>
    <x v="0"/>
    <x v="3"/>
    <x v="14"/>
    <x v="11"/>
    <x v="1"/>
    <x v="3"/>
  </r>
  <r>
    <x v="2181"/>
    <x v="8"/>
    <x v="0"/>
    <n v="30.7"/>
    <n v="30.7"/>
    <x v="79"/>
    <x v="80"/>
    <x v="1"/>
    <x v="0"/>
    <x v="0"/>
    <x v="0"/>
    <x v="3"/>
    <x v="3"/>
    <x v="11"/>
    <x v="1"/>
    <x v="3"/>
  </r>
  <r>
    <x v="2182"/>
    <x v="17"/>
    <x v="15"/>
    <n v="51.6"/>
    <n v="670.80000000000007"/>
    <x v="79"/>
    <x v="77"/>
    <x v="3"/>
    <x v="1"/>
    <x v="2"/>
    <x v="0"/>
    <x v="3"/>
    <x v="2"/>
    <x v="11"/>
    <x v="3"/>
    <x v="3"/>
  </r>
  <r>
    <x v="2183"/>
    <x v="8"/>
    <x v="2"/>
    <n v="20.6"/>
    <n v="61.800000000000004"/>
    <x v="79"/>
    <x v="82"/>
    <x v="2"/>
    <x v="4"/>
    <x v="2"/>
    <x v="0"/>
    <x v="3"/>
    <x v="5"/>
    <x v="11"/>
    <x v="2"/>
    <x v="3"/>
  </r>
  <r>
    <x v="2184"/>
    <x v="8"/>
    <x v="0"/>
    <n v="24.8"/>
    <n v="24.8"/>
    <x v="79"/>
    <x v="80"/>
    <x v="1"/>
    <x v="4"/>
    <x v="0"/>
    <x v="0"/>
    <x v="3"/>
    <x v="3"/>
    <x v="11"/>
    <x v="1"/>
    <x v="3"/>
  </r>
  <r>
    <x v="2185"/>
    <x v="0"/>
    <x v="3"/>
    <n v="11.2"/>
    <n v="78.399999999999991"/>
    <x v="79"/>
    <x v="77"/>
    <x v="1"/>
    <x v="1"/>
    <x v="0"/>
    <x v="0"/>
    <x v="3"/>
    <x v="2"/>
    <x v="11"/>
    <x v="1"/>
    <x v="3"/>
  </r>
  <r>
    <x v="2186"/>
    <x v="11"/>
    <x v="1"/>
    <n v="51.2"/>
    <n v="102.4"/>
    <x v="79"/>
    <x v="80"/>
    <x v="2"/>
    <x v="1"/>
    <x v="2"/>
    <x v="0"/>
    <x v="3"/>
    <x v="3"/>
    <x v="11"/>
    <x v="2"/>
    <x v="3"/>
  </r>
  <r>
    <x v="2187"/>
    <x v="7"/>
    <x v="13"/>
    <n v="90.5"/>
    <n v="543"/>
    <x v="79"/>
    <x v="80"/>
    <x v="2"/>
    <x v="1"/>
    <x v="4"/>
    <x v="0"/>
    <x v="3"/>
    <x v="3"/>
    <x v="11"/>
    <x v="2"/>
    <x v="3"/>
  </r>
  <r>
    <x v="2188"/>
    <x v="1"/>
    <x v="1"/>
    <n v="42.4"/>
    <n v="84.8"/>
    <x v="79"/>
    <x v="80"/>
    <x v="1"/>
    <x v="1"/>
    <x v="2"/>
    <x v="0"/>
    <x v="4"/>
    <x v="3"/>
    <x v="11"/>
    <x v="1"/>
    <x v="4"/>
  </r>
  <r>
    <x v="2189"/>
    <x v="1"/>
    <x v="1"/>
    <n v="38.200000000000003"/>
    <n v="76.400000000000006"/>
    <x v="79"/>
    <x v="80"/>
    <x v="1"/>
    <x v="0"/>
    <x v="0"/>
    <x v="0"/>
    <x v="5"/>
    <x v="3"/>
    <x v="11"/>
    <x v="1"/>
    <x v="5"/>
  </r>
  <r>
    <x v="2190"/>
    <x v="2"/>
    <x v="11"/>
    <n v="121.3"/>
    <n v="1091.7"/>
    <x v="79"/>
    <x v="81"/>
    <x v="1"/>
    <x v="0"/>
    <x v="0"/>
    <x v="0"/>
    <x v="6"/>
    <x v="0"/>
    <x v="11"/>
    <x v="1"/>
    <x v="6"/>
  </r>
  <r>
    <x v="2191"/>
    <x v="6"/>
    <x v="1"/>
    <n v="46.9"/>
    <n v="93.8"/>
    <x v="79"/>
    <x v="86"/>
    <x v="1"/>
    <x v="0"/>
    <x v="0"/>
    <x v="0"/>
    <x v="8"/>
    <x v="6"/>
    <x v="11"/>
    <x v="1"/>
    <x v="8"/>
  </r>
  <r>
    <x v="2192"/>
    <x v="10"/>
    <x v="0"/>
    <n v="55.3"/>
    <n v="55.3"/>
    <x v="79"/>
    <x v="79"/>
    <x v="1"/>
    <x v="0"/>
    <x v="0"/>
    <x v="0"/>
    <x v="8"/>
    <x v="1"/>
    <x v="11"/>
    <x v="1"/>
    <x v="8"/>
  </r>
  <r>
    <x v="2193"/>
    <x v="2"/>
    <x v="2"/>
    <n v="70.599999999999994"/>
    <n v="211.79999999999998"/>
    <x v="80"/>
    <x v="80"/>
    <x v="2"/>
    <x v="0"/>
    <x v="1"/>
    <x v="0"/>
    <x v="8"/>
    <x v="7"/>
    <x v="11"/>
    <x v="2"/>
    <x v="8"/>
  </r>
  <r>
    <x v="2194"/>
    <x v="14"/>
    <x v="12"/>
    <n v="26.1"/>
    <n v="104.4"/>
    <x v="80"/>
    <x v="77"/>
    <x v="1"/>
    <x v="0"/>
    <x v="0"/>
    <x v="0"/>
    <x v="8"/>
    <x v="1"/>
    <x v="11"/>
    <x v="1"/>
    <x v="8"/>
  </r>
  <r>
    <x v="2195"/>
    <x v="9"/>
    <x v="5"/>
    <n v="34.5"/>
    <n v="379.5"/>
    <x v="80"/>
    <x v="81"/>
    <x v="1"/>
    <x v="2"/>
    <x v="0"/>
    <x v="0"/>
    <x v="17"/>
    <x v="5"/>
    <x v="11"/>
    <x v="1"/>
    <x v="17"/>
  </r>
  <r>
    <x v="2196"/>
    <x v="1"/>
    <x v="1"/>
    <n v="64.2"/>
    <n v="128.4"/>
    <x v="80"/>
    <x v="79"/>
    <x v="2"/>
    <x v="0"/>
    <x v="1"/>
    <x v="0"/>
    <x v="17"/>
    <x v="3"/>
    <x v="11"/>
    <x v="2"/>
    <x v="17"/>
  </r>
  <r>
    <x v="2197"/>
    <x v="2"/>
    <x v="12"/>
    <n v="145.69999999999999"/>
    <n v="582.79999999999995"/>
    <x v="80"/>
    <x v="79"/>
    <x v="2"/>
    <x v="0"/>
    <x v="4"/>
    <x v="0"/>
    <x v="17"/>
    <x v="3"/>
    <x v="11"/>
    <x v="2"/>
    <x v="17"/>
  </r>
  <r>
    <x v="2198"/>
    <x v="12"/>
    <x v="1"/>
    <n v="78.5"/>
    <n v="157"/>
    <x v="80"/>
    <x v="79"/>
    <x v="1"/>
    <x v="2"/>
    <x v="0"/>
    <x v="0"/>
    <x v="26"/>
    <x v="3"/>
    <x v="11"/>
    <x v="1"/>
    <x v="26"/>
  </r>
  <r>
    <x v="2199"/>
    <x v="1"/>
    <x v="0"/>
    <n v="34.200000000000003"/>
    <n v="34.200000000000003"/>
    <x v="80"/>
    <x v="77"/>
    <x v="1"/>
    <x v="0"/>
    <x v="0"/>
    <x v="0"/>
    <x v="9"/>
    <x v="1"/>
    <x v="11"/>
    <x v="1"/>
    <x v="9"/>
  </r>
  <r>
    <x v="2200"/>
    <x v="19"/>
    <x v="0"/>
    <n v="26.2"/>
    <n v="26.2"/>
    <x v="80"/>
    <x v="79"/>
    <x v="1"/>
    <x v="2"/>
    <x v="0"/>
    <x v="0"/>
    <x v="9"/>
    <x v="3"/>
    <x v="11"/>
    <x v="1"/>
    <x v="9"/>
  </r>
  <r>
    <x v="2201"/>
    <x v="6"/>
    <x v="12"/>
    <n v="53.2"/>
    <n v="212.8"/>
    <x v="80"/>
    <x v="79"/>
    <x v="1"/>
    <x v="1"/>
    <x v="1"/>
    <x v="0"/>
    <x v="11"/>
    <x v="3"/>
    <x v="11"/>
    <x v="1"/>
    <x v="11"/>
  </r>
  <r>
    <x v="2202"/>
    <x v="1"/>
    <x v="0"/>
    <n v="35.4"/>
    <n v="35.4"/>
    <x v="80"/>
    <x v="81"/>
    <x v="1"/>
    <x v="1"/>
    <x v="4"/>
    <x v="0"/>
    <x v="18"/>
    <x v="5"/>
    <x v="11"/>
    <x v="1"/>
    <x v="18"/>
  </r>
  <r>
    <x v="2203"/>
    <x v="14"/>
    <x v="1"/>
    <n v="21.3"/>
    <n v="42.6"/>
    <x v="80"/>
    <x v="79"/>
    <x v="1"/>
    <x v="2"/>
    <x v="0"/>
    <x v="0"/>
    <x v="20"/>
    <x v="3"/>
    <x v="11"/>
    <x v="1"/>
    <x v="20"/>
  </r>
  <r>
    <x v="2204"/>
    <x v="8"/>
    <x v="12"/>
    <n v="32.9"/>
    <n v="131.6"/>
    <x v="80"/>
    <x v="82"/>
    <x v="2"/>
    <x v="4"/>
    <x v="2"/>
    <x v="0"/>
    <x v="21"/>
    <x v="2"/>
    <x v="11"/>
    <x v="2"/>
    <x v="21"/>
  </r>
  <r>
    <x v="2205"/>
    <x v="5"/>
    <x v="20"/>
    <n v="85.5"/>
    <n v="1282.5"/>
    <x v="80"/>
    <x v="77"/>
    <x v="2"/>
    <x v="3"/>
    <x v="1"/>
    <x v="0"/>
    <x v="21"/>
    <x v="1"/>
    <x v="11"/>
    <x v="2"/>
    <x v="21"/>
  </r>
  <r>
    <x v="2206"/>
    <x v="4"/>
    <x v="0"/>
    <n v="26.8"/>
    <n v="26.8"/>
    <x v="80"/>
    <x v="79"/>
    <x v="2"/>
    <x v="0"/>
    <x v="1"/>
    <x v="0"/>
    <x v="2"/>
    <x v="3"/>
    <x v="11"/>
    <x v="2"/>
    <x v="2"/>
  </r>
  <r>
    <x v="2207"/>
    <x v="9"/>
    <x v="18"/>
    <n v="31.7"/>
    <n v="824.19999999999993"/>
    <x v="80"/>
    <x v="80"/>
    <x v="2"/>
    <x v="3"/>
    <x v="0"/>
    <x v="0"/>
    <x v="2"/>
    <x v="7"/>
    <x v="11"/>
    <x v="2"/>
    <x v="2"/>
  </r>
  <r>
    <x v="2208"/>
    <x v="1"/>
    <x v="1"/>
    <n v="78.3"/>
    <n v="156.6"/>
    <x v="80"/>
    <x v="77"/>
    <x v="2"/>
    <x v="1"/>
    <x v="1"/>
    <x v="0"/>
    <x v="3"/>
    <x v="1"/>
    <x v="11"/>
    <x v="2"/>
    <x v="3"/>
  </r>
  <r>
    <x v="2209"/>
    <x v="6"/>
    <x v="0"/>
    <n v="43.9"/>
    <n v="43.9"/>
    <x v="80"/>
    <x v="79"/>
    <x v="1"/>
    <x v="0"/>
    <x v="0"/>
    <x v="0"/>
    <x v="3"/>
    <x v="3"/>
    <x v="11"/>
    <x v="1"/>
    <x v="3"/>
  </r>
  <r>
    <x v="2210"/>
    <x v="18"/>
    <x v="2"/>
    <n v="84"/>
    <n v="252"/>
    <x v="80"/>
    <x v="77"/>
    <x v="0"/>
    <x v="3"/>
    <x v="2"/>
    <x v="0"/>
    <x v="3"/>
    <x v="1"/>
    <x v="11"/>
    <x v="0"/>
    <x v="3"/>
  </r>
  <r>
    <x v="2211"/>
    <x v="0"/>
    <x v="2"/>
    <n v="11.4"/>
    <n v="34.200000000000003"/>
    <x v="80"/>
    <x v="79"/>
    <x v="1"/>
    <x v="4"/>
    <x v="0"/>
    <x v="0"/>
    <x v="3"/>
    <x v="3"/>
    <x v="11"/>
    <x v="1"/>
    <x v="3"/>
  </r>
  <r>
    <x v="2212"/>
    <x v="12"/>
    <x v="8"/>
    <n v="47.5"/>
    <n v="380"/>
    <x v="80"/>
    <x v="89"/>
    <x v="2"/>
    <x v="0"/>
    <x v="0"/>
    <x v="0"/>
    <x v="3"/>
    <x v="9"/>
    <x v="11"/>
    <x v="2"/>
    <x v="3"/>
  </r>
  <r>
    <x v="2213"/>
    <x v="9"/>
    <x v="5"/>
    <n v="50.5"/>
    <n v="555.5"/>
    <x v="80"/>
    <x v="77"/>
    <x v="1"/>
    <x v="2"/>
    <x v="0"/>
    <x v="0"/>
    <x v="3"/>
    <x v="1"/>
    <x v="11"/>
    <x v="1"/>
    <x v="3"/>
  </r>
  <r>
    <x v="2214"/>
    <x v="15"/>
    <x v="0"/>
    <n v="36.299999999999997"/>
    <n v="36.299999999999997"/>
    <x v="80"/>
    <x v="82"/>
    <x v="3"/>
    <x v="0"/>
    <x v="1"/>
    <x v="0"/>
    <x v="8"/>
    <x v="2"/>
    <x v="11"/>
    <x v="3"/>
    <x v="8"/>
  </r>
  <r>
    <x v="2215"/>
    <x v="8"/>
    <x v="1"/>
    <n v="35.4"/>
    <n v="70.8"/>
    <x v="80"/>
    <x v="79"/>
    <x v="2"/>
    <x v="0"/>
    <x v="0"/>
    <x v="0"/>
    <x v="17"/>
    <x v="3"/>
    <x v="11"/>
    <x v="2"/>
    <x v="17"/>
  </r>
  <r>
    <x v="2216"/>
    <x v="1"/>
    <x v="2"/>
    <n v="45.9"/>
    <n v="137.69999999999999"/>
    <x v="81"/>
    <x v="77"/>
    <x v="1"/>
    <x v="3"/>
    <x v="0"/>
    <x v="0"/>
    <x v="9"/>
    <x v="3"/>
    <x v="12"/>
    <x v="1"/>
    <x v="9"/>
  </r>
  <r>
    <x v="2217"/>
    <x v="6"/>
    <x v="7"/>
    <n v="41.2"/>
    <n v="412"/>
    <x v="81"/>
    <x v="87"/>
    <x v="1"/>
    <x v="0"/>
    <x v="0"/>
    <x v="0"/>
    <x v="11"/>
    <x v="5"/>
    <x v="12"/>
    <x v="1"/>
    <x v="11"/>
  </r>
  <r>
    <x v="2218"/>
    <x v="17"/>
    <x v="1"/>
    <n v="45.1"/>
    <n v="90.2"/>
    <x v="81"/>
    <x v="77"/>
    <x v="1"/>
    <x v="1"/>
    <x v="1"/>
    <x v="0"/>
    <x v="21"/>
    <x v="3"/>
    <x v="12"/>
    <x v="1"/>
    <x v="21"/>
  </r>
  <r>
    <x v="2219"/>
    <x v="6"/>
    <x v="7"/>
    <n v="63.6"/>
    <n v="636"/>
    <x v="81"/>
    <x v="79"/>
    <x v="1"/>
    <x v="2"/>
    <x v="0"/>
    <x v="0"/>
    <x v="1"/>
    <x v="7"/>
    <x v="12"/>
    <x v="1"/>
    <x v="1"/>
  </r>
  <r>
    <x v="2220"/>
    <x v="8"/>
    <x v="0"/>
    <n v="70.5"/>
    <n v="70.5"/>
    <x v="81"/>
    <x v="77"/>
    <x v="1"/>
    <x v="0"/>
    <x v="0"/>
    <x v="0"/>
    <x v="3"/>
    <x v="3"/>
    <x v="12"/>
    <x v="1"/>
    <x v="3"/>
  </r>
  <r>
    <x v="2221"/>
    <x v="6"/>
    <x v="0"/>
    <n v="41.3"/>
    <n v="41.3"/>
    <x v="81"/>
    <x v="79"/>
    <x v="1"/>
    <x v="4"/>
    <x v="0"/>
    <x v="0"/>
    <x v="3"/>
    <x v="7"/>
    <x v="12"/>
    <x v="1"/>
    <x v="3"/>
  </r>
  <r>
    <x v="2222"/>
    <x v="4"/>
    <x v="0"/>
    <n v="35.299999999999997"/>
    <n v="35.299999999999997"/>
    <x v="81"/>
    <x v="81"/>
    <x v="2"/>
    <x v="4"/>
    <x v="2"/>
    <x v="0"/>
    <x v="3"/>
    <x v="2"/>
    <x v="12"/>
    <x v="2"/>
    <x v="3"/>
  </r>
  <r>
    <x v="2223"/>
    <x v="8"/>
    <x v="9"/>
    <n v="34.700000000000003"/>
    <n v="173.5"/>
    <x v="81"/>
    <x v="77"/>
    <x v="2"/>
    <x v="0"/>
    <x v="2"/>
    <x v="0"/>
    <x v="3"/>
    <x v="3"/>
    <x v="12"/>
    <x v="2"/>
    <x v="3"/>
  </r>
  <r>
    <x v="2224"/>
    <x v="8"/>
    <x v="2"/>
    <n v="26.1"/>
    <n v="78.300000000000011"/>
    <x v="81"/>
    <x v="77"/>
    <x v="2"/>
    <x v="0"/>
    <x v="0"/>
    <x v="0"/>
    <x v="3"/>
    <x v="3"/>
    <x v="12"/>
    <x v="2"/>
    <x v="3"/>
  </r>
  <r>
    <x v="2225"/>
    <x v="9"/>
    <x v="9"/>
    <n v="22.6"/>
    <n v="113"/>
    <x v="81"/>
    <x v="79"/>
    <x v="2"/>
    <x v="1"/>
    <x v="2"/>
    <x v="0"/>
    <x v="3"/>
    <x v="7"/>
    <x v="12"/>
    <x v="2"/>
    <x v="3"/>
  </r>
  <r>
    <x v="2226"/>
    <x v="2"/>
    <x v="1"/>
    <n v="154.4"/>
    <n v="308.8"/>
    <x v="81"/>
    <x v="81"/>
    <x v="1"/>
    <x v="1"/>
    <x v="1"/>
    <x v="0"/>
    <x v="3"/>
    <x v="2"/>
    <x v="12"/>
    <x v="1"/>
    <x v="3"/>
  </r>
  <r>
    <x v="2227"/>
    <x v="8"/>
    <x v="1"/>
    <n v="18.399999999999999"/>
    <n v="36.799999999999997"/>
    <x v="81"/>
    <x v="77"/>
    <x v="1"/>
    <x v="0"/>
    <x v="0"/>
    <x v="0"/>
    <x v="3"/>
    <x v="3"/>
    <x v="12"/>
    <x v="1"/>
    <x v="3"/>
  </r>
  <r>
    <x v="2228"/>
    <x v="14"/>
    <x v="0"/>
    <n v="25"/>
    <n v="25"/>
    <x v="81"/>
    <x v="81"/>
    <x v="2"/>
    <x v="0"/>
    <x v="0"/>
    <x v="0"/>
    <x v="3"/>
    <x v="2"/>
    <x v="12"/>
    <x v="2"/>
    <x v="3"/>
  </r>
  <r>
    <x v="2229"/>
    <x v="2"/>
    <x v="13"/>
    <n v="105.6"/>
    <n v="633.59999999999991"/>
    <x v="81"/>
    <x v="79"/>
    <x v="2"/>
    <x v="0"/>
    <x v="0"/>
    <x v="0"/>
    <x v="3"/>
    <x v="7"/>
    <x v="12"/>
    <x v="2"/>
    <x v="3"/>
  </r>
  <r>
    <x v="2230"/>
    <x v="18"/>
    <x v="8"/>
    <n v="59.6"/>
    <n v="476.8"/>
    <x v="81"/>
    <x v="79"/>
    <x v="2"/>
    <x v="0"/>
    <x v="2"/>
    <x v="0"/>
    <x v="23"/>
    <x v="7"/>
    <x v="12"/>
    <x v="2"/>
    <x v="23"/>
  </r>
  <r>
    <x v="2231"/>
    <x v="15"/>
    <x v="2"/>
    <n v="75.400000000000006"/>
    <n v="226.20000000000002"/>
    <x v="81"/>
    <x v="86"/>
    <x v="1"/>
    <x v="0"/>
    <x v="1"/>
    <x v="0"/>
    <x v="7"/>
    <x v="0"/>
    <x v="12"/>
    <x v="1"/>
    <x v="7"/>
  </r>
  <r>
    <x v="2232"/>
    <x v="7"/>
    <x v="0"/>
    <n v="104.4"/>
    <n v="104.4"/>
    <x v="81"/>
    <x v="77"/>
    <x v="2"/>
    <x v="0"/>
    <x v="0"/>
    <x v="0"/>
    <x v="8"/>
    <x v="3"/>
    <x v="12"/>
    <x v="2"/>
    <x v="8"/>
  </r>
  <r>
    <x v="2233"/>
    <x v="2"/>
    <x v="7"/>
    <n v="208.2"/>
    <n v="2082"/>
    <x v="81"/>
    <x v="77"/>
    <x v="1"/>
    <x v="0"/>
    <x v="2"/>
    <x v="0"/>
    <x v="8"/>
    <x v="3"/>
    <x v="12"/>
    <x v="1"/>
    <x v="8"/>
  </r>
  <r>
    <x v="2234"/>
    <x v="6"/>
    <x v="1"/>
    <n v="45"/>
    <n v="90"/>
    <x v="81"/>
    <x v="81"/>
    <x v="2"/>
    <x v="0"/>
    <x v="0"/>
    <x v="0"/>
    <x v="10"/>
    <x v="2"/>
    <x v="12"/>
    <x v="2"/>
    <x v="10"/>
  </r>
  <r>
    <x v="2235"/>
    <x v="15"/>
    <x v="1"/>
    <n v="20.3"/>
    <n v="40.6"/>
    <x v="82"/>
    <x v="81"/>
    <x v="0"/>
    <x v="1"/>
    <x v="0"/>
    <x v="0"/>
    <x v="11"/>
    <x v="1"/>
    <x v="12"/>
    <x v="0"/>
    <x v="11"/>
  </r>
  <r>
    <x v="2236"/>
    <x v="2"/>
    <x v="2"/>
    <n v="94.4"/>
    <n v="283.20000000000005"/>
    <x v="82"/>
    <x v="82"/>
    <x v="2"/>
    <x v="0"/>
    <x v="2"/>
    <x v="0"/>
    <x v="11"/>
    <x v="3"/>
    <x v="12"/>
    <x v="2"/>
    <x v="11"/>
  </r>
  <r>
    <x v="2237"/>
    <x v="9"/>
    <x v="0"/>
    <n v="49"/>
    <n v="49"/>
    <x v="82"/>
    <x v="81"/>
    <x v="2"/>
    <x v="0"/>
    <x v="2"/>
    <x v="0"/>
    <x v="20"/>
    <x v="1"/>
    <x v="12"/>
    <x v="2"/>
    <x v="20"/>
  </r>
  <r>
    <x v="2238"/>
    <x v="4"/>
    <x v="1"/>
    <n v="27.2"/>
    <n v="54.4"/>
    <x v="82"/>
    <x v="81"/>
    <x v="1"/>
    <x v="0"/>
    <x v="2"/>
    <x v="0"/>
    <x v="1"/>
    <x v="1"/>
    <x v="12"/>
    <x v="1"/>
    <x v="1"/>
  </r>
  <r>
    <x v="2239"/>
    <x v="2"/>
    <x v="13"/>
    <n v="72.599999999999994"/>
    <n v="435.59999999999997"/>
    <x v="82"/>
    <x v="82"/>
    <x v="2"/>
    <x v="0"/>
    <x v="2"/>
    <x v="0"/>
    <x v="2"/>
    <x v="3"/>
    <x v="12"/>
    <x v="2"/>
    <x v="2"/>
  </r>
  <r>
    <x v="2240"/>
    <x v="15"/>
    <x v="12"/>
    <n v="62.4"/>
    <n v="249.6"/>
    <x v="82"/>
    <x v="82"/>
    <x v="2"/>
    <x v="0"/>
    <x v="0"/>
    <x v="0"/>
    <x v="3"/>
    <x v="3"/>
    <x v="12"/>
    <x v="2"/>
    <x v="3"/>
  </r>
  <r>
    <x v="2241"/>
    <x v="8"/>
    <x v="2"/>
    <n v="19.100000000000001"/>
    <n v="57.300000000000004"/>
    <x v="82"/>
    <x v="81"/>
    <x v="1"/>
    <x v="0"/>
    <x v="1"/>
    <x v="0"/>
    <x v="3"/>
    <x v="1"/>
    <x v="12"/>
    <x v="1"/>
    <x v="3"/>
  </r>
  <r>
    <x v="2242"/>
    <x v="10"/>
    <x v="0"/>
    <n v="29.6"/>
    <n v="29.6"/>
    <x v="82"/>
    <x v="86"/>
    <x v="1"/>
    <x v="0"/>
    <x v="4"/>
    <x v="0"/>
    <x v="3"/>
    <x v="5"/>
    <x v="12"/>
    <x v="1"/>
    <x v="3"/>
  </r>
  <r>
    <x v="2243"/>
    <x v="8"/>
    <x v="1"/>
    <n v="18.899999999999999"/>
    <n v="37.799999999999997"/>
    <x v="82"/>
    <x v="81"/>
    <x v="2"/>
    <x v="4"/>
    <x v="2"/>
    <x v="0"/>
    <x v="3"/>
    <x v="1"/>
    <x v="12"/>
    <x v="2"/>
    <x v="3"/>
  </r>
  <r>
    <x v="2244"/>
    <x v="10"/>
    <x v="9"/>
    <n v="41.4"/>
    <n v="207"/>
    <x v="82"/>
    <x v="82"/>
    <x v="1"/>
    <x v="3"/>
    <x v="0"/>
    <x v="0"/>
    <x v="3"/>
    <x v="3"/>
    <x v="12"/>
    <x v="1"/>
    <x v="3"/>
  </r>
  <r>
    <x v="2245"/>
    <x v="2"/>
    <x v="0"/>
    <n v="118.4"/>
    <n v="118.4"/>
    <x v="82"/>
    <x v="82"/>
    <x v="2"/>
    <x v="0"/>
    <x v="2"/>
    <x v="0"/>
    <x v="3"/>
    <x v="3"/>
    <x v="12"/>
    <x v="2"/>
    <x v="3"/>
  </r>
  <r>
    <x v="2246"/>
    <x v="2"/>
    <x v="1"/>
    <n v="125.3"/>
    <n v="250.6"/>
    <x v="82"/>
    <x v="87"/>
    <x v="2"/>
    <x v="0"/>
    <x v="2"/>
    <x v="0"/>
    <x v="3"/>
    <x v="2"/>
    <x v="12"/>
    <x v="2"/>
    <x v="3"/>
  </r>
  <r>
    <x v="2247"/>
    <x v="3"/>
    <x v="1"/>
    <n v="85.8"/>
    <n v="171.6"/>
    <x v="82"/>
    <x v="82"/>
    <x v="2"/>
    <x v="1"/>
    <x v="4"/>
    <x v="0"/>
    <x v="3"/>
    <x v="3"/>
    <x v="12"/>
    <x v="2"/>
    <x v="3"/>
  </r>
  <r>
    <x v="2248"/>
    <x v="6"/>
    <x v="0"/>
    <n v="44.2"/>
    <n v="44.2"/>
    <x v="82"/>
    <x v="87"/>
    <x v="1"/>
    <x v="1"/>
    <x v="0"/>
    <x v="0"/>
    <x v="3"/>
    <x v="2"/>
    <x v="12"/>
    <x v="1"/>
    <x v="3"/>
  </r>
  <r>
    <x v="2249"/>
    <x v="5"/>
    <x v="12"/>
    <n v="74.099999999999994"/>
    <n v="296.39999999999998"/>
    <x v="82"/>
    <x v="81"/>
    <x v="2"/>
    <x v="0"/>
    <x v="0"/>
    <x v="0"/>
    <x v="3"/>
    <x v="1"/>
    <x v="12"/>
    <x v="2"/>
    <x v="3"/>
  </r>
  <r>
    <x v="2250"/>
    <x v="8"/>
    <x v="0"/>
    <n v="33.799999999999997"/>
    <n v="33.799999999999997"/>
    <x v="82"/>
    <x v="82"/>
    <x v="2"/>
    <x v="2"/>
    <x v="2"/>
    <x v="0"/>
    <x v="24"/>
    <x v="3"/>
    <x v="12"/>
    <x v="2"/>
    <x v="24"/>
  </r>
  <r>
    <x v="2251"/>
    <x v="1"/>
    <x v="1"/>
    <n v="39.1"/>
    <n v="78.2"/>
    <x v="82"/>
    <x v="82"/>
    <x v="1"/>
    <x v="0"/>
    <x v="1"/>
    <x v="0"/>
    <x v="24"/>
    <x v="3"/>
    <x v="12"/>
    <x v="1"/>
    <x v="24"/>
  </r>
  <r>
    <x v="2252"/>
    <x v="0"/>
    <x v="0"/>
    <n v="37.200000000000003"/>
    <n v="37.200000000000003"/>
    <x v="82"/>
    <x v="82"/>
    <x v="1"/>
    <x v="0"/>
    <x v="1"/>
    <x v="0"/>
    <x v="16"/>
    <x v="3"/>
    <x v="12"/>
    <x v="1"/>
    <x v="16"/>
  </r>
  <r>
    <x v="2253"/>
    <x v="15"/>
    <x v="2"/>
    <n v="33.9"/>
    <n v="101.69999999999999"/>
    <x v="82"/>
    <x v="81"/>
    <x v="1"/>
    <x v="2"/>
    <x v="0"/>
    <x v="0"/>
    <x v="6"/>
    <x v="1"/>
    <x v="12"/>
    <x v="1"/>
    <x v="6"/>
  </r>
  <r>
    <x v="2254"/>
    <x v="7"/>
    <x v="20"/>
    <n v="73.3"/>
    <n v="1099.5"/>
    <x v="82"/>
    <x v="87"/>
    <x v="2"/>
    <x v="2"/>
    <x v="1"/>
    <x v="0"/>
    <x v="8"/>
    <x v="2"/>
    <x v="12"/>
    <x v="2"/>
    <x v="8"/>
  </r>
  <r>
    <x v="2255"/>
    <x v="8"/>
    <x v="12"/>
    <n v="35"/>
    <n v="140"/>
    <x v="82"/>
    <x v="81"/>
    <x v="2"/>
    <x v="1"/>
    <x v="0"/>
    <x v="0"/>
    <x v="8"/>
    <x v="1"/>
    <x v="12"/>
    <x v="2"/>
    <x v="8"/>
  </r>
  <r>
    <x v="2256"/>
    <x v="0"/>
    <x v="2"/>
    <n v="22.2"/>
    <n v="66.599999999999994"/>
    <x v="82"/>
    <x v="82"/>
    <x v="1"/>
    <x v="1"/>
    <x v="0"/>
    <x v="0"/>
    <x v="17"/>
    <x v="3"/>
    <x v="12"/>
    <x v="1"/>
    <x v="17"/>
  </r>
  <r>
    <x v="2257"/>
    <x v="10"/>
    <x v="0"/>
    <n v="32.4"/>
    <n v="32.4"/>
    <x v="82"/>
    <x v="82"/>
    <x v="2"/>
    <x v="0"/>
    <x v="0"/>
    <x v="0"/>
    <x v="11"/>
    <x v="3"/>
    <x v="12"/>
    <x v="2"/>
    <x v="11"/>
  </r>
  <r>
    <x v="2258"/>
    <x v="5"/>
    <x v="2"/>
    <n v="88.4"/>
    <n v="265.20000000000005"/>
    <x v="83"/>
    <x v="87"/>
    <x v="2"/>
    <x v="1"/>
    <x v="1"/>
    <x v="0"/>
    <x v="11"/>
    <x v="1"/>
    <x v="12"/>
    <x v="2"/>
    <x v="11"/>
  </r>
  <r>
    <x v="2259"/>
    <x v="5"/>
    <x v="27"/>
    <n v="30.5"/>
    <n v="488"/>
    <x v="83"/>
    <x v="81"/>
    <x v="2"/>
    <x v="2"/>
    <x v="0"/>
    <x v="0"/>
    <x v="11"/>
    <x v="3"/>
    <x v="12"/>
    <x v="2"/>
    <x v="11"/>
  </r>
  <r>
    <x v="2260"/>
    <x v="1"/>
    <x v="13"/>
    <n v="38.1"/>
    <n v="228.60000000000002"/>
    <x v="83"/>
    <x v="87"/>
    <x v="2"/>
    <x v="0"/>
    <x v="1"/>
    <x v="0"/>
    <x v="11"/>
    <x v="1"/>
    <x v="12"/>
    <x v="2"/>
    <x v="11"/>
  </r>
  <r>
    <x v="2261"/>
    <x v="10"/>
    <x v="9"/>
    <n v="37.6"/>
    <n v="188"/>
    <x v="83"/>
    <x v="90"/>
    <x v="1"/>
    <x v="0"/>
    <x v="0"/>
    <x v="0"/>
    <x v="11"/>
    <x v="5"/>
    <x v="12"/>
    <x v="1"/>
    <x v="11"/>
  </r>
  <r>
    <x v="2262"/>
    <x v="15"/>
    <x v="1"/>
    <n v="31.4"/>
    <n v="62.8"/>
    <x v="83"/>
    <x v="81"/>
    <x v="1"/>
    <x v="0"/>
    <x v="2"/>
    <x v="0"/>
    <x v="11"/>
    <x v="3"/>
    <x v="12"/>
    <x v="1"/>
    <x v="11"/>
  </r>
  <r>
    <x v="2263"/>
    <x v="6"/>
    <x v="1"/>
    <n v="61.5"/>
    <n v="123"/>
    <x v="83"/>
    <x v="81"/>
    <x v="1"/>
    <x v="3"/>
    <x v="0"/>
    <x v="0"/>
    <x v="31"/>
    <x v="3"/>
    <x v="12"/>
    <x v="1"/>
    <x v="31"/>
  </r>
  <r>
    <x v="2264"/>
    <x v="6"/>
    <x v="0"/>
    <n v="72.599999999999994"/>
    <n v="72.599999999999994"/>
    <x v="83"/>
    <x v="81"/>
    <x v="1"/>
    <x v="0"/>
    <x v="1"/>
    <x v="0"/>
    <x v="21"/>
    <x v="3"/>
    <x v="12"/>
    <x v="1"/>
    <x v="21"/>
  </r>
  <r>
    <x v="2265"/>
    <x v="9"/>
    <x v="2"/>
    <n v="26.9"/>
    <n v="80.699999999999989"/>
    <x v="83"/>
    <x v="89"/>
    <x v="3"/>
    <x v="4"/>
    <x v="1"/>
    <x v="0"/>
    <x v="46"/>
    <x v="0"/>
    <x v="12"/>
    <x v="3"/>
    <x v="46"/>
  </r>
  <r>
    <x v="2266"/>
    <x v="17"/>
    <x v="4"/>
    <n v="29.4"/>
    <n v="352.79999999999995"/>
    <x v="83"/>
    <x v="81"/>
    <x v="2"/>
    <x v="1"/>
    <x v="0"/>
    <x v="0"/>
    <x v="51"/>
    <x v="3"/>
    <x v="12"/>
    <x v="2"/>
    <x v="51"/>
  </r>
  <r>
    <x v="2267"/>
    <x v="17"/>
    <x v="1"/>
    <n v="42.1"/>
    <n v="84.2"/>
    <x v="83"/>
    <x v="81"/>
    <x v="2"/>
    <x v="3"/>
    <x v="1"/>
    <x v="0"/>
    <x v="1"/>
    <x v="3"/>
    <x v="12"/>
    <x v="2"/>
    <x v="1"/>
  </r>
  <r>
    <x v="2268"/>
    <x v="5"/>
    <x v="0"/>
    <n v="40.5"/>
    <n v="40.5"/>
    <x v="83"/>
    <x v="81"/>
    <x v="2"/>
    <x v="2"/>
    <x v="1"/>
    <x v="0"/>
    <x v="1"/>
    <x v="3"/>
    <x v="12"/>
    <x v="2"/>
    <x v="1"/>
  </r>
  <r>
    <x v="2269"/>
    <x v="2"/>
    <x v="12"/>
    <n v="182.3"/>
    <n v="729.2"/>
    <x v="83"/>
    <x v="81"/>
    <x v="2"/>
    <x v="1"/>
    <x v="0"/>
    <x v="0"/>
    <x v="1"/>
    <x v="3"/>
    <x v="12"/>
    <x v="2"/>
    <x v="1"/>
  </r>
  <r>
    <x v="2270"/>
    <x v="2"/>
    <x v="9"/>
    <n v="157"/>
    <n v="785"/>
    <x v="83"/>
    <x v="86"/>
    <x v="2"/>
    <x v="1"/>
    <x v="2"/>
    <x v="0"/>
    <x v="2"/>
    <x v="2"/>
    <x v="12"/>
    <x v="2"/>
    <x v="2"/>
  </r>
  <r>
    <x v="2271"/>
    <x v="17"/>
    <x v="9"/>
    <n v="45.2"/>
    <n v="226"/>
    <x v="83"/>
    <x v="86"/>
    <x v="2"/>
    <x v="1"/>
    <x v="0"/>
    <x v="0"/>
    <x v="22"/>
    <x v="2"/>
    <x v="12"/>
    <x v="2"/>
    <x v="22"/>
  </r>
  <r>
    <x v="2272"/>
    <x v="15"/>
    <x v="12"/>
    <n v="27.4"/>
    <n v="109.6"/>
    <x v="83"/>
    <x v="87"/>
    <x v="2"/>
    <x v="0"/>
    <x v="0"/>
    <x v="0"/>
    <x v="3"/>
    <x v="1"/>
    <x v="12"/>
    <x v="2"/>
    <x v="3"/>
  </r>
  <r>
    <x v="2273"/>
    <x v="5"/>
    <x v="9"/>
    <n v="34.1"/>
    <n v="170.5"/>
    <x v="83"/>
    <x v="87"/>
    <x v="1"/>
    <x v="0"/>
    <x v="2"/>
    <x v="0"/>
    <x v="3"/>
    <x v="1"/>
    <x v="12"/>
    <x v="1"/>
    <x v="3"/>
  </r>
  <r>
    <x v="2274"/>
    <x v="0"/>
    <x v="1"/>
    <n v="26"/>
    <n v="52"/>
    <x v="83"/>
    <x v="87"/>
    <x v="1"/>
    <x v="2"/>
    <x v="1"/>
    <x v="0"/>
    <x v="3"/>
    <x v="1"/>
    <x v="12"/>
    <x v="1"/>
    <x v="3"/>
  </r>
  <r>
    <x v="2275"/>
    <x v="8"/>
    <x v="3"/>
    <n v="19.399999999999999"/>
    <n v="135.79999999999998"/>
    <x v="83"/>
    <x v="87"/>
    <x v="0"/>
    <x v="1"/>
    <x v="1"/>
    <x v="0"/>
    <x v="3"/>
    <x v="1"/>
    <x v="12"/>
    <x v="0"/>
    <x v="3"/>
  </r>
  <r>
    <x v="2276"/>
    <x v="16"/>
    <x v="2"/>
    <n v="30.3"/>
    <n v="90.9"/>
    <x v="83"/>
    <x v="86"/>
    <x v="2"/>
    <x v="1"/>
    <x v="2"/>
    <x v="0"/>
    <x v="3"/>
    <x v="2"/>
    <x v="12"/>
    <x v="2"/>
    <x v="3"/>
  </r>
  <r>
    <x v="2277"/>
    <x v="2"/>
    <x v="2"/>
    <n v="101.4"/>
    <n v="304.20000000000005"/>
    <x v="83"/>
    <x v="81"/>
    <x v="1"/>
    <x v="0"/>
    <x v="0"/>
    <x v="0"/>
    <x v="3"/>
    <x v="3"/>
    <x v="12"/>
    <x v="1"/>
    <x v="3"/>
  </r>
  <r>
    <x v="2278"/>
    <x v="3"/>
    <x v="9"/>
    <n v="55.5"/>
    <n v="277.5"/>
    <x v="83"/>
    <x v="86"/>
    <x v="1"/>
    <x v="1"/>
    <x v="0"/>
    <x v="0"/>
    <x v="24"/>
    <x v="2"/>
    <x v="12"/>
    <x v="1"/>
    <x v="24"/>
  </r>
  <r>
    <x v="2279"/>
    <x v="8"/>
    <x v="0"/>
    <n v="23.1"/>
    <n v="23.1"/>
    <x v="83"/>
    <x v="81"/>
    <x v="1"/>
    <x v="0"/>
    <x v="0"/>
    <x v="0"/>
    <x v="25"/>
    <x v="3"/>
    <x v="12"/>
    <x v="1"/>
    <x v="25"/>
  </r>
  <r>
    <x v="2280"/>
    <x v="18"/>
    <x v="1"/>
    <n v="38.9"/>
    <n v="77.8"/>
    <x v="83"/>
    <x v="81"/>
    <x v="1"/>
    <x v="2"/>
    <x v="0"/>
    <x v="0"/>
    <x v="25"/>
    <x v="3"/>
    <x v="12"/>
    <x v="1"/>
    <x v="25"/>
  </r>
  <r>
    <x v="2281"/>
    <x v="6"/>
    <x v="11"/>
    <n v="116.3"/>
    <n v="1046.7"/>
    <x v="83"/>
    <x v="90"/>
    <x v="2"/>
    <x v="0"/>
    <x v="0"/>
    <x v="0"/>
    <x v="5"/>
    <x v="5"/>
    <x v="12"/>
    <x v="2"/>
    <x v="5"/>
  </r>
  <r>
    <x v="2282"/>
    <x v="16"/>
    <x v="11"/>
    <n v="64.099999999999994"/>
    <n v="576.9"/>
    <x v="83"/>
    <x v="82"/>
    <x v="2"/>
    <x v="0"/>
    <x v="2"/>
    <x v="0"/>
    <x v="6"/>
    <x v="7"/>
    <x v="12"/>
    <x v="2"/>
    <x v="6"/>
  </r>
  <r>
    <x v="2283"/>
    <x v="2"/>
    <x v="13"/>
    <n v="109.2"/>
    <n v="655.20000000000005"/>
    <x v="83"/>
    <x v="87"/>
    <x v="1"/>
    <x v="0"/>
    <x v="1"/>
    <x v="0"/>
    <x v="8"/>
    <x v="1"/>
    <x v="12"/>
    <x v="1"/>
    <x v="8"/>
  </r>
  <r>
    <x v="2284"/>
    <x v="10"/>
    <x v="9"/>
    <n v="23.2"/>
    <n v="116"/>
    <x v="84"/>
    <x v="87"/>
    <x v="1"/>
    <x v="0"/>
    <x v="1"/>
    <x v="0"/>
    <x v="8"/>
    <x v="3"/>
    <x v="12"/>
    <x v="1"/>
    <x v="8"/>
  </r>
  <r>
    <x v="2285"/>
    <x v="18"/>
    <x v="13"/>
    <n v="81.2"/>
    <n v="487.20000000000005"/>
    <x v="84"/>
    <x v="86"/>
    <x v="1"/>
    <x v="2"/>
    <x v="2"/>
    <x v="0"/>
    <x v="8"/>
    <x v="1"/>
    <x v="12"/>
    <x v="1"/>
    <x v="8"/>
  </r>
  <r>
    <x v="2286"/>
    <x v="1"/>
    <x v="21"/>
    <n v="35.700000000000003"/>
    <n v="499.80000000000007"/>
    <x v="84"/>
    <x v="87"/>
    <x v="1"/>
    <x v="3"/>
    <x v="0"/>
    <x v="0"/>
    <x v="8"/>
    <x v="3"/>
    <x v="12"/>
    <x v="1"/>
    <x v="8"/>
  </r>
  <r>
    <x v="2287"/>
    <x v="7"/>
    <x v="1"/>
    <n v="44.5"/>
    <n v="89"/>
    <x v="84"/>
    <x v="90"/>
    <x v="1"/>
    <x v="4"/>
    <x v="0"/>
    <x v="0"/>
    <x v="9"/>
    <x v="2"/>
    <x v="12"/>
    <x v="1"/>
    <x v="9"/>
  </r>
  <r>
    <x v="2288"/>
    <x v="1"/>
    <x v="9"/>
    <n v="32"/>
    <n v="160"/>
    <x v="84"/>
    <x v="86"/>
    <x v="3"/>
    <x v="1"/>
    <x v="1"/>
    <x v="0"/>
    <x v="9"/>
    <x v="1"/>
    <x v="12"/>
    <x v="3"/>
    <x v="9"/>
  </r>
  <r>
    <x v="2289"/>
    <x v="8"/>
    <x v="0"/>
    <n v="25.7"/>
    <n v="25.7"/>
    <x v="84"/>
    <x v="87"/>
    <x v="1"/>
    <x v="0"/>
    <x v="0"/>
    <x v="0"/>
    <x v="10"/>
    <x v="3"/>
    <x v="12"/>
    <x v="1"/>
    <x v="10"/>
  </r>
  <r>
    <x v="2290"/>
    <x v="16"/>
    <x v="2"/>
    <n v="65.599999999999994"/>
    <n v="196.79999999999998"/>
    <x v="84"/>
    <x v="84"/>
    <x v="1"/>
    <x v="0"/>
    <x v="0"/>
    <x v="0"/>
    <x v="11"/>
    <x v="4"/>
    <x v="12"/>
    <x v="1"/>
    <x v="11"/>
  </r>
  <r>
    <x v="2291"/>
    <x v="1"/>
    <x v="12"/>
    <n v="52.1"/>
    <n v="208.4"/>
    <x v="84"/>
    <x v="87"/>
    <x v="2"/>
    <x v="0"/>
    <x v="2"/>
    <x v="0"/>
    <x v="11"/>
    <x v="3"/>
    <x v="12"/>
    <x v="2"/>
    <x v="11"/>
  </r>
  <r>
    <x v="2292"/>
    <x v="8"/>
    <x v="0"/>
    <n v="31"/>
    <n v="31"/>
    <x v="84"/>
    <x v="87"/>
    <x v="1"/>
    <x v="0"/>
    <x v="1"/>
    <x v="0"/>
    <x v="19"/>
    <x v="3"/>
    <x v="12"/>
    <x v="1"/>
    <x v="19"/>
  </r>
  <r>
    <x v="2293"/>
    <x v="8"/>
    <x v="0"/>
    <n v="32"/>
    <n v="32"/>
    <x v="84"/>
    <x v="86"/>
    <x v="3"/>
    <x v="3"/>
    <x v="1"/>
    <x v="0"/>
    <x v="31"/>
    <x v="1"/>
    <x v="12"/>
    <x v="3"/>
    <x v="31"/>
  </r>
  <r>
    <x v="2294"/>
    <x v="16"/>
    <x v="12"/>
    <n v="58.3"/>
    <n v="233.2"/>
    <x v="84"/>
    <x v="89"/>
    <x v="1"/>
    <x v="1"/>
    <x v="4"/>
    <x v="0"/>
    <x v="20"/>
    <x v="5"/>
    <x v="12"/>
    <x v="1"/>
    <x v="20"/>
  </r>
  <r>
    <x v="2295"/>
    <x v="8"/>
    <x v="2"/>
    <n v="31"/>
    <n v="93"/>
    <x v="84"/>
    <x v="86"/>
    <x v="2"/>
    <x v="2"/>
    <x v="4"/>
    <x v="0"/>
    <x v="13"/>
    <x v="1"/>
    <x v="12"/>
    <x v="2"/>
    <x v="13"/>
  </r>
  <r>
    <x v="2296"/>
    <x v="3"/>
    <x v="0"/>
    <n v="40.299999999999997"/>
    <n v="40.299999999999997"/>
    <x v="84"/>
    <x v="87"/>
    <x v="1"/>
    <x v="1"/>
    <x v="2"/>
    <x v="0"/>
    <x v="54"/>
    <x v="3"/>
    <x v="12"/>
    <x v="1"/>
    <x v="54"/>
  </r>
  <r>
    <x v="2297"/>
    <x v="6"/>
    <x v="2"/>
    <n v="47.3"/>
    <n v="141.89999999999998"/>
    <x v="84"/>
    <x v="86"/>
    <x v="1"/>
    <x v="4"/>
    <x v="2"/>
    <x v="0"/>
    <x v="2"/>
    <x v="1"/>
    <x v="12"/>
    <x v="1"/>
    <x v="2"/>
  </r>
  <r>
    <x v="2298"/>
    <x v="2"/>
    <x v="0"/>
    <n v="82.8"/>
    <n v="82.8"/>
    <x v="84"/>
    <x v="87"/>
    <x v="1"/>
    <x v="0"/>
    <x v="0"/>
    <x v="0"/>
    <x v="2"/>
    <x v="3"/>
    <x v="12"/>
    <x v="1"/>
    <x v="2"/>
  </r>
  <r>
    <x v="2299"/>
    <x v="8"/>
    <x v="0"/>
    <n v="18.5"/>
    <n v="18.5"/>
    <x v="84"/>
    <x v="91"/>
    <x v="2"/>
    <x v="0"/>
    <x v="0"/>
    <x v="0"/>
    <x v="44"/>
    <x v="12"/>
    <x v="12"/>
    <x v="2"/>
    <x v="44"/>
  </r>
  <r>
    <x v="2300"/>
    <x v="3"/>
    <x v="1"/>
    <n v="60.4"/>
    <n v="120.8"/>
    <x v="84"/>
    <x v="87"/>
    <x v="1"/>
    <x v="2"/>
    <x v="0"/>
    <x v="0"/>
    <x v="22"/>
    <x v="3"/>
    <x v="12"/>
    <x v="1"/>
    <x v="22"/>
  </r>
  <r>
    <x v="2301"/>
    <x v="6"/>
    <x v="9"/>
    <n v="80.2"/>
    <n v="401"/>
    <x v="84"/>
    <x v="92"/>
    <x v="1"/>
    <x v="1"/>
    <x v="1"/>
    <x v="0"/>
    <x v="50"/>
    <x v="6"/>
    <x v="12"/>
    <x v="1"/>
    <x v="50"/>
  </r>
  <r>
    <x v="2302"/>
    <x v="4"/>
    <x v="0"/>
    <n v="41.5"/>
    <n v="41.5"/>
    <x v="84"/>
    <x v="86"/>
    <x v="1"/>
    <x v="2"/>
    <x v="0"/>
    <x v="0"/>
    <x v="3"/>
    <x v="1"/>
    <x v="12"/>
    <x v="1"/>
    <x v="3"/>
  </r>
  <r>
    <x v="2303"/>
    <x v="2"/>
    <x v="1"/>
    <n v="83.9"/>
    <n v="167.8"/>
    <x v="84"/>
    <x v="90"/>
    <x v="2"/>
    <x v="0"/>
    <x v="0"/>
    <x v="0"/>
    <x v="3"/>
    <x v="2"/>
    <x v="12"/>
    <x v="2"/>
    <x v="3"/>
  </r>
  <r>
    <x v="2304"/>
    <x v="8"/>
    <x v="1"/>
    <n v="16.7"/>
    <n v="33.4"/>
    <x v="84"/>
    <x v="89"/>
    <x v="2"/>
    <x v="0"/>
    <x v="1"/>
    <x v="0"/>
    <x v="3"/>
    <x v="5"/>
    <x v="12"/>
    <x v="2"/>
    <x v="3"/>
  </r>
  <r>
    <x v="2305"/>
    <x v="9"/>
    <x v="1"/>
    <n v="72.900000000000006"/>
    <n v="145.80000000000001"/>
    <x v="84"/>
    <x v="87"/>
    <x v="1"/>
    <x v="2"/>
    <x v="1"/>
    <x v="0"/>
    <x v="3"/>
    <x v="3"/>
    <x v="12"/>
    <x v="1"/>
    <x v="3"/>
  </r>
  <r>
    <x v="2306"/>
    <x v="5"/>
    <x v="1"/>
    <n v="50.2"/>
    <n v="100.4"/>
    <x v="84"/>
    <x v="86"/>
    <x v="2"/>
    <x v="1"/>
    <x v="2"/>
    <x v="0"/>
    <x v="3"/>
    <x v="1"/>
    <x v="12"/>
    <x v="2"/>
    <x v="3"/>
  </r>
  <r>
    <x v="2307"/>
    <x v="3"/>
    <x v="1"/>
    <n v="34.200000000000003"/>
    <n v="68.400000000000006"/>
    <x v="84"/>
    <x v="93"/>
    <x v="0"/>
    <x v="1"/>
    <x v="0"/>
    <x v="0"/>
    <x v="3"/>
    <x v="14"/>
    <x v="12"/>
    <x v="0"/>
    <x v="3"/>
  </r>
  <r>
    <x v="2308"/>
    <x v="5"/>
    <x v="1"/>
    <n v="107.9"/>
    <n v="215.8"/>
    <x v="84"/>
    <x v="81"/>
    <x v="1"/>
    <x v="1"/>
    <x v="4"/>
    <x v="0"/>
    <x v="3"/>
    <x v="7"/>
    <x v="12"/>
    <x v="1"/>
    <x v="3"/>
  </r>
  <r>
    <x v="2309"/>
    <x v="0"/>
    <x v="2"/>
    <n v="17.5"/>
    <n v="52.5"/>
    <x v="84"/>
    <x v="86"/>
    <x v="1"/>
    <x v="4"/>
    <x v="0"/>
    <x v="0"/>
    <x v="3"/>
    <x v="1"/>
    <x v="12"/>
    <x v="1"/>
    <x v="3"/>
  </r>
  <r>
    <x v="2310"/>
    <x v="13"/>
    <x v="20"/>
    <n v="44.7"/>
    <n v="670.5"/>
    <x v="84"/>
    <x v="87"/>
    <x v="1"/>
    <x v="0"/>
    <x v="1"/>
    <x v="0"/>
    <x v="3"/>
    <x v="3"/>
    <x v="12"/>
    <x v="1"/>
    <x v="3"/>
  </r>
  <r>
    <x v="2311"/>
    <x v="12"/>
    <x v="13"/>
    <n v="92.7"/>
    <n v="556.20000000000005"/>
    <x v="84"/>
    <x v="86"/>
    <x v="2"/>
    <x v="2"/>
    <x v="1"/>
    <x v="0"/>
    <x v="3"/>
    <x v="1"/>
    <x v="12"/>
    <x v="2"/>
    <x v="3"/>
  </r>
  <r>
    <x v="2312"/>
    <x v="7"/>
    <x v="2"/>
    <n v="48.8"/>
    <n v="146.39999999999998"/>
    <x v="84"/>
    <x v="86"/>
    <x v="2"/>
    <x v="2"/>
    <x v="0"/>
    <x v="0"/>
    <x v="3"/>
    <x v="1"/>
    <x v="12"/>
    <x v="2"/>
    <x v="3"/>
  </r>
  <r>
    <x v="2313"/>
    <x v="4"/>
    <x v="27"/>
    <n v="21.3"/>
    <n v="340.8"/>
    <x v="84"/>
    <x v="89"/>
    <x v="2"/>
    <x v="3"/>
    <x v="3"/>
    <x v="0"/>
    <x v="3"/>
    <x v="5"/>
    <x v="12"/>
    <x v="2"/>
    <x v="3"/>
  </r>
  <r>
    <x v="2314"/>
    <x v="16"/>
    <x v="0"/>
    <n v="52.5"/>
    <n v="52.5"/>
    <x v="84"/>
    <x v="87"/>
    <x v="2"/>
    <x v="0"/>
    <x v="0"/>
    <x v="0"/>
    <x v="3"/>
    <x v="3"/>
    <x v="12"/>
    <x v="2"/>
    <x v="3"/>
  </r>
  <r>
    <x v="2315"/>
    <x v="1"/>
    <x v="1"/>
    <n v="92.4"/>
    <n v="184.8"/>
    <x v="84"/>
    <x v="84"/>
    <x v="2"/>
    <x v="0"/>
    <x v="2"/>
    <x v="0"/>
    <x v="3"/>
    <x v="4"/>
    <x v="12"/>
    <x v="2"/>
    <x v="3"/>
  </r>
  <r>
    <x v="2316"/>
    <x v="4"/>
    <x v="5"/>
    <n v="58.3"/>
    <n v="641.29999999999995"/>
    <x v="84"/>
    <x v="86"/>
    <x v="1"/>
    <x v="1"/>
    <x v="2"/>
    <x v="0"/>
    <x v="3"/>
    <x v="1"/>
    <x v="12"/>
    <x v="1"/>
    <x v="3"/>
  </r>
  <r>
    <x v="2317"/>
    <x v="6"/>
    <x v="44"/>
    <n v="152.6"/>
    <n v="3509.7999999999997"/>
    <x v="85"/>
    <x v="90"/>
    <x v="0"/>
    <x v="0"/>
    <x v="0"/>
    <x v="0"/>
    <x v="3"/>
    <x v="1"/>
    <x v="12"/>
    <x v="0"/>
    <x v="3"/>
  </r>
  <r>
    <x v="2318"/>
    <x v="8"/>
    <x v="1"/>
    <n v="26"/>
    <n v="52"/>
    <x v="85"/>
    <x v="87"/>
    <x v="0"/>
    <x v="0"/>
    <x v="1"/>
    <x v="0"/>
    <x v="3"/>
    <x v="7"/>
    <x v="12"/>
    <x v="0"/>
    <x v="3"/>
  </r>
  <r>
    <x v="2319"/>
    <x v="1"/>
    <x v="12"/>
    <n v="33.1"/>
    <n v="132.4"/>
    <x v="85"/>
    <x v="87"/>
    <x v="1"/>
    <x v="2"/>
    <x v="4"/>
    <x v="0"/>
    <x v="5"/>
    <x v="7"/>
    <x v="12"/>
    <x v="1"/>
    <x v="5"/>
  </r>
  <r>
    <x v="2320"/>
    <x v="18"/>
    <x v="0"/>
    <n v="51.4"/>
    <n v="51.4"/>
    <x v="85"/>
    <x v="90"/>
    <x v="2"/>
    <x v="1"/>
    <x v="1"/>
    <x v="0"/>
    <x v="5"/>
    <x v="1"/>
    <x v="12"/>
    <x v="2"/>
    <x v="5"/>
  </r>
  <r>
    <x v="2321"/>
    <x v="8"/>
    <x v="1"/>
    <n v="30.2"/>
    <n v="60.4"/>
    <x v="85"/>
    <x v="86"/>
    <x v="2"/>
    <x v="2"/>
    <x v="2"/>
    <x v="0"/>
    <x v="6"/>
    <x v="3"/>
    <x v="12"/>
    <x v="2"/>
    <x v="6"/>
  </r>
  <r>
    <x v="2322"/>
    <x v="2"/>
    <x v="13"/>
    <n v="97"/>
    <n v="582"/>
    <x v="85"/>
    <x v="88"/>
    <x v="2"/>
    <x v="0"/>
    <x v="2"/>
    <x v="0"/>
    <x v="7"/>
    <x v="5"/>
    <x v="12"/>
    <x v="2"/>
    <x v="7"/>
  </r>
  <r>
    <x v="2323"/>
    <x v="2"/>
    <x v="0"/>
    <n v="76.900000000000006"/>
    <n v="76.900000000000006"/>
    <x v="85"/>
    <x v="86"/>
    <x v="1"/>
    <x v="1"/>
    <x v="2"/>
    <x v="0"/>
    <x v="8"/>
    <x v="3"/>
    <x v="12"/>
    <x v="1"/>
    <x v="8"/>
  </r>
  <r>
    <x v="2324"/>
    <x v="7"/>
    <x v="13"/>
    <n v="36.1"/>
    <n v="216.60000000000002"/>
    <x v="85"/>
    <x v="88"/>
    <x v="2"/>
    <x v="0"/>
    <x v="0"/>
    <x v="0"/>
    <x v="8"/>
    <x v="5"/>
    <x v="12"/>
    <x v="2"/>
    <x v="8"/>
  </r>
  <r>
    <x v="2325"/>
    <x v="1"/>
    <x v="3"/>
    <n v="34.4"/>
    <n v="240.79999999999998"/>
    <x v="85"/>
    <x v="87"/>
    <x v="2"/>
    <x v="2"/>
    <x v="1"/>
    <x v="0"/>
    <x v="11"/>
    <x v="7"/>
    <x v="12"/>
    <x v="2"/>
    <x v="11"/>
  </r>
  <r>
    <x v="2326"/>
    <x v="1"/>
    <x v="31"/>
    <n v="53.4"/>
    <n v="1495.2"/>
    <x v="85"/>
    <x v="90"/>
    <x v="2"/>
    <x v="1"/>
    <x v="0"/>
    <x v="0"/>
    <x v="18"/>
    <x v="1"/>
    <x v="12"/>
    <x v="2"/>
    <x v="18"/>
  </r>
  <r>
    <x v="2327"/>
    <x v="2"/>
    <x v="0"/>
    <n v="77.599999999999994"/>
    <n v="77.599999999999994"/>
    <x v="85"/>
    <x v="86"/>
    <x v="2"/>
    <x v="0"/>
    <x v="1"/>
    <x v="0"/>
    <x v="19"/>
    <x v="3"/>
    <x v="12"/>
    <x v="2"/>
    <x v="19"/>
  </r>
  <r>
    <x v="2328"/>
    <x v="1"/>
    <x v="2"/>
    <n v="71.7"/>
    <n v="215.10000000000002"/>
    <x v="85"/>
    <x v="89"/>
    <x v="2"/>
    <x v="1"/>
    <x v="0"/>
    <x v="0"/>
    <x v="19"/>
    <x v="2"/>
    <x v="12"/>
    <x v="2"/>
    <x v="19"/>
  </r>
  <r>
    <x v="2329"/>
    <x v="3"/>
    <x v="2"/>
    <n v="80.599999999999994"/>
    <n v="241.79999999999998"/>
    <x v="85"/>
    <x v="86"/>
    <x v="1"/>
    <x v="4"/>
    <x v="1"/>
    <x v="0"/>
    <x v="19"/>
    <x v="3"/>
    <x v="12"/>
    <x v="1"/>
    <x v="19"/>
  </r>
  <r>
    <x v="2330"/>
    <x v="1"/>
    <x v="20"/>
    <n v="70"/>
    <n v="1050"/>
    <x v="85"/>
    <x v="90"/>
    <x v="1"/>
    <x v="0"/>
    <x v="0"/>
    <x v="0"/>
    <x v="20"/>
    <x v="1"/>
    <x v="12"/>
    <x v="1"/>
    <x v="20"/>
  </r>
  <r>
    <x v="2331"/>
    <x v="4"/>
    <x v="13"/>
    <n v="27.3"/>
    <n v="163.80000000000001"/>
    <x v="85"/>
    <x v="90"/>
    <x v="2"/>
    <x v="1"/>
    <x v="1"/>
    <x v="0"/>
    <x v="2"/>
    <x v="1"/>
    <x v="12"/>
    <x v="2"/>
    <x v="2"/>
  </r>
  <r>
    <x v="2332"/>
    <x v="8"/>
    <x v="21"/>
    <n v="37.6"/>
    <n v="526.4"/>
    <x v="85"/>
    <x v="90"/>
    <x v="1"/>
    <x v="1"/>
    <x v="0"/>
    <x v="0"/>
    <x v="3"/>
    <x v="1"/>
    <x v="12"/>
    <x v="1"/>
    <x v="3"/>
  </r>
  <r>
    <x v="2333"/>
    <x v="5"/>
    <x v="2"/>
    <n v="36.6"/>
    <n v="109.80000000000001"/>
    <x v="85"/>
    <x v="90"/>
    <x v="2"/>
    <x v="4"/>
    <x v="0"/>
    <x v="0"/>
    <x v="3"/>
    <x v="1"/>
    <x v="12"/>
    <x v="2"/>
    <x v="3"/>
  </r>
  <r>
    <x v="2334"/>
    <x v="13"/>
    <x v="0"/>
    <n v="55.2"/>
    <n v="55.2"/>
    <x v="85"/>
    <x v="90"/>
    <x v="1"/>
    <x v="3"/>
    <x v="0"/>
    <x v="0"/>
    <x v="3"/>
    <x v="1"/>
    <x v="12"/>
    <x v="1"/>
    <x v="3"/>
  </r>
  <r>
    <x v="2335"/>
    <x v="6"/>
    <x v="9"/>
    <n v="59.9"/>
    <n v="299.5"/>
    <x v="85"/>
    <x v="90"/>
    <x v="1"/>
    <x v="0"/>
    <x v="0"/>
    <x v="0"/>
    <x v="3"/>
    <x v="1"/>
    <x v="12"/>
    <x v="1"/>
    <x v="3"/>
  </r>
  <r>
    <x v="2336"/>
    <x v="6"/>
    <x v="0"/>
    <n v="44"/>
    <n v="44"/>
    <x v="85"/>
    <x v="86"/>
    <x v="2"/>
    <x v="2"/>
    <x v="2"/>
    <x v="0"/>
    <x v="3"/>
    <x v="3"/>
    <x v="12"/>
    <x v="2"/>
    <x v="3"/>
  </r>
  <r>
    <x v="2337"/>
    <x v="9"/>
    <x v="1"/>
    <n v="68.7"/>
    <n v="137.4"/>
    <x v="85"/>
    <x v="87"/>
    <x v="1"/>
    <x v="0"/>
    <x v="0"/>
    <x v="0"/>
    <x v="3"/>
    <x v="7"/>
    <x v="12"/>
    <x v="1"/>
    <x v="3"/>
  </r>
  <r>
    <x v="2338"/>
    <x v="5"/>
    <x v="1"/>
    <n v="61.6"/>
    <n v="123.2"/>
    <x v="85"/>
    <x v="88"/>
    <x v="1"/>
    <x v="3"/>
    <x v="1"/>
    <x v="0"/>
    <x v="3"/>
    <x v="5"/>
    <x v="12"/>
    <x v="1"/>
    <x v="3"/>
  </r>
  <r>
    <x v="2339"/>
    <x v="7"/>
    <x v="3"/>
    <n v="51.8"/>
    <n v="362.59999999999997"/>
    <x v="85"/>
    <x v="86"/>
    <x v="1"/>
    <x v="0"/>
    <x v="0"/>
    <x v="0"/>
    <x v="3"/>
    <x v="3"/>
    <x v="12"/>
    <x v="1"/>
    <x v="3"/>
  </r>
  <r>
    <x v="2340"/>
    <x v="8"/>
    <x v="7"/>
    <n v="46.2"/>
    <n v="462"/>
    <x v="85"/>
    <x v="90"/>
    <x v="1"/>
    <x v="1"/>
    <x v="2"/>
    <x v="0"/>
    <x v="3"/>
    <x v="1"/>
    <x v="12"/>
    <x v="1"/>
    <x v="3"/>
  </r>
  <r>
    <x v="2341"/>
    <x v="0"/>
    <x v="1"/>
    <n v="19.399999999999999"/>
    <n v="38.799999999999997"/>
    <x v="85"/>
    <x v="90"/>
    <x v="2"/>
    <x v="1"/>
    <x v="2"/>
    <x v="0"/>
    <x v="6"/>
    <x v="1"/>
    <x v="12"/>
    <x v="2"/>
    <x v="6"/>
  </r>
  <r>
    <x v="2342"/>
    <x v="11"/>
    <x v="2"/>
    <n v="52.1"/>
    <n v="156.30000000000001"/>
    <x v="85"/>
    <x v="89"/>
    <x v="1"/>
    <x v="3"/>
    <x v="3"/>
    <x v="0"/>
    <x v="6"/>
    <x v="2"/>
    <x v="12"/>
    <x v="1"/>
    <x v="6"/>
  </r>
  <r>
    <x v="2343"/>
    <x v="6"/>
    <x v="0"/>
    <n v="74.900000000000006"/>
    <n v="74.900000000000006"/>
    <x v="85"/>
    <x v="90"/>
    <x v="3"/>
    <x v="0"/>
    <x v="0"/>
    <x v="0"/>
    <x v="7"/>
    <x v="1"/>
    <x v="12"/>
    <x v="3"/>
    <x v="7"/>
  </r>
  <r>
    <x v="2344"/>
    <x v="9"/>
    <x v="3"/>
    <n v="49.6"/>
    <n v="347.2"/>
    <x v="85"/>
    <x v="89"/>
    <x v="2"/>
    <x v="4"/>
    <x v="0"/>
    <x v="0"/>
    <x v="8"/>
    <x v="2"/>
    <x v="12"/>
    <x v="2"/>
    <x v="8"/>
  </r>
  <r>
    <x v="2345"/>
    <x v="16"/>
    <x v="12"/>
    <n v="82.8"/>
    <n v="331.2"/>
    <x v="86"/>
    <x v="88"/>
    <x v="2"/>
    <x v="4"/>
    <x v="0"/>
    <x v="0"/>
    <x v="8"/>
    <x v="2"/>
    <x v="12"/>
    <x v="2"/>
    <x v="8"/>
  </r>
  <r>
    <x v="2346"/>
    <x v="2"/>
    <x v="0"/>
    <n v="97.7"/>
    <n v="97.7"/>
    <x v="86"/>
    <x v="90"/>
    <x v="2"/>
    <x v="1"/>
    <x v="0"/>
    <x v="0"/>
    <x v="8"/>
    <x v="3"/>
    <x v="12"/>
    <x v="2"/>
    <x v="8"/>
  </r>
  <r>
    <x v="2347"/>
    <x v="6"/>
    <x v="9"/>
    <n v="83.6"/>
    <n v="418"/>
    <x v="86"/>
    <x v="90"/>
    <x v="2"/>
    <x v="4"/>
    <x v="0"/>
    <x v="0"/>
    <x v="8"/>
    <x v="3"/>
    <x v="12"/>
    <x v="2"/>
    <x v="8"/>
  </r>
  <r>
    <x v="2348"/>
    <x v="8"/>
    <x v="9"/>
    <n v="23.5"/>
    <n v="117.5"/>
    <x v="86"/>
    <x v="84"/>
    <x v="3"/>
    <x v="0"/>
    <x v="0"/>
    <x v="0"/>
    <x v="8"/>
    <x v="5"/>
    <x v="12"/>
    <x v="3"/>
    <x v="8"/>
  </r>
  <r>
    <x v="2349"/>
    <x v="9"/>
    <x v="2"/>
    <n v="44.6"/>
    <n v="133.80000000000001"/>
    <x v="86"/>
    <x v="88"/>
    <x v="2"/>
    <x v="4"/>
    <x v="1"/>
    <x v="0"/>
    <x v="26"/>
    <x v="2"/>
    <x v="12"/>
    <x v="2"/>
    <x v="26"/>
  </r>
  <r>
    <x v="2350"/>
    <x v="0"/>
    <x v="2"/>
    <n v="20.100000000000001"/>
    <n v="60.300000000000004"/>
    <x v="86"/>
    <x v="89"/>
    <x v="2"/>
    <x v="3"/>
    <x v="4"/>
    <x v="0"/>
    <x v="11"/>
    <x v="1"/>
    <x v="12"/>
    <x v="2"/>
    <x v="11"/>
  </r>
  <r>
    <x v="2351"/>
    <x v="2"/>
    <x v="9"/>
    <n v="153.6"/>
    <n v="768"/>
    <x v="86"/>
    <x v="90"/>
    <x v="2"/>
    <x v="1"/>
    <x v="2"/>
    <x v="0"/>
    <x v="53"/>
    <x v="3"/>
    <x v="12"/>
    <x v="2"/>
    <x v="53"/>
  </r>
  <r>
    <x v="2352"/>
    <x v="1"/>
    <x v="1"/>
    <n v="71.8"/>
    <n v="143.6"/>
    <x v="86"/>
    <x v="84"/>
    <x v="2"/>
    <x v="1"/>
    <x v="0"/>
    <x v="0"/>
    <x v="1"/>
    <x v="5"/>
    <x v="12"/>
    <x v="2"/>
    <x v="1"/>
  </r>
  <r>
    <x v="2353"/>
    <x v="10"/>
    <x v="0"/>
    <n v="64.7"/>
    <n v="64.7"/>
    <x v="86"/>
    <x v="89"/>
    <x v="0"/>
    <x v="0"/>
    <x v="1"/>
    <x v="0"/>
    <x v="1"/>
    <x v="1"/>
    <x v="12"/>
    <x v="0"/>
    <x v="1"/>
  </r>
  <r>
    <x v="2354"/>
    <x v="9"/>
    <x v="8"/>
    <n v="60.4"/>
    <n v="483.2"/>
    <x v="86"/>
    <x v="89"/>
    <x v="2"/>
    <x v="3"/>
    <x v="2"/>
    <x v="0"/>
    <x v="2"/>
    <x v="1"/>
    <x v="12"/>
    <x v="2"/>
    <x v="2"/>
  </r>
  <r>
    <x v="2355"/>
    <x v="6"/>
    <x v="12"/>
    <n v="86"/>
    <n v="344"/>
    <x v="86"/>
    <x v="88"/>
    <x v="2"/>
    <x v="2"/>
    <x v="2"/>
    <x v="0"/>
    <x v="22"/>
    <x v="2"/>
    <x v="12"/>
    <x v="2"/>
    <x v="22"/>
  </r>
  <r>
    <x v="2356"/>
    <x v="12"/>
    <x v="1"/>
    <n v="42.1"/>
    <n v="84.2"/>
    <x v="86"/>
    <x v="90"/>
    <x v="2"/>
    <x v="4"/>
    <x v="1"/>
    <x v="0"/>
    <x v="34"/>
    <x v="3"/>
    <x v="12"/>
    <x v="2"/>
    <x v="34"/>
  </r>
  <r>
    <x v="2357"/>
    <x v="16"/>
    <x v="11"/>
    <n v="51.1"/>
    <n v="459.90000000000003"/>
    <x v="86"/>
    <x v="90"/>
    <x v="1"/>
    <x v="2"/>
    <x v="1"/>
    <x v="0"/>
    <x v="3"/>
    <x v="3"/>
    <x v="12"/>
    <x v="1"/>
    <x v="3"/>
  </r>
  <r>
    <x v="2358"/>
    <x v="9"/>
    <x v="12"/>
    <n v="73.8"/>
    <n v="295.2"/>
    <x v="86"/>
    <x v="90"/>
    <x v="1"/>
    <x v="4"/>
    <x v="0"/>
    <x v="0"/>
    <x v="3"/>
    <x v="3"/>
    <x v="12"/>
    <x v="1"/>
    <x v="3"/>
  </r>
  <r>
    <x v="2359"/>
    <x v="8"/>
    <x v="9"/>
    <n v="27"/>
    <n v="135"/>
    <x v="86"/>
    <x v="88"/>
    <x v="2"/>
    <x v="2"/>
    <x v="2"/>
    <x v="0"/>
    <x v="3"/>
    <x v="2"/>
    <x v="12"/>
    <x v="2"/>
    <x v="3"/>
  </r>
  <r>
    <x v="2360"/>
    <x v="8"/>
    <x v="13"/>
    <n v="60.1"/>
    <n v="360.6"/>
    <x v="86"/>
    <x v="90"/>
    <x v="1"/>
    <x v="3"/>
    <x v="0"/>
    <x v="0"/>
    <x v="3"/>
    <x v="3"/>
    <x v="12"/>
    <x v="1"/>
    <x v="3"/>
  </r>
  <r>
    <x v="2361"/>
    <x v="2"/>
    <x v="3"/>
    <n v="94.1"/>
    <n v="658.69999999999993"/>
    <x v="86"/>
    <x v="89"/>
    <x v="2"/>
    <x v="4"/>
    <x v="1"/>
    <x v="0"/>
    <x v="3"/>
    <x v="1"/>
    <x v="12"/>
    <x v="2"/>
    <x v="3"/>
  </r>
  <r>
    <x v="2362"/>
    <x v="2"/>
    <x v="1"/>
    <n v="124.1"/>
    <n v="248.2"/>
    <x v="86"/>
    <x v="86"/>
    <x v="2"/>
    <x v="2"/>
    <x v="3"/>
    <x v="0"/>
    <x v="43"/>
    <x v="7"/>
    <x v="12"/>
    <x v="2"/>
    <x v="43"/>
  </r>
  <r>
    <x v="2363"/>
    <x v="8"/>
    <x v="12"/>
    <n v="16.899999999999999"/>
    <n v="67.599999999999994"/>
    <x v="86"/>
    <x v="88"/>
    <x v="1"/>
    <x v="3"/>
    <x v="0"/>
    <x v="0"/>
    <x v="6"/>
    <x v="2"/>
    <x v="12"/>
    <x v="1"/>
    <x v="6"/>
  </r>
  <r>
    <x v="2364"/>
    <x v="1"/>
    <x v="0"/>
    <n v="36.9"/>
    <n v="36.9"/>
    <x v="86"/>
    <x v="90"/>
    <x v="1"/>
    <x v="0"/>
    <x v="0"/>
    <x v="0"/>
    <x v="6"/>
    <x v="3"/>
    <x v="12"/>
    <x v="1"/>
    <x v="6"/>
  </r>
  <r>
    <x v="2365"/>
    <x v="9"/>
    <x v="1"/>
    <n v="22.6"/>
    <n v="45.2"/>
    <x v="86"/>
    <x v="94"/>
    <x v="2"/>
    <x v="2"/>
    <x v="1"/>
    <x v="0"/>
    <x v="8"/>
    <x v="10"/>
    <x v="12"/>
    <x v="2"/>
    <x v="8"/>
  </r>
  <r>
    <x v="2366"/>
    <x v="7"/>
    <x v="12"/>
    <n v="35"/>
    <n v="140"/>
    <x v="86"/>
    <x v="92"/>
    <x v="1"/>
    <x v="3"/>
    <x v="1"/>
    <x v="0"/>
    <x v="8"/>
    <x v="0"/>
    <x v="12"/>
    <x v="1"/>
    <x v="8"/>
  </r>
  <r>
    <x v="2367"/>
    <x v="9"/>
    <x v="13"/>
    <n v="63.6"/>
    <n v="381.6"/>
    <x v="86"/>
    <x v="95"/>
    <x v="0"/>
    <x v="1"/>
    <x v="2"/>
    <x v="0"/>
    <x v="8"/>
    <x v="6"/>
    <x v="12"/>
    <x v="0"/>
    <x v="8"/>
  </r>
  <r>
    <x v="2368"/>
    <x v="15"/>
    <x v="12"/>
    <n v="78.599999999999994"/>
    <n v="314.39999999999998"/>
    <x v="86"/>
    <x v="90"/>
    <x v="1"/>
    <x v="4"/>
    <x v="1"/>
    <x v="0"/>
    <x v="8"/>
    <x v="3"/>
    <x v="12"/>
    <x v="1"/>
    <x v="8"/>
  </r>
  <r>
    <x v="2369"/>
    <x v="3"/>
    <x v="1"/>
    <n v="38.5"/>
    <n v="77"/>
    <x v="86"/>
    <x v="90"/>
    <x v="1"/>
    <x v="0"/>
    <x v="2"/>
    <x v="0"/>
    <x v="8"/>
    <x v="3"/>
    <x v="12"/>
    <x v="1"/>
    <x v="8"/>
  </r>
  <r>
    <x v="2370"/>
    <x v="8"/>
    <x v="5"/>
    <n v="71.5"/>
    <n v="786.5"/>
    <x v="86"/>
    <x v="90"/>
    <x v="2"/>
    <x v="1"/>
    <x v="4"/>
    <x v="0"/>
    <x v="8"/>
    <x v="3"/>
    <x v="12"/>
    <x v="2"/>
    <x v="8"/>
  </r>
  <r>
    <x v="2371"/>
    <x v="6"/>
    <x v="12"/>
    <n v="121.4"/>
    <n v="485.6"/>
    <x v="86"/>
    <x v="84"/>
    <x v="1"/>
    <x v="1"/>
    <x v="2"/>
    <x v="0"/>
    <x v="17"/>
    <x v="5"/>
    <x v="12"/>
    <x v="1"/>
    <x v="17"/>
  </r>
  <r>
    <x v="2372"/>
    <x v="11"/>
    <x v="0"/>
    <n v="40.200000000000003"/>
    <n v="40.200000000000003"/>
    <x v="86"/>
    <x v="88"/>
    <x v="2"/>
    <x v="0"/>
    <x v="2"/>
    <x v="0"/>
    <x v="11"/>
    <x v="2"/>
    <x v="12"/>
    <x v="2"/>
    <x v="11"/>
  </r>
  <r>
    <x v="2373"/>
    <x v="5"/>
    <x v="9"/>
    <n v="31.9"/>
    <n v="159.5"/>
    <x v="86"/>
    <x v="89"/>
    <x v="2"/>
    <x v="2"/>
    <x v="2"/>
    <x v="0"/>
    <x v="28"/>
    <x v="1"/>
    <x v="12"/>
    <x v="2"/>
    <x v="28"/>
  </r>
  <r>
    <x v="2374"/>
    <x v="14"/>
    <x v="9"/>
    <n v="15.8"/>
    <n v="79"/>
    <x v="87"/>
    <x v="89"/>
    <x v="1"/>
    <x v="3"/>
    <x v="2"/>
    <x v="0"/>
    <x v="21"/>
    <x v="3"/>
    <x v="12"/>
    <x v="1"/>
    <x v="21"/>
  </r>
  <r>
    <x v="2375"/>
    <x v="10"/>
    <x v="1"/>
    <n v="25.1"/>
    <n v="50.2"/>
    <x v="87"/>
    <x v="88"/>
    <x v="0"/>
    <x v="1"/>
    <x v="0"/>
    <x v="0"/>
    <x v="21"/>
    <x v="1"/>
    <x v="12"/>
    <x v="0"/>
    <x v="21"/>
  </r>
  <r>
    <x v="2376"/>
    <x v="1"/>
    <x v="44"/>
    <n v="38.1"/>
    <n v="876.30000000000007"/>
    <x v="87"/>
    <x v="89"/>
    <x v="2"/>
    <x v="4"/>
    <x v="0"/>
    <x v="0"/>
    <x v="1"/>
    <x v="3"/>
    <x v="12"/>
    <x v="2"/>
    <x v="1"/>
  </r>
  <r>
    <x v="2377"/>
    <x v="3"/>
    <x v="1"/>
    <n v="42.2"/>
    <n v="84.4"/>
    <x v="87"/>
    <x v="88"/>
    <x v="2"/>
    <x v="0"/>
    <x v="2"/>
    <x v="0"/>
    <x v="1"/>
    <x v="1"/>
    <x v="12"/>
    <x v="2"/>
    <x v="1"/>
  </r>
  <r>
    <x v="2378"/>
    <x v="0"/>
    <x v="7"/>
    <n v="12.3"/>
    <n v="123"/>
    <x v="87"/>
    <x v="89"/>
    <x v="2"/>
    <x v="4"/>
    <x v="0"/>
    <x v="0"/>
    <x v="2"/>
    <x v="3"/>
    <x v="12"/>
    <x v="2"/>
    <x v="2"/>
  </r>
  <r>
    <x v="2379"/>
    <x v="7"/>
    <x v="0"/>
    <n v="30.2"/>
    <n v="30.2"/>
    <x v="87"/>
    <x v="88"/>
    <x v="2"/>
    <x v="1"/>
    <x v="2"/>
    <x v="0"/>
    <x v="34"/>
    <x v="1"/>
    <x v="12"/>
    <x v="2"/>
    <x v="34"/>
  </r>
  <r>
    <x v="2380"/>
    <x v="5"/>
    <x v="2"/>
    <n v="25.3"/>
    <n v="75.900000000000006"/>
    <x v="87"/>
    <x v="84"/>
    <x v="2"/>
    <x v="2"/>
    <x v="0"/>
    <x v="0"/>
    <x v="3"/>
    <x v="2"/>
    <x v="12"/>
    <x v="2"/>
    <x v="3"/>
  </r>
  <r>
    <x v="2381"/>
    <x v="8"/>
    <x v="9"/>
    <n v="29.7"/>
    <n v="148.5"/>
    <x v="87"/>
    <x v="88"/>
    <x v="1"/>
    <x v="3"/>
    <x v="0"/>
    <x v="0"/>
    <x v="3"/>
    <x v="1"/>
    <x v="12"/>
    <x v="1"/>
    <x v="3"/>
  </r>
  <r>
    <x v="2382"/>
    <x v="9"/>
    <x v="8"/>
    <n v="32.9"/>
    <n v="263.2"/>
    <x v="87"/>
    <x v="89"/>
    <x v="0"/>
    <x v="3"/>
    <x v="2"/>
    <x v="0"/>
    <x v="3"/>
    <x v="3"/>
    <x v="12"/>
    <x v="0"/>
    <x v="3"/>
  </r>
  <r>
    <x v="2383"/>
    <x v="10"/>
    <x v="1"/>
    <n v="43.6"/>
    <n v="87.2"/>
    <x v="87"/>
    <x v="89"/>
    <x v="1"/>
    <x v="1"/>
    <x v="2"/>
    <x v="0"/>
    <x v="3"/>
    <x v="3"/>
    <x v="12"/>
    <x v="1"/>
    <x v="3"/>
  </r>
  <r>
    <x v="2384"/>
    <x v="15"/>
    <x v="12"/>
    <n v="78.400000000000006"/>
    <n v="313.60000000000002"/>
    <x v="87"/>
    <x v="89"/>
    <x v="1"/>
    <x v="2"/>
    <x v="0"/>
    <x v="0"/>
    <x v="3"/>
    <x v="3"/>
    <x v="12"/>
    <x v="1"/>
    <x v="3"/>
  </r>
  <r>
    <x v="2385"/>
    <x v="6"/>
    <x v="1"/>
    <n v="56.5"/>
    <n v="113"/>
    <x v="87"/>
    <x v="92"/>
    <x v="1"/>
    <x v="1"/>
    <x v="1"/>
    <x v="0"/>
    <x v="3"/>
    <x v="5"/>
    <x v="12"/>
    <x v="1"/>
    <x v="3"/>
  </r>
  <r>
    <x v="2386"/>
    <x v="16"/>
    <x v="0"/>
    <n v="36.700000000000003"/>
    <n v="36.700000000000003"/>
    <x v="87"/>
    <x v="89"/>
    <x v="2"/>
    <x v="0"/>
    <x v="2"/>
    <x v="0"/>
    <x v="3"/>
    <x v="3"/>
    <x v="12"/>
    <x v="2"/>
    <x v="3"/>
  </r>
  <r>
    <x v="2387"/>
    <x v="2"/>
    <x v="12"/>
    <n v="103.6"/>
    <n v="414.4"/>
    <x v="87"/>
    <x v="91"/>
    <x v="1"/>
    <x v="4"/>
    <x v="2"/>
    <x v="0"/>
    <x v="3"/>
    <x v="11"/>
    <x v="12"/>
    <x v="1"/>
    <x v="3"/>
  </r>
  <r>
    <x v="2388"/>
    <x v="8"/>
    <x v="13"/>
    <n v="16.2"/>
    <n v="97.199999999999989"/>
    <x v="87"/>
    <x v="92"/>
    <x v="1"/>
    <x v="1"/>
    <x v="2"/>
    <x v="0"/>
    <x v="6"/>
    <x v="5"/>
    <x v="12"/>
    <x v="1"/>
    <x v="6"/>
  </r>
  <r>
    <x v="2389"/>
    <x v="8"/>
    <x v="1"/>
    <n v="20.2"/>
    <n v="40.4"/>
    <x v="87"/>
    <x v="89"/>
    <x v="2"/>
    <x v="0"/>
    <x v="0"/>
    <x v="0"/>
    <x v="6"/>
    <x v="3"/>
    <x v="12"/>
    <x v="2"/>
    <x v="6"/>
  </r>
  <r>
    <x v="2390"/>
    <x v="11"/>
    <x v="1"/>
    <n v="26.9"/>
    <n v="53.8"/>
    <x v="87"/>
    <x v="88"/>
    <x v="2"/>
    <x v="2"/>
    <x v="0"/>
    <x v="0"/>
    <x v="6"/>
    <x v="1"/>
    <x v="12"/>
    <x v="2"/>
    <x v="6"/>
  </r>
  <r>
    <x v="2391"/>
    <x v="1"/>
    <x v="1"/>
    <n v="82.4"/>
    <n v="164.8"/>
    <x v="87"/>
    <x v="84"/>
    <x v="0"/>
    <x v="0"/>
    <x v="0"/>
    <x v="0"/>
    <x v="7"/>
    <x v="2"/>
    <x v="12"/>
    <x v="0"/>
    <x v="7"/>
  </r>
  <r>
    <x v="2392"/>
    <x v="2"/>
    <x v="1"/>
    <n v="117.8"/>
    <n v="235.6"/>
    <x v="87"/>
    <x v="88"/>
    <x v="1"/>
    <x v="1"/>
    <x v="2"/>
    <x v="0"/>
    <x v="8"/>
    <x v="1"/>
    <x v="12"/>
    <x v="1"/>
    <x v="8"/>
  </r>
  <r>
    <x v="2393"/>
    <x v="11"/>
    <x v="12"/>
    <n v="36.700000000000003"/>
    <n v="146.80000000000001"/>
    <x v="87"/>
    <x v="89"/>
    <x v="1"/>
    <x v="1"/>
    <x v="0"/>
    <x v="0"/>
    <x v="8"/>
    <x v="3"/>
    <x v="12"/>
    <x v="1"/>
    <x v="8"/>
  </r>
  <r>
    <x v="2394"/>
    <x v="17"/>
    <x v="2"/>
    <n v="46.8"/>
    <n v="140.39999999999998"/>
    <x v="87"/>
    <x v="89"/>
    <x v="1"/>
    <x v="4"/>
    <x v="2"/>
    <x v="0"/>
    <x v="10"/>
    <x v="3"/>
    <x v="12"/>
    <x v="1"/>
    <x v="10"/>
  </r>
  <r>
    <x v="2395"/>
    <x v="3"/>
    <x v="0"/>
    <n v="61.4"/>
    <n v="61.4"/>
    <x v="87"/>
    <x v="89"/>
    <x v="1"/>
    <x v="1"/>
    <x v="0"/>
    <x v="0"/>
    <x v="10"/>
    <x v="3"/>
    <x v="12"/>
    <x v="1"/>
    <x v="10"/>
  </r>
  <r>
    <x v="2396"/>
    <x v="15"/>
    <x v="1"/>
    <n v="22.9"/>
    <n v="45.8"/>
    <x v="87"/>
    <x v="89"/>
    <x v="1"/>
    <x v="0"/>
    <x v="0"/>
    <x v="0"/>
    <x v="11"/>
    <x v="3"/>
    <x v="12"/>
    <x v="1"/>
    <x v="11"/>
  </r>
  <r>
    <x v="2397"/>
    <x v="10"/>
    <x v="1"/>
    <n v="22.1"/>
    <n v="44.2"/>
    <x v="87"/>
    <x v="89"/>
    <x v="2"/>
    <x v="4"/>
    <x v="0"/>
    <x v="0"/>
    <x v="11"/>
    <x v="3"/>
    <x v="12"/>
    <x v="2"/>
    <x v="11"/>
  </r>
  <r>
    <x v="2398"/>
    <x v="12"/>
    <x v="1"/>
    <n v="31"/>
    <n v="62"/>
    <x v="87"/>
    <x v="88"/>
    <x v="2"/>
    <x v="2"/>
    <x v="0"/>
    <x v="0"/>
    <x v="18"/>
    <x v="1"/>
    <x v="12"/>
    <x v="2"/>
    <x v="18"/>
  </r>
  <r>
    <x v="2399"/>
    <x v="18"/>
    <x v="1"/>
    <n v="84.2"/>
    <n v="168.4"/>
    <x v="87"/>
    <x v="88"/>
    <x v="1"/>
    <x v="2"/>
    <x v="2"/>
    <x v="0"/>
    <x v="13"/>
    <x v="1"/>
    <x v="12"/>
    <x v="1"/>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B0659E-7F20-4E54-9C9D-9565A67C7726}" name="Pivot Trends"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10:C24"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C4E5A5-BAC0-4338-9EA1-0A7C8459AB12}" name="Pivot Duration"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54:B170"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D3CC1C-E269-4F00-A8CC-79C2EE3C1F4D}" name="Pivot Quantity"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41:B4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showAll="0"/>
    <pivotField axis="axisRow" showAll="0">
      <items count="8">
        <item x="0"/>
        <item x="1"/>
        <item x="2"/>
        <item x="4"/>
        <item x="3"/>
        <item n="6-10" x="5"/>
        <item n="More than 10" x="6"/>
        <item t="default"/>
      </items>
    </pivotField>
    <pivotField showAll="0">
      <items count="15">
        <item x="0"/>
        <item x="1"/>
        <item x="2"/>
        <item x="3"/>
        <item x="4"/>
        <item x="5"/>
        <item x="6"/>
        <item x="7"/>
        <item x="8"/>
        <item x="9"/>
        <item x="10"/>
        <item x="11"/>
        <item x="12"/>
        <item x="13"/>
        <item t="default"/>
      </items>
    </pivotField>
  </pivotFields>
  <rowFields count="1">
    <field x="16"/>
  </rowFields>
  <rowItems count="8">
    <i>
      <x/>
    </i>
    <i>
      <x v="1"/>
    </i>
    <i>
      <x v="2"/>
    </i>
    <i>
      <x v="3"/>
    </i>
    <i>
      <x v="4"/>
    </i>
    <i>
      <x v="5"/>
    </i>
    <i>
      <x v="6"/>
    </i>
    <i t="grand">
      <x/>
    </i>
  </rowItems>
  <colItems count="1">
    <i/>
  </colItems>
  <dataFields count="1">
    <dataField name="Count of TX ID"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A74694-A83C-44B8-8AE7-B144D231B209}" name="Pivot Gender"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81:B86" firstHeaderRow="1" firstDataRow="1" firstDataCol="1"/>
  <pivotFields count="18">
    <pivotField showAll="0"/>
    <pivotField showAll="0" sortType="ascending">
      <autoSortScope>
        <pivotArea dataOnly="0" outline="0" fieldPosition="0">
          <references count="2">
            <reference field="4294967294" count="1" selected="0">
              <x v="0"/>
            </reference>
            <reference field="1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9">
    <chartFormat chart="1" format="4" series="1">
      <pivotArea type="data" outline="0" fieldPosition="0">
        <references count="2">
          <reference field="4294967294" count="1" selected="0">
            <x v="0"/>
          </reference>
          <reference field="14" count="1" selected="0">
            <x v="0"/>
          </reference>
        </references>
      </pivotArea>
    </chartFormat>
    <chartFormat chart="1" format="5" series="1">
      <pivotArea type="data" outline="0" fieldPosition="0">
        <references count="2">
          <reference field="4294967294" count="1" selected="0">
            <x v="0"/>
          </reference>
          <reference field="14" count="1" selected="0">
            <x v="1"/>
          </reference>
        </references>
      </pivotArea>
    </chartFormat>
    <chartFormat chart="1" format="6" series="1">
      <pivotArea type="data" outline="0" fieldPosition="0">
        <references count="2">
          <reference field="4294967294" count="1" selected="0">
            <x v="0"/>
          </reference>
          <reference field="14" count="1" selected="0">
            <x v="2"/>
          </reference>
        </references>
      </pivotArea>
    </chartFormat>
    <chartFormat chart="1" format="7" series="1">
      <pivotArea type="data" outline="0" fieldPosition="0">
        <references count="2">
          <reference field="4294967294" count="1" selected="0">
            <x v="0"/>
          </reference>
          <reference field="14" count="1" selected="0">
            <x v="3"/>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14" count="1" selected="0">
            <x v="0"/>
          </reference>
        </references>
      </pivotArea>
    </chartFormat>
    <chartFormat chart="15" format="7">
      <pivotArea type="data" outline="0" fieldPosition="0">
        <references count="2">
          <reference field="4294967294" count="1" selected="0">
            <x v="0"/>
          </reference>
          <reference field="14" count="1" selected="0">
            <x v="1"/>
          </reference>
        </references>
      </pivotArea>
    </chartFormat>
    <chartFormat chart="15" format="8">
      <pivotArea type="data" outline="0" fieldPosition="0">
        <references count="2">
          <reference field="4294967294" count="1" selected="0">
            <x v="0"/>
          </reference>
          <reference field="14" count="1" selected="0">
            <x v="2"/>
          </reference>
        </references>
      </pivotArea>
    </chartFormat>
    <chartFormat chart="15" format="9">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CF5A90-3FD6-4462-BF95-270E6083BCE1}" name="Pivot Map" cacheId="1"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91:D151" firstHeaderRow="0" firstDataRow="1" firstDataCol="2"/>
  <pivotFields count="18">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5" outline="0" showAll="0">
      <extLst>
        <ext xmlns:x14="http://schemas.microsoft.com/office/spreadsheetml/2009/9/main" uri="{2946ED86-A175-432a-8AC1-64E0C546D7DE}">
          <x14:pivotField fillDownLabels="1"/>
        </ext>
      </extLst>
    </pivotField>
    <pivotField compact="0" numFmtId="15"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x="0"/>
        <item x="3"/>
        <item x="4"/>
        <item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2"/>
        <item x="1"/>
        <item x="3"/>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10"/>
    <field x="11"/>
  </rowFields>
  <rowItems count="6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default">
      <x/>
    </i>
    <i t="grand">
      <x/>
    </i>
  </rowItems>
  <colFields count="1">
    <field x="-2"/>
  </colFields>
  <colItems count="2">
    <i>
      <x/>
    </i>
    <i i="1">
      <x v="1"/>
    </i>
  </colItems>
  <dataFields count="2">
    <dataField name="Sum of Amount" fld="4" baseField="0" baseItem="0"/>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C3B80F-8072-4CDD-B1E9-2E02351F8F17}" name="Pivot Summary"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pivotField dataField="1" showAll="0"/>
    <pivotField showAll="0"/>
    <pivotField showAll="0"/>
    <pivotField dataField="1" showAll="0"/>
    <pivotField showAll="0"/>
    <pivotField showAll="0"/>
    <pivotField showAll="0"/>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A64CFB-384C-4744-9004-AE4097E5FB9C}" name="Pivot Product"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54:F76"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1" format="4" series="1">
      <pivotArea type="data" outline="0" fieldPosition="0">
        <references count="2">
          <reference field="4294967294" count="1" selected="0">
            <x v="0"/>
          </reference>
          <reference field="14" count="1" selected="0">
            <x v="0"/>
          </reference>
        </references>
      </pivotArea>
    </chartFormat>
    <chartFormat chart="1" format="5" series="1">
      <pivotArea type="data" outline="0" fieldPosition="0">
        <references count="2">
          <reference field="4294967294" count="1" selected="0">
            <x v="0"/>
          </reference>
          <reference field="14" count="1" selected="0">
            <x v="1"/>
          </reference>
        </references>
      </pivotArea>
    </chartFormat>
    <chartFormat chart="1" format="6" series="1">
      <pivotArea type="data" outline="0" fieldPosition="0">
        <references count="2">
          <reference field="4294967294" count="1" selected="0">
            <x v="0"/>
          </reference>
          <reference field="14" count="1" selected="0">
            <x v="2"/>
          </reference>
        </references>
      </pivotArea>
    </chartFormat>
    <chartFormat chart="1" format="7"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DAE418-6A21-4618-8267-003CEDF76E80}" name="Pivot Rating"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75:G180"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pivotField showAll="0" defaultSubtotal="0">
      <items count="7">
        <item x="0"/>
        <item x="1"/>
        <item x="2"/>
        <item x="3"/>
        <item x="4"/>
        <item x="5"/>
        <item x="6"/>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8">
    <chartFormat chart="1" format="3" series="1">
      <pivotArea type="data" outline="0" fieldPosition="0">
        <references count="2">
          <reference field="4294967294" count="1" selected="0">
            <x v="0"/>
          </reference>
          <reference field="17" count="1" selected="0">
            <x v="1"/>
          </reference>
        </references>
      </pivotArea>
    </chartFormat>
    <chartFormat chart="1" format="4" series="1">
      <pivotArea type="data" outline="0" fieldPosition="0">
        <references count="2">
          <reference field="4294967294" count="1" selected="0">
            <x v="0"/>
          </reference>
          <reference field="17" count="1" selected="0">
            <x v="2"/>
          </reference>
        </references>
      </pivotArea>
    </chartFormat>
    <chartFormat chart="1" format="5" series="1">
      <pivotArea type="data" outline="0" fieldPosition="0">
        <references count="2">
          <reference field="4294967294" count="1" selected="0">
            <x v="0"/>
          </reference>
          <reference field="17" count="1" selected="0">
            <x v="3"/>
          </reference>
        </references>
      </pivotArea>
    </chartFormat>
    <chartFormat chart="1" format="6" series="1">
      <pivotArea type="data" outline="0" fieldPosition="0">
        <references count="2">
          <reference field="4294967294" count="1" selected="0">
            <x v="0"/>
          </reference>
          <reference field="9" count="1" selected="0">
            <x v="3"/>
          </reference>
        </references>
      </pivotArea>
    </chartFormat>
    <chartFormat chart="1" format="7" series="1">
      <pivotArea type="data" outline="0" fieldPosition="0">
        <references count="2">
          <reference field="4294967294" count="1" selected="0">
            <x v="0"/>
          </reference>
          <reference field="9" count="1" selected="0">
            <x v="4"/>
          </reference>
        </references>
      </pivotArea>
    </chartFormat>
    <chartFormat chart="1" format="8" series="1">
      <pivotArea type="data" outline="0" fieldPosition="0">
        <references count="2">
          <reference field="4294967294" count="1" selected="0">
            <x v="0"/>
          </reference>
          <reference field="9" count="1" selected="0">
            <x v="0"/>
          </reference>
        </references>
      </pivotArea>
    </chartFormat>
    <chartFormat chart="1" format="9" series="1">
      <pivotArea type="data" outline="0" fieldPosition="0">
        <references count="2">
          <reference field="4294967294" count="1" selected="0">
            <x v="0"/>
          </reference>
          <reference field="9" count="1" selected="0">
            <x v="1"/>
          </reference>
        </references>
      </pivotArea>
    </chartFormat>
    <chartFormat chart="1" format="10"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96DBB4-4FFF-4C1C-92C0-F8298183FEE4}" name="Pivot Matrix"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9:F36"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8"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E3E05796-F708-494E-B743-F07D2E4628A5}" sourceName="Gender Value">
  <pivotTables>
    <pivotTable tabId="5" name="Pivot Rating"/>
    <pivotTable tabId="5" name="Pivot Duration"/>
    <pivotTable tabId="5" name="Pivot Gender"/>
    <pivotTable tabId="5" name="Pivot Product"/>
    <pivotTable tabId="5" name="Pivot Quantity"/>
    <pivotTable tabId="5" name="Pivot Trends"/>
    <pivotTable tabId="5" name="Pivot Map"/>
  </pivotTables>
  <data>
    <tabular pivotCacheId="406375795">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7C7BB564-D793-4621-9EAB-2598782049E8}" sourceName="Order Mode">
  <pivotTables>
    <pivotTable tabId="5" name="Pivot Rating"/>
    <pivotTable tabId="5" name="Pivot Duration"/>
    <pivotTable tabId="5" name="Pivot Gender"/>
    <pivotTable tabId="5" name="Pivot Product"/>
    <pivotTable tabId="5" name="Pivot Quantity"/>
    <pivotTable tabId="5" name="Pivot Trends"/>
    <pivotTable tabId="5" name="Pivot Map"/>
  </pivotTables>
  <data>
    <tabular pivotCacheId="406375795">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xr10:uid="{EF3B4824-D016-4C62-85E7-80F27A6A4EFB}" cache="Slicer_Gender_Value" caption="Gender Value" rowHeight="234950"/>
  <slicer name="Order Mode" xr10:uid="{11952E47-E7B4-4260-AAE0-97AD8458518E}" cache="Slicer_Order_Mode" caption="Order M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P2401" totalsRowShown="0">
  <tableColumns count="16">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5"/>
    <tableColumn id="7" xr3:uid="{43BB5DBF-46E1-4185-80C0-4361F55A385C}" name="Ship Date" dataDxfId="4"/>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3">
      <calculatedColumnFormula>orders[[#This Row],[Ship Date]]-orders[[#This Row],[Order Date]]</calculatedColumnFormula>
    </tableColumn>
    <tableColumn id="12" xr3:uid="{B071C0DA-87A9-4516-B4D9-4F5B7D3FF44A}" name="Weeknum" dataDxfId="2">
      <calculatedColumnFormula>WEEKNUM(orders[[#This Row],[Order Date]])</calculatedColumnFormula>
    </tableColumn>
    <tableColumn id="13" xr3:uid="{B8EA9E28-7541-4E76-9935-C26438661A18}" name="Gender Value" dataDxfId="1">
      <calculatedColumnFormula array="1">_xlfn.IFS(orders[[#This Row],[Customer Gender]]="M","Male", orders[[#This Row],[Customer Gender]]="F","Female", orders[[#This Row],[Customer Gender]]="O","Other", TRUE,"Unknown")</calculatedColumnFormula>
    </tableColumn>
    <tableColumn id="16" xr3:uid="{6103F4D3-8F13-4854-B3B4-B9F1A53572E0}" name="Column1" dataDxfId="0"/>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 /><Relationship Id="rId3" Type="http://schemas.openxmlformats.org/officeDocument/2006/relationships/pivotTable" Target="../pivotTables/pivotTable3.xml" /><Relationship Id="rId7" Type="http://schemas.openxmlformats.org/officeDocument/2006/relationships/pivotTable" Target="../pivotTables/pivotTable7.xml" /><Relationship Id="rId12" Type="http://schemas.openxmlformats.org/officeDocument/2006/relationships/vmlDrawing" Target="../drawings/vmlDrawing1.vml" /><Relationship Id="rId2" Type="http://schemas.openxmlformats.org/officeDocument/2006/relationships/pivotTable" Target="../pivotTables/pivotTable2.xml" /><Relationship Id="rId1" Type="http://schemas.openxmlformats.org/officeDocument/2006/relationships/pivotTable" Target="../pivotTables/pivotTable1.xml" /><Relationship Id="rId6" Type="http://schemas.openxmlformats.org/officeDocument/2006/relationships/pivotTable" Target="../pivotTables/pivotTable6.xml" /><Relationship Id="rId11" Type="http://schemas.openxmlformats.org/officeDocument/2006/relationships/drawing" Target="../drawings/drawing1.xml" /><Relationship Id="rId5" Type="http://schemas.openxmlformats.org/officeDocument/2006/relationships/pivotTable" Target="../pivotTables/pivotTable5.xml" /><Relationship Id="rId10" Type="http://schemas.openxmlformats.org/officeDocument/2006/relationships/printerSettings" Target="../printerSettings/printerSettings2.bin" /><Relationship Id="rId4" Type="http://schemas.openxmlformats.org/officeDocument/2006/relationships/pivotTable" Target="../pivotTables/pivotTable4.xml" /><Relationship Id="rId9" Type="http://schemas.openxmlformats.org/officeDocument/2006/relationships/pivotTable" Target="../pivotTables/pivotTable9.xml" /></Relationships>
</file>

<file path=xl/worksheets/_rels/sheet4.xml.rels><?xml version="1.0" encoding="UTF-8" standalone="yes"?>
<Relationships xmlns="http://schemas.openxmlformats.org/package/2006/relationships"><Relationship Id="rId3" Type="http://schemas.microsoft.com/office/2007/relationships/slicer" Target="../slicers/slicer1.xml" /><Relationship Id="rId2" Type="http://schemas.openxmlformats.org/officeDocument/2006/relationships/drawing" Target="../drawings/drawing2.xml" /><Relationship Id="rId1" Type="http://schemas.openxmlformats.org/officeDocument/2006/relationships/printerSettings" Target="../printerSettings/printerSettings3.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P2401"/>
  <sheetViews>
    <sheetView zoomScale="78" workbookViewId="0">
      <selection activeCell="K17" sqref="K17"/>
    </sheetView>
  </sheetViews>
  <sheetFormatPr defaultRowHeight="15" x14ac:dyDescent="0.2"/>
  <cols>
    <col min="2" max="2" width="19.1015625" bestFit="1" customWidth="1"/>
    <col min="3" max="3" width="8.0703125" bestFit="1" customWidth="1"/>
    <col min="4" max="4" width="9.14453125" bestFit="1" customWidth="1"/>
    <col min="5" max="5" width="7.3984375" bestFit="1" customWidth="1"/>
    <col min="6" max="6" width="9.953125" bestFit="1" customWidth="1"/>
    <col min="7" max="7" width="9.4140625" bestFit="1" customWidth="1"/>
    <col min="8" max="8" width="15.73828125" bestFit="1" customWidth="1"/>
    <col min="9" max="9" width="10.76171875" bestFit="1" customWidth="1"/>
    <col min="10" max="10" width="7.80078125" bestFit="1" customWidth="1"/>
    <col min="11" max="11" width="8.7421875" bestFit="1" customWidth="1"/>
    <col min="12" max="12" width="19.63671875" bestFit="1" customWidth="1"/>
    <col min="13" max="13" width="13.31640625" bestFit="1" customWidth="1"/>
    <col min="14" max="14" width="9.28125" bestFit="1" customWidth="1"/>
    <col min="15" max="15" width="12.10546875" bestFit="1" customWidth="1"/>
  </cols>
  <sheetData>
    <row r="1" spans="1:16" x14ac:dyDescent="0.2">
      <c r="A1" t="s">
        <v>0</v>
      </c>
      <c r="B1" t="s">
        <v>1</v>
      </c>
      <c r="C1" t="s">
        <v>2</v>
      </c>
      <c r="D1" t="s">
        <v>3</v>
      </c>
      <c r="E1" t="s">
        <v>4</v>
      </c>
      <c r="F1" t="s">
        <v>5</v>
      </c>
      <c r="G1" t="s">
        <v>6</v>
      </c>
      <c r="H1" t="s">
        <v>7</v>
      </c>
      <c r="I1" t="s">
        <v>8</v>
      </c>
      <c r="J1" t="s">
        <v>9</v>
      </c>
      <c r="K1" t="s">
        <v>10</v>
      </c>
      <c r="L1" t="s">
        <v>11</v>
      </c>
      <c r="M1" s="2" t="s">
        <v>12</v>
      </c>
      <c r="N1" s="2" t="s">
        <v>13</v>
      </c>
      <c r="O1" s="2" t="s">
        <v>14</v>
      </c>
      <c r="P1" t="s">
        <v>2528</v>
      </c>
    </row>
    <row r="2" spans="1:16" x14ac:dyDescent="0.2">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f t="array" ref="O2">_xlfn.IFS(orders[[#This Row],[Customer Gender]]="M","Male", orders[[#This Row],[Customer Gender]]="F","Female", orders[[#This Row],[Customer Gender]]="O","Other", TRUE,"Unknown")</f>
        <v>Unknown</v>
      </c>
    </row>
    <row r="3" spans="1:16" x14ac:dyDescent="0.2">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f t="array" ref="O3">_xlfn.IFS(orders[[#This Row],[Customer Gender]]="M","Male", orders[[#This Row],[Customer Gender]]="F","Female", orders[[#This Row],[Customer Gender]]="O","Other", TRUE,"Unknown")</f>
        <v>Male</v>
      </c>
    </row>
    <row r="4" spans="1:16" x14ac:dyDescent="0.2">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f t="array" ref="O4">_xlfn.IFS(orders[[#This Row],[Customer Gender]]="M","Male", orders[[#This Row],[Customer Gender]]="F","Female", orders[[#This Row],[Customer Gender]]="O","Other", TRUE,"Unknown")</f>
        <v>Female</v>
      </c>
    </row>
    <row r="5" spans="1:16" x14ac:dyDescent="0.2">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f t="array" ref="O5">_xlfn.IFS(orders[[#This Row],[Customer Gender]]="M","Male", orders[[#This Row],[Customer Gender]]="F","Female", orders[[#This Row],[Customer Gender]]="O","Other", TRUE,"Unknown")</f>
        <v>Female</v>
      </c>
    </row>
    <row r="6" spans="1:16" x14ac:dyDescent="0.2">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f t="array" ref="O6">_xlfn.IFS(orders[[#This Row],[Customer Gender]]="M","Male", orders[[#This Row],[Customer Gender]]="F","Female", orders[[#This Row],[Customer Gender]]="O","Other", TRUE,"Unknown")</f>
        <v>Female</v>
      </c>
    </row>
    <row r="7" spans="1:16" x14ac:dyDescent="0.2">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f t="array" ref="O7">_xlfn.IFS(orders[[#This Row],[Customer Gender]]="M","Male", orders[[#This Row],[Customer Gender]]="F","Female", orders[[#This Row],[Customer Gender]]="O","Other", TRUE,"Unknown")</f>
        <v>Male</v>
      </c>
    </row>
    <row r="8" spans="1:16" x14ac:dyDescent="0.2">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f t="array" ref="O8">_xlfn.IFS(orders[[#This Row],[Customer Gender]]="M","Male", orders[[#This Row],[Customer Gender]]="F","Female", orders[[#This Row],[Customer Gender]]="O","Other", TRUE,"Unknown")</f>
        <v>Female</v>
      </c>
    </row>
    <row r="9" spans="1:16" x14ac:dyDescent="0.2">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f t="array" ref="O9">_xlfn.IFS(orders[[#This Row],[Customer Gender]]="M","Male", orders[[#This Row],[Customer Gender]]="F","Female", orders[[#This Row],[Customer Gender]]="O","Other", TRUE,"Unknown")</f>
        <v>Male</v>
      </c>
    </row>
    <row r="10" spans="1:16" x14ac:dyDescent="0.2">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f t="array" ref="O10">_xlfn.IFS(orders[[#This Row],[Customer Gender]]="M","Male", orders[[#This Row],[Customer Gender]]="F","Female", orders[[#This Row],[Customer Gender]]="O","Other", TRUE,"Unknown")</f>
        <v>Female</v>
      </c>
    </row>
    <row r="11" spans="1:16" x14ac:dyDescent="0.2">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f t="array" ref="O11">_xlfn.IFS(orders[[#This Row],[Customer Gender]]="M","Male", orders[[#This Row],[Customer Gender]]="F","Female", orders[[#This Row],[Customer Gender]]="O","Other", TRUE,"Unknown")</f>
        <v>Male</v>
      </c>
    </row>
    <row r="12" spans="1:16" x14ac:dyDescent="0.2">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f t="array" ref="O12">_xlfn.IFS(orders[[#This Row],[Customer Gender]]="M","Male", orders[[#This Row],[Customer Gender]]="F","Female", orders[[#This Row],[Customer Gender]]="O","Other", TRUE,"Unknown")</f>
        <v>Female</v>
      </c>
    </row>
    <row r="13" spans="1:16" x14ac:dyDescent="0.2">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f t="array" ref="O13">_xlfn.IFS(orders[[#This Row],[Customer Gender]]="M","Male", orders[[#This Row],[Customer Gender]]="F","Female", orders[[#This Row],[Customer Gender]]="O","Other", TRUE,"Unknown")</f>
        <v>Female</v>
      </c>
    </row>
    <row r="14" spans="1:16" x14ac:dyDescent="0.2">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f t="array" ref="O14">_xlfn.IFS(orders[[#This Row],[Customer Gender]]="M","Male", orders[[#This Row],[Customer Gender]]="F","Female", orders[[#This Row],[Customer Gender]]="O","Other", TRUE,"Unknown")</f>
        <v>Female</v>
      </c>
    </row>
    <row r="15" spans="1:16" x14ac:dyDescent="0.2">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f t="array" ref="O15">_xlfn.IFS(orders[[#This Row],[Customer Gender]]="M","Male", orders[[#This Row],[Customer Gender]]="F","Female", orders[[#This Row],[Customer Gender]]="O","Other", TRUE,"Unknown")</f>
        <v>Male</v>
      </c>
    </row>
    <row r="16" spans="1:16" x14ac:dyDescent="0.2">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f t="array" ref="O16">_xlfn.IFS(orders[[#This Row],[Customer Gender]]="M","Male", orders[[#This Row],[Customer Gender]]="F","Female", orders[[#This Row],[Customer Gender]]="O","Other", TRUE,"Unknown")</f>
        <v>Male</v>
      </c>
    </row>
    <row r="17" spans="1:15" x14ac:dyDescent="0.2">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f t="array" ref="O17">_xlfn.IFS(orders[[#This Row],[Customer Gender]]="M","Male", orders[[#This Row],[Customer Gender]]="F","Female", orders[[#This Row],[Customer Gender]]="O","Other", TRUE,"Unknown")</f>
        <v>Male</v>
      </c>
    </row>
    <row r="18" spans="1:15" x14ac:dyDescent="0.2">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f t="array" ref="O18">_xlfn.IFS(orders[[#This Row],[Customer Gender]]="M","Male", orders[[#This Row],[Customer Gender]]="F","Female", orders[[#This Row],[Customer Gender]]="O","Other", TRUE,"Unknown")</f>
        <v>Female</v>
      </c>
    </row>
    <row r="19" spans="1:15" x14ac:dyDescent="0.2">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f t="array" ref="O19">_xlfn.IFS(orders[[#This Row],[Customer Gender]]="M","Male", orders[[#This Row],[Customer Gender]]="F","Female", orders[[#This Row],[Customer Gender]]="O","Other", TRUE,"Unknown")</f>
        <v>Female</v>
      </c>
    </row>
    <row r="20" spans="1:15" x14ac:dyDescent="0.2">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f t="array" ref="O20">_xlfn.IFS(orders[[#This Row],[Customer Gender]]="M","Male", orders[[#This Row],[Customer Gender]]="F","Female", orders[[#This Row],[Customer Gender]]="O","Other", TRUE,"Unknown")</f>
        <v>Female</v>
      </c>
    </row>
    <row r="21" spans="1:15" x14ac:dyDescent="0.2">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f t="array" ref="O21">_xlfn.IFS(orders[[#This Row],[Customer Gender]]="M","Male", orders[[#This Row],[Customer Gender]]="F","Female", orders[[#This Row],[Customer Gender]]="O","Other", TRUE,"Unknown")</f>
        <v>Female</v>
      </c>
    </row>
    <row r="22" spans="1:15" x14ac:dyDescent="0.2">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f t="array" ref="O22">_xlfn.IFS(orders[[#This Row],[Customer Gender]]="M","Male", orders[[#This Row],[Customer Gender]]="F","Female", orders[[#This Row],[Customer Gender]]="O","Other", TRUE,"Unknown")</f>
        <v>Female</v>
      </c>
    </row>
    <row r="23" spans="1:15" x14ac:dyDescent="0.2">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f t="array" ref="O23">_xlfn.IFS(orders[[#This Row],[Customer Gender]]="M","Male", orders[[#This Row],[Customer Gender]]="F","Female", orders[[#This Row],[Customer Gender]]="O","Other", TRUE,"Unknown")</f>
        <v>Female</v>
      </c>
    </row>
    <row r="24" spans="1:15" x14ac:dyDescent="0.2">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f t="array" ref="O24">_xlfn.IFS(orders[[#This Row],[Customer Gender]]="M","Male", orders[[#This Row],[Customer Gender]]="F","Female", orders[[#This Row],[Customer Gender]]="O","Other", TRUE,"Unknown")</f>
        <v>Male</v>
      </c>
    </row>
    <row r="25" spans="1:15" x14ac:dyDescent="0.2">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f t="array" ref="O25">_xlfn.IFS(orders[[#This Row],[Customer Gender]]="M","Male", orders[[#This Row],[Customer Gender]]="F","Female", orders[[#This Row],[Customer Gender]]="O","Other", TRUE,"Unknown")</f>
        <v>Female</v>
      </c>
    </row>
    <row r="26" spans="1:15" x14ac:dyDescent="0.2">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f t="array" ref="O26">_xlfn.IFS(orders[[#This Row],[Customer Gender]]="M","Male", orders[[#This Row],[Customer Gender]]="F","Female", orders[[#This Row],[Customer Gender]]="O","Other", TRUE,"Unknown")</f>
        <v>Female</v>
      </c>
    </row>
    <row r="27" spans="1:15" x14ac:dyDescent="0.2">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f t="array" ref="O27">_xlfn.IFS(orders[[#This Row],[Customer Gender]]="M","Male", orders[[#This Row],[Customer Gender]]="F","Female", orders[[#This Row],[Customer Gender]]="O","Other", TRUE,"Unknown")</f>
        <v>Female</v>
      </c>
    </row>
    <row r="28" spans="1:15" x14ac:dyDescent="0.2">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f t="array" ref="O28">_xlfn.IFS(orders[[#This Row],[Customer Gender]]="M","Male", orders[[#This Row],[Customer Gender]]="F","Female", orders[[#This Row],[Customer Gender]]="O","Other", TRUE,"Unknown")</f>
        <v>Male</v>
      </c>
    </row>
    <row r="29" spans="1:15" x14ac:dyDescent="0.2">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f t="array" ref="O29">_xlfn.IFS(orders[[#This Row],[Customer Gender]]="M","Male", orders[[#This Row],[Customer Gender]]="F","Female", orders[[#This Row],[Customer Gender]]="O","Other", TRUE,"Unknown")</f>
        <v>Unknown</v>
      </c>
    </row>
    <row r="30" spans="1:15" x14ac:dyDescent="0.2">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f t="array" ref="O30">_xlfn.IFS(orders[[#This Row],[Customer Gender]]="M","Male", orders[[#This Row],[Customer Gender]]="F","Female", orders[[#This Row],[Customer Gender]]="O","Other", TRUE,"Unknown")</f>
        <v>Unknown</v>
      </c>
    </row>
    <row r="31" spans="1:15" x14ac:dyDescent="0.2">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f t="array" ref="O31">_xlfn.IFS(orders[[#This Row],[Customer Gender]]="M","Male", orders[[#This Row],[Customer Gender]]="F","Female", orders[[#This Row],[Customer Gender]]="O","Other", TRUE,"Unknown")</f>
        <v>Female</v>
      </c>
    </row>
    <row r="32" spans="1:15" x14ac:dyDescent="0.2">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f t="array" ref="O32">_xlfn.IFS(orders[[#This Row],[Customer Gender]]="M","Male", orders[[#This Row],[Customer Gender]]="F","Female", orders[[#This Row],[Customer Gender]]="O","Other", TRUE,"Unknown")</f>
        <v>Male</v>
      </c>
    </row>
    <row r="33" spans="1:15" x14ac:dyDescent="0.2">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f t="array" ref="O33">_xlfn.IFS(orders[[#This Row],[Customer Gender]]="M","Male", orders[[#This Row],[Customer Gender]]="F","Female", orders[[#This Row],[Customer Gender]]="O","Other", TRUE,"Unknown")</f>
        <v>Male</v>
      </c>
    </row>
    <row r="34" spans="1:15" x14ac:dyDescent="0.2">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f t="array" ref="O34">_xlfn.IFS(orders[[#This Row],[Customer Gender]]="M","Male", orders[[#This Row],[Customer Gender]]="F","Female", orders[[#This Row],[Customer Gender]]="O","Other", TRUE,"Unknown")</f>
        <v>Male</v>
      </c>
    </row>
    <row r="35" spans="1:15" x14ac:dyDescent="0.2">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f t="array" ref="O35">_xlfn.IFS(orders[[#This Row],[Customer Gender]]="M","Male", orders[[#This Row],[Customer Gender]]="F","Female", orders[[#This Row],[Customer Gender]]="O","Other", TRUE,"Unknown")</f>
        <v>Other</v>
      </c>
    </row>
    <row r="36" spans="1:15" x14ac:dyDescent="0.2">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f t="array" ref="O36">_xlfn.IFS(orders[[#This Row],[Customer Gender]]="M","Male", orders[[#This Row],[Customer Gender]]="F","Female", orders[[#This Row],[Customer Gender]]="O","Other", TRUE,"Unknown")</f>
        <v>Male</v>
      </c>
    </row>
    <row r="37" spans="1:15" x14ac:dyDescent="0.2">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f t="array" ref="O37">_xlfn.IFS(orders[[#This Row],[Customer Gender]]="M","Male", orders[[#This Row],[Customer Gender]]="F","Female", orders[[#This Row],[Customer Gender]]="O","Other", TRUE,"Unknown")</f>
        <v>Male</v>
      </c>
    </row>
    <row r="38" spans="1:15" x14ac:dyDescent="0.2">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f t="array" ref="O38">_xlfn.IFS(orders[[#This Row],[Customer Gender]]="M","Male", orders[[#This Row],[Customer Gender]]="F","Female", orders[[#This Row],[Customer Gender]]="O","Other", TRUE,"Unknown")</f>
        <v>Male</v>
      </c>
    </row>
    <row r="39" spans="1:15" x14ac:dyDescent="0.2">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f t="array" ref="O39">_xlfn.IFS(orders[[#This Row],[Customer Gender]]="M","Male", orders[[#This Row],[Customer Gender]]="F","Female", orders[[#This Row],[Customer Gender]]="O","Other", TRUE,"Unknown")</f>
        <v>Male</v>
      </c>
    </row>
    <row r="40" spans="1:15" x14ac:dyDescent="0.2">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f t="array" ref="O40">_xlfn.IFS(orders[[#This Row],[Customer Gender]]="M","Male", orders[[#This Row],[Customer Gender]]="F","Female", orders[[#This Row],[Customer Gender]]="O","Other", TRUE,"Unknown")</f>
        <v>Male</v>
      </c>
    </row>
    <row r="41" spans="1:15" x14ac:dyDescent="0.2">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f t="array" ref="O41">_xlfn.IFS(orders[[#This Row],[Customer Gender]]="M","Male", orders[[#This Row],[Customer Gender]]="F","Female", orders[[#This Row],[Customer Gender]]="O","Other", TRUE,"Unknown")</f>
        <v>Female</v>
      </c>
    </row>
    <row r="42" spans="1:15" x14ac:dyDescent="0.2">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f t="array" ref="O42">_xlfn.IFS(orders[[#This Row],[Customer Gender]]="M","Male", orders[[#This Row],[Customer Gender]]="F","Female", orders[[#This Row],[Customer Gender]]="O","Other", TRUE,"Unknown")</f>
        <v>Female</v>
      </c>
    </row>
    <row r="43" spans="1:15" x14ac:dyDescent="0.2">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f t="array" ref="O43">_xlfn.IFS(orders[[#This Row],[Customer Gender]]="M","Male", orders[[#This Row],[Customer Gender]]="F","Female", orders[[#This Row],[Customer Gender]]="O","Other", TRUE,"Unknown")</f>
        <v>Male</v>
      </c>
    </row>
    <row r="44" spans="1:15" x14ac:dyDescent="0.2">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f t="array" ref="O44">_xlfn.IFS(orders[[#This Row],[Customer Gender]]="M","Male", orders[[#This Row],[Customer Gender]]="F","Female", orders[[#This Row],[Customer Gender]]="O","Other", TRUE,"Unknown")</f>
        <v>Male</v>
      </c>
    </row>
    <row r="45" spans="1:15" x14ac:dyDescent="0.2">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f t="array" ref="O45">_xlfn.IFS(orders[[#This Row],[Customer Gender]]="M","Male", orders[[#This Row],[Customer Gender]]="F","Female", orders[[#This Row],[Customer Gender]]="O","Other", TRUE,"Unknown")</f>
        <v>Female</v>
      </c>
    </row>
    <row r="46" spans="1:15" x14ac:dyDescent="0.2">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f t="array" ref="O46">_xlfn.IFS(orders[[#This Row],[Customer Gender]]="M","Male", orders[[#This Row],[Customer Gender]]="F","Female", orders[[#This Row],[Customer Gender]]="O","Other", TRUE,"Unknown")</f>
        <v>Female</v>
      </c>
    </row>
    <row r="47" spans="1:15" x14ac:dyDescent="0.2">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f t="array" ref="O47">_xlfn.IFS(orders[[#This Row],[Customer Gender]]="M","Male", orders[[#This Row],[Customer Gender]]="F","Female", orders[[#This Row],[Customer Gender]]="O","Other", TRUE,"Unknown")</f>
        <v>Female</v>
      </c>
    </row>
    <row r="48" spans="1:15" x14ac:dyDescent="0.2">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f t="array" ref="O48">_xlfn.IFS(orders[[#This Row],[Customer Gender]]="M","Male", orders[[#This Row],[Customer Gender]]="F","Female", orders[[#This Row],[Customer Gender]]="O","Other", TRUE,"Unknown")</f>
        <v>Male</v>
      </c>
    </row>
    <row r="49" spans="1:15" x14ac:dyDescent="0.2">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f t="array" ref="O49">_xlfn.IFS(orders[[#This Row],[Customer Gender]]="M","Male", orders[[#This Row],[Customer Gender]]="F","Female", orders[[#This Row],[Customer Gender]]="O","Other", TRUE,"Unknown")</f>
        <v>Female</v>
      </c>
    </row>
    <row r="50" spans="1:15" x14ac:dyDescent="0.2">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f t="array" ref="O50">_xlfn.IFS(orders[[#This Row],[Customer Gender]]="M","Male", orders[[#This Row],[Customer Gender]]="F","Female", orders[[#This Row],[Customer Gender]]="O","Other", TRUE,"Unknown")</f>
        <v>Female</v>
      </c>
    </row>
    <row r="51" spans="1:15" x14ac:dyDescent="0.2">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f t="array" ref="O51">_xlfn.IFS(orders[[#This Row],[Customer Gender]]="M","Male", orders[[#This Row],[Customer Gender]]="F","Female", orders[[#This Row],[Customer Gender]]="O","Other", TRUE,"Unknown")</f>
        <v>Female</v>
      </c>
    </row>
    <row r="52" spans="1:15" x14ac:dyDescent="0.2">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f t="array" ref="O52">_xlfn.IFS(orders[[#This Row],[Customer Gender]]="M","Male", orders[[#This Row],[Customer Gender]]="F","Female", orders[[#This Row],[Customer Gender]]="O","Other", TRUE,"Unknown")</f>
        <v>Male</v>
      </c>
    </row>
    <row r="53" spans="1:15" x14ac:dyDescent="0.2">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f t="array" ref="O53">_xlfn.IFS(orders[[#This Row],[Customer Gender]]="M","Male", orders[[#This Row],[Customer Gender]]="F","Female", orders[[#This Row],[Customer Gender]]="O","Other", TRUE,"Unknown")</f>
        <v>Female</v>
      </c>
    </row>
    <row r="54" spans="1:15" x14ac:dyDescent="0.2">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f t="array" ref="O54">_xlfn.IFS(orders[[#This Row],[Customer Gender]]="M","Male", orders[[#This Row],[Customer Gender]]="F","Female", orders[[#This Row],[Customer Gender]]="O","Other", TRUE,"Unknown")</f>
        <v>Male</v>
      </c>
    </row>
    <row r="55" spans="1:15" x14ac:dyDescent="0.2">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f t="array" ref="O55">_xlfn.IFS(orders[[#This Row],[Customer Gender]]="M","Male", orders[[#This Row],[Customer Gender]]="F","Female", orders[[#This Row],[Customer Gender]]="O","Other", TRUE,"Unknown")</f>
        <v>Female</v>
      </c>
    </row>
    <row r="56" spans="1:15" x14ac:dyDescent="0.2">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f t="array" ref="O56">_xlfn.IFS(orders[[#This Row],[Customer Gender]]="M","Male", orders[[#This Row],[Customer Gender]]="F","Female", orders[[#This Row],[Customer Gender]]="O","Other", TRUE,"Unknown")</f>
        <v>Male</v>
      </c>
    </row>
    <row r="57" spans="1:15" x14ac:dyDescent="0.2">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f t="array" ref="O57">_xlfn.IFS(orders[[#This Row],[Customer Gender]]="M","Male", orders[[#This Row],[Customer Gender]]="F","Female", orders[[#This Row],[Customer Gender]]="O","Other", TRUE,"Unknown")</f>
        <v>Male</v>
      </c>
    </row>
    <row r="58" spans="1:15" x14ac:dyDescent="0.2">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f t="array" ref="O58">_xlfn.IFS(orders[[#This Row],[Customer Gender]]="M","Male", orders[[#This Row],[Customer Gender]]="F","Female", orders[[#This Row],[Customer Gender]]="O","Other", TRUE,"Unknown")</f>
        <v>Female</v>
      </c>
    </row>
    <row r="59" spans="1:15" x14ac:dyDescent="0.2">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f t="array" ref="O59">_xlfn.IFS(orders[[#This Row],[Customer Gender]]="M","Male", orders[[#This Row],[Customer Gender]]="F","Female", orders[[#This Row],[Customer Gender]]="O","Other", TRUE,"Unknown")</f>
        <v>Female</v>
      </c>
    </row>
    <row r="60" spans="1:15" x14ac:dyDescent="0.2">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f t="array" ref="O60">_xlfn.IFS(orders[[#This Row],[Customer Gender]]="M","Male", orders[[#This Row],[Customer Gender]]="F","Female", orders[[#This Row],[Customer Gender]]="O","Other", TRUE,"Unknown")</f>
        <v>Male</v>
      </c>
    </row>
    <row r="61" spans="1:15" x14ac:dyDescent="0.2">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f t="array" ref="O61">_xlfn.IFS(orders[[#This Row],[Customer Gender]]="M","Male", orders[[#This Row],[Customer Gender]]="F","Female", orders[[#This Row],[Customer Gender]]="O","Other", TRUE,"Unknown")</f>
        <v>Female</v>
      </c>
    </row>
    <row r="62" spans="1:15" x14ac:dyDescent="0.2">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f t="array" ref="O62">_xlfn.IFS(orders[[#This Row],[Customer Gender]]="M","Male", orders[[#This Row],[Customer Gender]]="F","Female", orders[[#This Row],[Customer Gender]]="O","Other", TRUE,"Unknown")</f>
        <v>Female</v>
      </c>
    </row>
    <row r="63" spans="1:15" x14ac:dyDescent="0.2">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f t="array" ref="O63">_xlfn.IFS(orders[[#This Row],[Customer Gender]]="M","Male", orders[[#This Row],[Customer Gender]]="F","Female", orders[[#This Row],[Customer Gender]]="O","Other", TRUE,"Unknown")</f>
        <v>Female</v>
      </c>
    </row>
    <row r="64" spans="1:15" x14ac:dyDescent="0.2">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f t="array" ref="O64">_xlfn.IFS(orders[[#This Row],[Customer Gender]]="M","Male", orders[[#This Row],[Customer Gender]]="F","Female", orders[[#This Row],[Customer Gender]]="O","Other", TRUE,"Unknown")</f>
        <v>Female</v>
      </c>
    </row>
    <row r="65" spans="1:15" x14ac:dyDescent="0.2">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f t="array" ref="O65">_xlfn.IFS(orders[[#This Row],[Customer Gender]]="M","Male", orders[[#This Row],[Customer Gender]]="F","Female", orders[[#This Row],[Customer Gender]]="O","Other", TRUE,"Unknown")</f>
        <v>Male</v>
      </c>
    </row>
    <row r="66" spans="1:15" x14ac:dyDescent="0.2">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f t="array" ref="O66">_xlfn.IFS(orders[[#This Row],[Customer Gender]]="M","Male", orders[[#This Row],[Customer Gender]]="F","Female", orders[[#This Row],[Customer Gender]]="O","Other", TRUE,"Unknown")</f>
        <v>Female</v>
      </c>
    </row>
    <row r="67" spans="1:15" x14ac:dyDescent="0.2">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f t="array" ref="O67">_xlfn.IFS(orders[[#This Row],[Customer Gender]]="M","Male", orders[[#This Row],[Customer Gender]]="F","Female", orders[[#This Row],[Customer Gender]]="O","Other", TRUE,"Unknown")</f>
        <v>Female</v>
      </c>
    </row>
    <row r="68" spans="1:15" x14ac:dyDescent="0.2">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f t="array" ref="O68">_xlfn.IFS(orders[[#This Row],[Customer Gender]]="M","Male", orders[[#This Row],[Customer Gender]]="F","Female", orders[[#This Row],[Customer Gender]]="O","Other", TRUE,"Unknown")</f>
        <v>Male</v>
      </c>
    </row>
    <row r="69" spans="1:15" x14ac:dyDescent="0.2">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f t="array" ref="O69">_xlfn.IFS(orders[[#This Row],[Customer Gender]]="M","Male", orders[[#This Row],[Customer Gender]]="F","Female", orders[[#This Row],[Customer Gender]]="O","Other", TRUE,"Unknown")</f>
        <v>Female</v>
      </c>
    </row>
    <row r="70" spans="1:15" x14ac:dyDescent="0.2">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f t="array" ref="O70">_xlfn.IFS(orders[[#This Row],[Customer Gender]]="M","Male", orders[[#This Row],[Customer Gender]]="F","Female", orders[[#This Row],[Customer Gender]]="O","Other", TRUE,"Unknown")</f>
        <v>Female</v>
      </c>
    </row>
    <row r="71" spans="1:15" x14ac:dyDescent="0.2">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f t="array" ref="O71">_xlfn.IFS(orders[[#This Row],[Customer Gender]]="M","Male", orders[[#This Row],[Customer Gender]]="F","Female", orders[[#This Row],[Customer Gender]]="O","Other", TRUE,"Unknown")</f>
        <v>Male</v>
      </c>
    </row>
    <row r="72" spans="1:15" x14ac:dyDescent="0.2">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f t="array" ref="O72">_xlfn.IFS(orders[[#This Row],[Customer Gender]]="M","Male", orders[[#This Row],[Customer Gender]]="F","Female", orders[[#This Row],[Customer Gender]]="O","Other", TRUE,"Unknown")</f>
        <v>Male</v>
      </c>
    </row>
    <row r="73" spans="1:15" x14ac:dyDescent="0.2">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f t="array" ref="O73">_xlfn.IFS(orders[[#This Row],[Customer Gender]]="M","Male", orders[[#This Row],[Customer Gender]]="F","Female", orders[[#This Row],[Customer Gender]]="O","Other", TRUE,"Unknown")</f>
        <v>Female</v>
      </c>
    </row>
    <row r="74" spans="1:15" x14ac:dyDescent="0.2">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f t="array" ref="O74">_xlfn.IFS(orders[[#This Row],[Customer Gender]]="M","Male", orders[[#This Row],[Customer Gender]]="F","Female", orders[[#This Row],[Customer Gender]]="O","Other", TRUE,"Unknown")</f>
        <v>Female</v>
      </c>
    </row>
    <row r="75" spans="1:15" x14ac:dyDescent="0.2">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f t="array" ref="O75">_xlfn.IFS(orders[[#This Row],[Customer Gender]]="M","Male", orders[[#This Row],[Customer Gender]]="F","Female", orders[[#This Row],[Customer Gender]]="O","Other", TRUE,"Unknown")</f>
        <v>Female</v>
      </c>
    </row>
    <row r="76" spans="1:15" x14ac:dyDescent="0.2">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f t="array" ref="O76">_xlfn.IFS(orders[[#This Row],[Customer Gender]]="M","Male", orders[[#This Row],[Customer Gender]]="F","Female", orders[[#This Row],[Customer Gender]]="O","Other", TRUE,"Unknown")</f>
        <v>Male</v>
      </c>
    </row>
    <row r="77" spans="1:15" x14ac:dyDescent="0.2">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f t="array" ref="O77">_xlfn.IFS(orders[[#This Row],[Customer Gender]]="M","Male", orders[[#This Row],[Customer Gender]]="F","Female", orders[[#This Row],[Customer Gender]]="O","Other", TRUE,"Unknown")</f>
        <v>Other</v>
      </c>
    </row>
    <row r="78" spans="1:15" x14ac:dyDescent="0.2">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f t="array" ref="O78">_xlfn.IFS(orders[[#This Row],[Customer Gender]]="M","Male", orders[[#This Row],[Customer Gender]]="F","Female", orders[[#This Row],[Customer Gender]]="O","Other", TRUE,"Unknown")</f>
        <v>Female</v>
      </c>
    </row>
    <row r="79" spans="1:15" x14ac:dyDescent="0.2">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f t="array" ref="O79">_xlfn.IFS(orders[[#This Row],[Customer Gender]]="M","Male", orders[[#This Row],[Customer Gender]]="F","Female", orders[[#This Row],[Customer Gender]]="O","Other", TRUE,"Unknown")</f>
        <v>Male</v>
      </c>
    </row>
    <row r="80" spans="1:15" x14ac:dyDescent="0.2">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f t="array" ref="O80">_xlfn.IFS(orders[[#This Row],[Customer Gender]]="M","Male", orders[[#This Row],[Customer Gender]]="F","Female", orders[[#This Row],[Customer Gender]]="O","Other", TRUE,"Unknown")</f>
        <v>Female</v>
      </c>
    </row>
    <row r="81" spans="1:15" x14ac:dyDescent="0.2">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f t="array" ref="O81">_xlfn.IFS(orders[[#This Row],[Customer Gender]]="M","Male", orders[[#This Row],[Customer Gender]]="F","Female", orders[[#This Row],[Customer Gender]]="O","Other", TRUE,"Unknown")</f>
        <v>Female</v>
      </c>
    </row>
    <row r="82" spans="1:15" x14ac:dyDescent="0.2">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f t="array" ref="O82">_xlfn.IFS(orders[[#This Row],[Customer Gender]]="M","Male", orders[[#This Row],[Customer Gender]]="F","Female", orders[[#This Row],[Customer Gender]]="O","Other", TRUE,"Unknown")</f>
        <v>Male</v>
      </c>
    </row>
    <row r="83" spans="1:15" x14ac:dyDescent="0.2">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f t="array" ref="O83">_xlfn.IFS(orders[[#This Row],[Customer Gender]]="M","Male", orders[[#This Row],[Customer Gender]]="F","Female", orders[[#This Row],[Customer Gender]]="O","Other", TRUE,"Unknown")</f>
        <v>Female</v>
      </c>
    </row>
    <row r="84" spans="1:15" x14ac:dyDescent="0.2">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f t="array" ref="O84">_xlfn.IFS(orders[[#This Row],[Customer Gender]]="M","Male", orders[[#This Row],[Customer Gender]]="F","Female", orders[[#This Row],[Customer Gender]]="O","Other", TRUE,"Unknown")</f>
        <v>Male</v>
      </c>
    </row>
    <row r="85" spans="1:15" x14ac:dyDescent="0.2">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f t="array" ref="O85">_xlfn.IFS(orders[[#This Row],[Customer Gender]]="M","Male", orders[[#This Row],[Customer Gender]]="F","Female", orders[[#This Row],[Customer Gender]]="O","Other", TRUE,"Unknown")</f>
        <v>Female</v>
      </c>
    </row>
    <row r="86" spans="1:15" x14ac:dyDescent="0.2">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f t="array" ref="O86">_xlfn.IFS(orders[[#This Row],[Customer Gender]]="M","Male", orders[[#This Row],[Customer Gender]]="F","Female", orders[[#This Row],[Customer Gender]]="O","Other", TRUE,"Unknown")</f>
        <v>Male</v>
      </c>
    </row>
    <row r="87" spans="1:15" x14ac:dyDescent="0.2">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f t="array" ref="O87">_xlfn.IFS(orders[[#This Row],[Customer Gender]]="M","Male", orders[[#This Row],[Customer Gender]]="F","Female", orders[[#This Row],[Customer Gender]]="O","Other", TRUE,"Unknown")</f>
        <v>Male</v>
      </c>
    </row>
    <row r="88" spans="1:15" x14ac:dyDescent="0.2">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f t="array" ref="O88">_xlfn.IFS(orders[[#This Row],[Customer Gender]]="M","Male", orders[[#This Row],[Customer Gender]]="F","Female", orders[[#This Row],[Customer Gender]]="O","Other", TRUE,"Unknown")</f>
        <v>Female</v>
      </c>
    </row>
    <row r="89" spans="1:15" x14ac:dyDescent="0.2">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f t="array" ref="O89">_xlfn.IFS(orders[[#This Row],[Customer Gender]]="M","Male", orders[[#This Row],[Customer Gender]]="F","Female", orders[[#This Row],[Customer Gender]]="O","Other", TRUE,"Unknown")</f>
        <v>Male</v>
      </c>
    </row>
    <row r="90" spans="1:15" x14ac:dyDescent="0.2">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f t="array" ref="O90">_xlfn.IFS(orders[[#This Row],[Customer Gender]]="M","Male", orders[[#This Row],[Customer Gender]]="F","Female", orders[[#This Row],[Customer Gender]]="O","Other", TRUE,"Unknown")</f>
        <v>Male</v>
      </c>
    </row>
    <row r="91" spans="1:15" x14ac:dyDescent="0.2">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f t="array" ref="O91">_xlfn.IFS(orders[[#This Row],[Customer Gender]]="M","Male", orders[[#This Row],[Customer Gender]]="F","Female", orders[[#This Row],[Customer Gender]]="O","Other", TRUE,"Unknown")</f>
        <v>Female</v>
      </c>
    </row>
    <row r="92" spans="1:15" x14ac:dyDescent="0.2">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f t="array" ref="O92">_xlfn.IFS(orders[[#This Row],[Customer Gender]]="M","Male", orders[[#This Row],[Customer Gender]]="F","Female", orders[[#This Row],[Customer Gender]]="O","Other", TRUE,"Unknown")</f>
        <v>Unknown</v>
      </c>
    </row>
    <row r="93" spans="1:15" x14ac:dyDescent="0.2">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f t="array" ref="O93">_xlfn.IFS(orders[[#This Row],[Customer Gender]]="M","Male", orders[[#This Row],[Customer Gender]]="F","Female", orders[[#This Row],[Customer Gender]]="O","Other", TRUE,"Unknown")</f>
        <v>Female</v>
      </c>
    </row>
    <row r="94" spans="1:15" x14ac:dyDescent="0.2">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f t="array" ref="O94">_xlfn.IFS(orders[[#This Row],[Customer Gender]]="M","Male", orders[[#This Row],[Customer Gender]]="F","Female", orders[[#This Row],[Customer Gender]]="O","Other", TRUE,"Unknown")</f>
        <v>Male</v>
      </c>
    </row>
    <row r="95" spans="1:15" x14ac:dyDescent="0.2">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f t="array" ref="O95">_xlfn.IFS(orders[[#This Row],[Customer Gender]]="M","Male", orders[[#This Row],[Customer Gender]]="F","Female", orders[[#This Row],[Customer Gender]]="O","Other", TRUE,"Unknown")</f>
        <v>Unknown</v>
      </c>
    </row>
    <row r="96" spans="1:15" x14ac:dyDescent="0.2">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f t="array" ref="O96">_xlfn.IFS(orders[[#This Row],[Customer Gender]]="M","Male", orders[[#This Row],[Customer Gender]]="F","Female", orders[[#This Row],[Customer Gender]]="O","Other", TRUE,"Unknown")</f>
        <v>Female</v>
      </c>
    </row>
    <row r="97" spans="1:15" x14ac:dyDescent="0.2">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f t="array" ref="O97">_xlfn.IFS(orders[[#This Row],[Customer Gender]]="M","Male", orders[[#This Row],[Customer Gender]]="F","Female", orders[[#This Row],[Customer Gender]]="O","Other", TRUE,"Unknown")</f>
        <v>Female</v>
      </c>
    </row>
    <row r="98" spans="1:15" x14ac:dyDescent="0.2">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f t="array" ref="O98">_xlfn.IFS(orders[[#This Row],[Customer Gender]]="M","Male", orders[[#This Row],[Customer Gender]]="F","Female", orders[[#This Row],[Customer Gender]]="O","Other", TRUE,"Unknown")</f>
        <v>Male</v>
      </c>
    </row>
    <row r="99" spans="1:15" x14ac:dyDescent="0.2">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f t="array" ref="O99">_xlfn.IFS(orders[[#This Row],[Customer Gender]]="M","Male", orders[[#This Row],[Customer Gender]]="F","Female", orders[[#This Row],[Customer Gender]]="O","Other", TRUE,"Unknown")</f>
        <v>Male</v>
      </c>
    </row>
    <row r="100" spans="1:15" x14ac:dyDescent="0.2">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f t="array" ref="O100">_xlfn.IFS(orders[[#This Row],[Customer Gender]]="M","Male", orders[[#This Row],[Customer Gender]]="F","Female", orders[[#This Row],[Customer Gender]]="O","Other", TRUE,"Unknown")</f>
        <v>Male</v>
      </c>
    </row>
    <row r="101" spans="1:15" x14ac:dyDescent="0.2">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f t="array" ref="O101">_xlfn.IFS(orders[[#This Row],[Customer Gender]]="M","Male", orders[[#This Row],[Customer Gender]]="F","Female", orders[[#This Row],[Customer Gender]]="O","Other", TRUE,"Unknown")</f>
        <v>Female</v>
      </c>
    </row>
    <row r="102" spans="1:15" x14ac:dyDescent="0.2">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f t="array" ref="O102">_xlfn.IFS(orders[[#This Row],[Customer Gender]]="M","Male", orders[[#This Row],[Customer Gender]]="F","Female", orders[[#This Row],[Customer Gender]]="O","Other", TRUE,"Unknown")</f>
        <v>Male</v>
      </c>
    </row>
    <row r="103" spans="1:15" x14ac:dyDescent="0.2">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f t="array" ref="O103">_xlfn.IFS(orders[[#This Row],[Customer Gender]]="M","Male", orders[[#This Row],[Customer Gender]]="F","Female", orders[[#This Row],[Customer Gender]]="O","Other", TRUE,"Unknown")</f>
        <v>Male</v>
      </c>
    </row>
    <row r="104" spans="1:15" x14ac:dyDescent="0.2">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f t="array" ref="O104">_xlfn.IFS(orders[[#This Row],[Customer Gender]]="M","Male", orders[[#This Row],[Customer Gender]]="F","Female", orders[[#This Row],[Customer Gender]]="O","Other", TRUE,"Unknown")</f>
        <v>Female</v>
      </c>
    </row>
    <row r="105" spans="1:15" x14ac:dyDescent="0.2">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f t="array" ref="O105">_xlfn.IFS(orders[[#This Row],[Customer Gender]]="M","Male", orders[[#This Row],[Customer Gender]]="F","Female", orders[[#This Row],[Customer Gender]]="O","Other", TRUE,"Unknown")</f>
        <v>Male</v>
      </c>
    </row>
    <row r="106" spans="1:15" x14ac:dyDescent="0.2">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f t="array" ref="O106">_xlfn.IFS(orders[[#This Row],[Customer Gender]]="M","Male", orders[[#This Row],[Customer Gender]]="F","Female", orders[[#This Row],[Customer Gender]]="O","Other", TRUE,"Unknown")</f>
        <v>Female</v>
      </c>
    </row>
    <row r="107" spans="1:15" x14ac:dyDescent="0.2">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f t="array" ref="O107">_xlfn.IFS(orders[[#This Row],[Customer Gender]]="M","Male", orders[[#This Row],[Customer Gender]]="F","Female", orders[[#This Row],[Customer Gender]]="O","Other", TRUE,"Unknown")</f>
        <v>Female</v>
      </c>
    </row>
    <row r="108" spans="1:15" x14ac:dyDescent="0.2">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f t="array" ref="O108">_xlfn.IFS(orders[[#This Row],[Customer Gender]]="M","Male", orders[[#This Row],[Customer Gender]]="F","Female", orders[[#This Row],[Customer Gender]]="O","Other", TRUE,"Unknown")</f>
        <v>Female</v>
      </c>
    </row>
    <row r="109" spans="1:15" x14ac:dyDescent="0.2">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f t="array" ref="O109">_xlfn.IFS(orders[[#This Row],[Customer Gender]]="M","Male", orders[[#This Row],[Customer Gender]]="F","Female", orders[[#This Row],[Customer Gender]]="O","Other", TRUE,"Unknown")</f>
        <v>Male</v>
      </c>
    </row>
    <row r="110" spans="1:15" x14ac:dyDescent="0.2">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f t="array" ref="O110">_xlfn.IFS(orders[[#This Row],[Customer Gender]]="M","Male", orders[[#This Row],[Customer Gender]]="F","Female", orders[[#This Row],[Customer Gender]]="O","Other", TRUE,"Unknown")</f>
        <v>Male</v>
      </c>
    </row>
    <row r="111" spans="1:15" x14ac:dyDescent="0.2">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f t="array" ref="O111">_xlfn.IFS(orders[[#This Row],[Customer Gender]]="M","Male", orders[[#This Row],[Customer Gender]]="F","Female", orders[[#This Row],[Customer Gender]]="O","Other", TRUE,"Unknown")</f>
        <v>Female</v>
      </c>
    </row>
    <row r="112" spans="1:15" x14ac:dyDescent="0.2">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f t="array" ref="O112">_xlfn.IFS(orders[[#This Row],[Customer Gender]]="M","Male", orders[[#This Row],[Customer Gender]]="F","Female", orders[[#This Row],[Customer Gender]]="O","Other", TRUE,"Unknown")</f>
        <v>Male</v>
      </c>
    </row>
    <row r="113" spans="1:15" x14ac:dyDescent="0.2">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f t="array" ref="O113">_xlfn.IFS(orders[[#This Row],[Customer Gender]]="M","Male", orders[[#This Row],[Customer Gender]]="F","Female", orders[[#This Row],[Customer Gender]]="O","Other", TRUE,"Unknown")</f>
        <v>Female</v>
      </c>
    </row>
    <row r="114" spans="1:15" x14ac:dyDescent="0.2">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f t="array" ref="O114">_xlfn.IFS(orders[[#This Row],[Customer Gender]]="M","Male", orders[[#This Row],[Customer Gender]]="F","Female", orders[[#This Row],[Customer Gender]]="O","Other", TRUE,"Unknown")</f>
        <v>Male</v>
      </c>
    </row>
    <row r="115" spans="1:15" x14ac:dyDescent="0.2">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f t="array" ref="O115">_xlfn.IFS(orders[[#This Row],[Customer Gender]]="M","Male", orders[[#This Row],[Customer Gender]]="F","Female", orders[[#This Row],[Customer Gender]]="O","Other", TRUE,"Unknown")</f>
        <v>Male</v>
      </c>
    </row>
    <row r="116" spans="1:15" x14ac:dyDescent="0.2">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f t="array" ref="O116">_xlfn.IFS(orders[[#This Row],[Customer Gender]]="M","Male", orders[[#This Row],[Customer Gender]]="F","Female", orders[[#This Row],[Customer Gender]]="O","Other", TRUE,"Unknown")</f>
        <v>Male</v>
      </c>
    </row>
    <row r="117" spans="1:15" x14ac:dyDescent="0.2">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f t="array" ref="O117">_xlfn.IFS(orders[[#This Row],[Customer Gender]]="M","Male", orders[[#This Row],[Customer Gender]]="F","Female", orders[[#This Row],[Customer Gender]]="O","Other", TRUE,"Unknown")</f>
        <v>Female</v>
      </c>
    </row>
    <row r="118" spans="1:15" x14ac:dyDescent="0.2">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f t="array" ref="O118">_xlfn.IFS(orders[[#This Row],[Customer Gender]]="M","Male", orders[[#This Row],[Customer Gender]]="F","Female", orders[[#This Row],[Customer Gender]]="O","Other", TRUE,"Unknown")</f>
        <v>Female</v>
      </c>
    </row>
    <row r="119" spans="1:15" x14ac:dyDescent="0.2">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f t="array" ref="O119">_xlfn.IFS(orders[[#This Row],[Customer Gender]]="M","Male", orders[[#This Row],[Customer Gender]]="F","Female", orders[[#This Row],[Customer Gender]]="O","Other", TRUE,"Unknown")</f>
        <v>Female</v>
      </c>
    </row>
    <row r="120" spans="1:15" x14ac:dyDescent="0.2">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f t="array" ref="O120">_xlfn.IFS(orders[[#This Row],[Customer Gender]]="M","Male", orders[[#This Row],[Customer Gender]]="F","Female", orders[[#This Row],[Customer Gender]]="O","Other", TRUE,"Unknown")</f>
        <v>Male</v>
      </c>
    </row>
    <row r="121" spans="1:15" x14ac:dyDescent="0.2">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f t="array" ref="O121">_xlfn.IFS(orders[[#This Row],[Customer Gender]]="M","Male", orders[[#This Row],[Customer Gender]]="F","Female", orders[[#This Row],[Customer Gender]]="O","Other", TRUE,"Unknown")</f>
        <v>Female</v>
      </c>
    </row>
    <row r="122" spans="1:15" x14ac:dyDescent="0.2">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f t="array" ref="O122">_xlfn.IFS(orders[[#This Row],[Customer Gender]]="M","Male", orders[[#This Row],[Customer Gender]]="F","Female", orders[[#This Row],[Customer Gender]]="O","Other", TRUE,"Unknown")</f>
        <v>Unknown</v>
      </c>
    </row>
    <row r="123" spans="1:15" x14ac:dyDescent="0.2">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f t="array" ref="O123">_xlfn.IFS(orders[[#This Row],[Customer Gender]]="M","Male", orders[[#This Row],[Customer Gender]]="F","Female", orders[[#This Row],[Customer Gender]]="O","Other", TRUE,"Unknown")</f>
        <v>Male</v>
      </c>
    </row>
    <row r="124" spans="1:15" x14ac:dyDescent="0.2">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f t="array" ref="O124">_xlfn.IFS(orders[[#This Row],[Customer Gender]]="M","Male", orders[[#This Row],[Customer Gender]]="F","Female", orders[[#This Row],[Customer Gender]]="O","Other", TRUE,"Unknown")</f>
        <v>Female</v>
      </c>
    </row>
    <row r="125" spans="1:15" x14ac:dyDescent="0.2">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f t="array" ref="O125">_xlfn.IFS(orders[[#This Row],[Customer Gender]]="M","Male", orders[[#This Row],[Customer Gender]]="F","Female", orders[[#This Row],[Customer Gender]]="O","Other", TRUE,"Unknown")</f>
        <v>Female</v>
      </c>
    </row>
    <row r="126" spans="1:15" x14ac:dyDescent="0.2">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f t="array" ref="O126">_xlfn.IFS(orders[[#This Row],[Customer Gender]]="M","Male", orders[[#This Row],[Customer Gender]]="F","Female", orders[[#This Row],[Customer Gender]]="O","Other", TRUE,"Unknown")</f>
        <v>Male</v>
      </c>
    </row>
    <row r="127" spans="1:15" x14ac:dyDescent="0.2">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f t="array" ref="O127">_xlfn.IFS(orders[[#This Row],[Customer Gender]]="M","Male", orders[[#This Row],[Customer Gender]]="F","Female", orders[[#This Row],[Customer Gender]]="O","Other", TRUE,"Unknown")</f>
        <v>Male</v>
      </c>
    </row>
    <row r="128" spans="1:15" x14ac:dyDescent="0.2">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f t="array" ref="O128">_xlfn.IFS(orders[[#This Row],[Customer Gender]]="M","Male", orders[[#This Row],[Customer Gender]]="F","Female", orders[[#This Row],[Customer Gender]]="O","Other", TRUE,"Unknown")</f>
        <v>Female</v>
      </c>
    </row>
    <row r="129" spans="1:15" x14ac:dyDescent="0.2">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f t="array" ref="O129">_xlfn.IFS(orders[[#This Row],[Customer Gender]]="M","Male", orders[[#This Row],[Customer Gender]]="F","Female", orders[[#This Row],[Customer Gender]]="O","Other", TRUE,"Unknown")</f>
        <v>Male</v>
      </c>
    </row>
    <row r="130" spans="1:15" x14ac:dyDescent="0.2">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f t="array" ref="O130">_xlfn.IFS(orders[[#This Row],[Customer Gender]]="M","Male", orders[[#This Row],[Customer Gender]]="F","Female", orders[[#This Row],[Customer Gender]]="O","Other", TRUE,"Unknown")</f>
        <v>Male</v>
      </c>
    </row>
    <row r="131" spans="1:15" x14ac:dyDescent="0.2">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f t="array" ref="O131">_xlfn.IFS(orders[[#This Row],[Customer Gender]]="M","Male", orders[[#This Row],[Customer Gender]]="F","Female", orders[[#This Row],[Customer Gender]]="O","Other", TRUE,"Unknown")</f>
        <v>Male</v>
      </c>
    </row>
    <row r="132" spans="1:15" x14ac:dyDescent="0.2">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f t="array" ref="O132">_xlfn.IFS(orders[[#This Row],[Customer Gender]]="M","Male", orders[[#This Row],[Customer Gender]]="F","Female", orders[[#This Row],[Customer Gender]]="O","Other", TRUE,"Unknown")</f>
        <v>Other</v>
      </c>
    </row>
    <row r="133" spans="1:15" x14ac:dyDescent="0.2">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f t="array" ref="O133">_xlfn.IFS(orders[[#This Row],[Customer Gender]]="M","Male", orders[[#This Row],[Customer Gender]]="F","Female", orders[[#This Row],[Customer Gender]]="O","Other", TRUE,"Unknown")</f>
        <v>Female</v>
      </c>
    </row>
    <row r="134" spans="1:15" x14ac:dyDescent="0.2">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f t="array" ref="O134">_xlfn.IFS(orders[[#This Row],[Customer Gender]]="M","Male", orders[[#This Row],[Customer Gender]]="F","Female", orders[[#This Row],[Customer Gender]]="O","Other", TRUE,"Unknown")</f>
        <v>Male</v>
      </c>
    </row>
    <row r="135" spans="1:15" x14ac:dyDescent="0.2">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f t="array" ref="O135">_xlfn.IFS(orders[[#This Row],[Customer Gender]]="M","Male", orders[[#This Row],[Customer Gender]]="F","Female", orders[[#This Row],[Customer Gender]]="O","Other", TRUE,"Unknown")</f>
        <v>Other</v>
      </c>
    </row>
    <row r="136" spans="1:15" x14ac:dyDescent="0.2">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f t="array" ref="O136">_xlfn.IFS(orders[[#This Row],[Customer Gender]]="M","Male", orders[[#This Row],[Customer Gender]]="F","Female", orders[[#This Row],[Customer Gender]]="O","Other", TRUE,"Unknown")</f>
        <v>Female</v>
      </c>
    </row>
    <row r="137" spans="1:15" x14ac:dyDescent="0.2">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f t="array" ref="O137">_xlfn.IFS(orders[[#This Row],[Customer Gender]]="M","Male", orders[[#This Row],[Customer Gender]]="F","Female", orders[[#This Row],[Customer Gender]]="O","Other", TRUE,"Unknown")</f>
        <v>Female</v>
      </c>
    </row>
    <row r="138" spans="1:15" x14ac:dyDescent="0.2">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f t="array" ref="O138">_xlfn.IFS(orders[[#This Row],[Customer Gender]]="M","Male", orders[[#This Row],[Customer Gender]]="F","Female", orders[[#This Row],[Customer Gender]]="O","Other", TRUE,"Unknown")</f>
        <v>Female</v>
      </c>
    </row>
    <row r="139" spans="1:15" x14ac:dyDescent="0.2">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f t="array" ref="O139">_xlfn.IFS(orders[[#This Row],[Customer Gender]]="M","Male", orders[[#This Row],[Customer Gender]]="F","Female", orders[[#This Row],[Customer Gender]]="O","Other", TRUE,"Unknown")</f>
        <v>Female</v>
      </c>
    </row>
    <row r="140" spans="1:15" x14ac:dyDescent="0.2">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f t="array" ref="O140">_xlfn.IFS(orders[[#This Row],[Customer Gender]]="M","Male", orders[[#This Row],[Customer Gender]]="F","Female", orders[[#This Row],[Customer Gender]]="O","Other", TRUE,"Unknown")</f>
        <v>Female</v>
      </c>
    </row>
    <row r="141" spans="1:15" x14ac:dyDescent="0.2">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f t="array" ref="O141">_xlfn.IFS(orders[[#This Row],[Customer Gender]]="M","Male", orders[[#This Row],[Customer Gender]]="F","Female", orders[[#This Row],[Customer Gender]]="O","Other", TRUE,"Unknown")</f>
        <v>Male</v>
      </c>
    </row>
    <row r="142" spans="1:15" x14ac:dyDescent="0.2">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f t="array" ref="O142">_xlfn.IFS(orders[[#This Row],[Customer Gender]]="M","Male", orders[[#This Row],[Customer Gender]]="F","Female", orders[[#This Row],[Customer Gender]]="O","Other", TRUE,"Unknown")</f>
        <v>Male</v>
      </c>
    </row>
    <row r="143" spans="1:15" x14ac:dyDescent="0.2">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f t="array" ref="O143">_xlfn.IFS(orders[[#This Row],[Customer Gender]]="M","Male", orders[[#This Row],[Customer Gender]]="F","Female", orders[[#This Row],[Customer Gender]]="O","Other", TRUE,"Unknown")</f>
        <v>Unknown</v>
      </c>
    </row>
    <row r="144" spans="1:15" x14ac:dyDescent="0.2">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f t="array" ref="O144">_xlfn.IFS(orders[[#This Row],[Customer Gender]]="M","Male", orders[[#This Row],[Customer Gender]]="F","Female", orders[[#This Row],[Customer Gender]]="O","Other", TRUE,"Unknown")</f>
        <v>Female</v>
      </c>
    </row>
    <row r="145" spans="1:15" x14ac:dyDescent="0.2">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f t="array" ref="O145">_xlfn.IFS(orders[[#This Row],[Customer Gender]]="M","Male", orders[[#This Row],[Customer Gender]]="F","Female", orders[[#This Row],[Customer Gender]]="O","Other", TRUE,"Unknown")</f>
        <v>Unknown</v>
      </c>
    </row>
    <row r="146" spans="1:15" x14ac:dyDescent="0.2">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f t="array" ref="O146">_xlfn.IFS(orders[[#This Row],[Customer Gender]]="M","Male", orders[[#This Row],[Customer Gender]]="F","Female", orders[[#This Row],[Customer Gender]]="O","Other", TRUE,"Unknown")</f>
        <v>Female</v>
      </c>
    </row>
    <row r="147" spans="1:15" x14ac:dyDescent="0.2">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f t="array" ref="O147">_xlfn.IFS(orders[[#This Row],[Customer Gender]]="M","Male", orders[[#This Row],[Customer Gender]]="F","Female", orders[[#This Row],[Customer Gender]]="O","Other", TRUE,"Unknown")</f>
        <v>Male</v>
      </c>
    </row>
    <row r="148" spans="1:15" x14ac:dyDescent="0.2">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f t="array" ref="O148">_xlfn.IFS(orders[[#This Row],[Customer Gender]]="M","Male", orders[[#This Row],[Customer Gender]]="F","Female", orders[[#This Row],[Customer Gender]]="O","Other", TRUE,"Unknown")</f>
        <v>Male</v>
      </c>
    </row>
    <row r="149" spans="1:15" x14ac:dyDescent="0.2">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f t="array" ref="O149">_xlfn.IFS(orders[[#This Row],[Customer Gender]]="M","Male", orders[[#This Row],[Customer Gender]]="F","Female", orders[[#This Row],[Customer Gender]]="O","Other", TRUE,"Unknown")</f>
        <v>Male</v>
      </c>
    </row>
    <row r="150" spans="1:15" x14ac:dyDescent="0.2">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f t="array" ref="O150">_xlfn.IFS(orders[[#This Row],[Customer Gender]]="M","Male", orders[[#This Row],[Customer Gender]]="F","Female", orders[[#This Row],[Customer Gender]]="O","Other", TRUE,"Unknown")</f>
        <v>Male</v>
      </c>
    </row>
    <row r="151" spans="1:15" x14ac:dyDescent="0.2">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f t="array" ref="O151">_xlfn.IFS(orders[[#This Row],[Customer Gender]]="M","Male", orders[[#This Row],[Customer Gender]]="F","Female", orders[[#This Row],[Customer Gender]]="O","Other", TRUE,"Unknown")</f>
        <v>Female</v>
      </c>
    </row>
    <row r="152" spans="1:15" x14ac:dyDescent="0.2">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f t="array" ref="O152">_xlfn.IFS(orders[[#This Row],[Customer Gender]]="M","Male", orders[[#This Row],[Customer Gender]]="F","Female", orders[[#This Row],[Customer Gender]]="O","Other", TRUE,"Unknown")</f>
        <v>Male</v>
      </c>
    </row>
    <row r="153" spans="1:15" x14ac:dyDescent="0.2">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f t="array" ref="O153">_xlfn.IFS(orders[[#This Row],[Customer Gender]]="M","Male", orders[[#This Row],[Customer Gender]]="F","Female", orders[[#This Row],[Customer Gender]]="O","Other", TRUE,"Unknown")</f>
        <v>Male</v>
      </c>
    </row>
    <row r="154" spans="1:15" x14ac:dyDescent="0.2">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f t="array" ref="O154">_xlfn.IFS(orders[[#This Row],[Customer Gender]]="M","Male", orders[[#This Row],[Customer Gender]]="F","Female", orders[[#This Row],[Customer Gender]]="O","Other", TRUE,"Unknown")</f>
        <v>Female</v>
      </c>
    </row>
    <row r="155" spans="1:15" x14ac:dyDescent="0.2">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f t="array" ref="O155">_xlfn.IFS(orders[[#This Row],[Customer Gender]]="M","Male", orders[[#This Row],[Customer Gender]]="F","Female", orders[[#This Row],[Customer Gender]]="O","Other", TRUE,"Unknown")</f>
        <v>Female</v>
      </c>
    </row>
    <row r="156" spans="1:15" x14ac:dyDescent="0.2">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f t="array" ref="O156">_xlfn.IFS(orders[[#This Row],[Customer Gender]]="M","Male", orders[[#This Row],[Customer Gender]]="F","Female", orders[[#This Row],[Customer Gender]]="O","Other", TRUE,"Unknown")</f>
        <v>Female</v>
      </c>
    </row>
    <row r="157" spans="1:15" x14ac:dyDescent="0.2">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f t="array" ref="O157">_xlfn.IFS(orders[[#This Row],[Customer Gender]]="M","Male", orders[[#This Row],[Customer Gender]]="F","Female", orders[[#This Row],[Customer Gender]]="O","Other", TRUE,"Unknown")</f>
        <v>Female</v>
      </c>
    </row>
    <row r="158" spans="1:15" x14ac:dyDescent="0.2">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f t="array" ref="O158">_xlfn.IFS(orders[[#This Row],[Customer Gender]]="M","Male", orders[[#This Row],[Customer Gender]]="F","Female", orders[[#This Row],[Customer Gender]]="O","Other", TRUE,"Unknown")</f>
        <v>Female</v>
      </c>
    </row>
    <row r="159" spans="1:15" x14ac:dyDescent="0.2">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f t="array" ref="O159">_xlfn.IFS(orders[[#This Row],[Customer Gender]]="M","Male", orders[[#This Row],[Customer Gender]]="F","Female", orders[[#This Row],[Customer Gender]]="O","Other", TRUE,"Unknown")</f>
        <v>Female</v>
      </c>
    </row>
    <row r="160" spans="1:15" x14ac:dyDescent="0.2">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f t="array" ref="O160">_xlfn.IFS(orders[[#This Row],[Customer Gender]]="M","Male", orders[[#This Row],[Customer Gender]]="F","Female", orders[[#This Row],[Customer Gender]]="O","Other", TRUE,"Unknown")</f>
        <v>Female</v>
      </c>
    </row>
    <row r="161" spans="1:15" x14ac:dyDescent="0.2">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f t="array" ref="O161">_xlfn.IFS(orders[[#This Row],[Customer Gender]]="M","Male", orders[[#This Row],[Customer Gender]]="F","Female", orders[[#This Row],[Customer Gender]]="O","Other", TRUE,"Unknown")</f>
        <v>Male</v>
      </c>
    </row>
    <row r="162" spans="1:15" x14ac:dyDescent="0.2">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f t="array" ref="O162">_xlfn.IFS(orders[[#This Row],[Customer Gender]]="M","Male", orders[[#This Row],[Customer Gender]]="F","Female", orders[[#This Row],[Customer Gender]]="O","Other", TRUE,"Unknown")</f>
        <v>Female</v>
      </c>
    </row>
    <row r="163" spans="1:15" x14ac:dyDescent="0.2">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f t="array" ref="O163">_xlfn.IFS(orders[[#This Row],[Customer Gender]]="M","Male", orders[[#This Row],[Customer Gender]]="F","Female", orders[[#This Row],[Customer Gender]]="O","Other", TRUE,"Unknown")</f>
        <v>Male</v>
      </c>
    </row>
    <row r="164" spans="1:15" x14ac:dyDescent="0.2">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f t="array" ref="O164">_xlfn.IFS(orders[[#This Row],[Customer Gender]]="M","Male", orders[[#This Row],[Customer Gender]]="F","Female", orders[[#This Row],[Customer Gender]]="O","Other", TRUE,"Unknown")</f>
        <v>Unknown</v>
      </c>
    </row>
    <row r="165" spans="1:15" x14ac:dyDescent="0.2">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f t="array" ref="O165">_xlfn.IFS(orders[[#This Row],[Customer Gender]]="M","Male", orders[[#This Row],[Customer Gender]]="F","Female", orders[[#This Row],[Customer Gender]]="O","Other", TRUE,"Unknown")</f>
        <v>Female</v>
      </c>
    </row>
    <row r="166" spans="1:15" x14ac:dyDescent="0.2">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f t="array" ref="O166">_xlfn.IFS(orders[[#This Row],[Customer Gender]]="M","Male", orders[[#This Row],[Customer Gender]]="F","Female", orders[[#This Row],[Customer Gender]]="O","Other", TRUE,"Unknown")</f>
        <v>Male</v>
      </c>
    </row>
    <row r="167" spans="1:15" x14ac:dyDescent="0.2">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f t="array" ref="O167">_xlfn.IFS(orders[[#This Row],[Customer Gender]]="M","Male", orders[[#This Row],[Customer Gender]]="F","Female", orders[[#This Row],[Customer Gender]]="O","Other", TRUE,"Unknown")</f>
        <v>Female</v>
      </c>
    </row>
    <row r="168" spans="1:15" x14ac:dyDescent="0.2">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f t="array" ref="O168">_xlfn.IFS(orders[[#This Row],[Customer Gender]]="M","Male", orders[[#This Row],[Customer Gender]]="F","Female", orders[[#This Row],[Customer Gender]]="O","Other", TRUE,"Unknown")</f>
        <v>Female</v>
      </c>
    </row>
    <row r="169" spans="1:15" x14ac:dyDescent="0.2">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f t="array" ref="O169">_xlfn.IFS(orders[[#This Row],[Customer Gender]]="M","Male", orders[[#This Row],[Customer Gender]]="F","Female", orders[[#This Row],[Customer Gender]]="O","Other", TRUE,"Unknown")</f>
        <v>Female</v>
      </c>
    </row>
    <row r="170" spans="1:15" x14ac:dyDescent="0.2">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f t="array" ref="O170">_xlfn.IFS(orders[[#This Row],[Customer Gender]]="M","Male", orders[[#This Row],[Customer Gender]]="F","Female", orders[[#This Row],[Customer Gender]]="O","Other", TRUE,"Unknown")</f>
        <v>Female</v>
      </c>
    </row>
    <row r="171" spans="1:15" x14ac:dyDescent="0.2">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f t="array" ref="O171">_xlfn.IFS(orders[[#This Row],[Customer Gender]]="M","Male", orders[[#This Row],[Customer Gender]]="F","Female", orders[[#This Row],[Customer Gender]]="O","Other", TRUE,"Unknown")</f>
        <v>Female</v>
      </c>
    </row>
    <row r="172" spans="1:15" x14ac:dyDescent="0.2">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f t="array" ref="O172">_xlfn.IFS(orders[[#This Row],[Customer Gender]]="M","Male", orders[[#This Row],[Customer Gender]]="F","Female", orders[[#This Row],[Customer Gender]]="O","Other", TRUE,"Unknown")</f>
        <v>Female</v>
      </c>
    </row>
    <row r="173" spans="1:15" x14ac:dyDescent="0.2">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f t="array" ref="O173">_xlfn.IFS(orders[[#This Row],[Customer Gender]]="M","Male", orders[[#This Row],[Customer Gender]]="F","Female", orders[[#This Row],[Customer Gender]]="O","Other", TRUE,"Unknown")</f>
        <v>Male</v>
      </c>
    </row>
    <row r="174" spans="1:15" x14ac:dyDescent="0.2">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f t="array" ref="O174">_xlfn.IFS(orders[[#This Row],[Customer Gender]]="M","Male", orders[[#This Row],[Customer Gender]]="F","Female", orders[[#This Row],[Customer Gender]]="O","Other", TRUE,"Unknown")</f>
        <v>Male</v>
      </c>
    </row>
    <row r="175" spans="1:15" x14ac:dyDescent="0.2">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f t="array" ref="O175">_xlfn.IFS(orders[[#This Row],[Customer Gender]]="M","Male", orders[[#This Row],[Customer Gender]]="F","Female", orders[[#This Row],[Customer Gender]]="O","Other", TRUE,"Unknown")</f>
        <v>Female</v>
      </c>
    </row>
    <row r="176" spans="1:15" x14ac:dyDescent="0.2">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f t="array" ref="O176">_xlfn.IFS(orders[[#This Row],[Customer Gender]]="M","Male", orders[[#This Row],[Customer Gender]]="F","Female", orders[[#This Row],[Customer Gender]]="O","Other", TRUE,"Unknown")</f>
        <v>Female</v>
      </c>
    </row>
    <row r="177" spans="1:15" x14ac:dyDescent="0.2">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f t="array" ref="O177">_xlfn.IFS(orders[[#This Row],[Customer Gender]]="M","Male", orders[[#This Row],[Customer Gender]]="F","Female", orders[[#This Row],[Customer Gender]]="O","Other", TRUE,"Unknown")</f>
        <v>Female</v>
      </c>
    </row>
    <row r="178" spans="1:15" x14ac:dyDescent="0.2">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f t="array" ref="O178">_xlfn.IFS(orders[[#This Row],[Customer Gender]]="M","Male", orders[[#This Row],[Customer Gender]]="F","Female", orders[[#This Row],[Customer Gender]]="O","Other", TRUE,"Unknown")</f>
        <v>Female</v>
      </c>
    </row>
    <row r="179" spans="1:15" x14ac:dyDescent="0.2">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f t="array" ref="O179">_xlfn.IFS(orders[[#This Row],[Customer Gender]]="M","Male", orders[[#This Row],[Customer Gender]]="F","Female", orders[[#This Row],[Customer Gender]]="O","Other", TRUE,"Unknown")</f>
        <v>Male</v>
      </c>
    </row>
    <row r="180" spans="1:15" x14ac:dyDescent="0.2">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f t="array" ref="O180">_xlfn.IFS(orders[[#This Row],[Customer Gender]]="M","Male", orders[[#This Row],[Customer Gender]]="F","Female", orders[[#This Row],[Customer Gender]]="O","Other", TRUE,"Unknown")</f>
        <v>Female</v>
      </c>
    </row>
    <row r="181" spans="1:15" x14ac:dyDescent="0.2">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f t="array" ref="O181">_xlfn.IFS(orders[[#This Row],[Customer Gender]]="M","Male", orders[[#This Row],[Customer Gender]]="F","Female", orders[[#This Row],[Customer Gender]]="O","Other", TRUE,"Unknown")</f>
        <v>Unknown</v>
      </c>
    </row>
    <row r="182" spans="1:15" x14ac:dyDescent="0.2">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f t="array" ref="O182">_xlfn.IFS(orders[[#This Row],[Customer Gender]]="M","Male", orders[[#This Row],[Customer Gender]]="F","Female", orders[[#This Row],[Customer Gender]]="O","Other", TRUE,"Unknown")</f>
        <v>Female</v>
      </c>
    </row>
    <row r="183" spans="1:15" x14ac:dyDescent="0.2">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f t="array" ref="O183">_xlfn.IFS(orders[[#This Row],[Customer Gender]]="M","Male", orders[[#This Row],[Customer Gender]]="F","Female", orders[[#This Row],[Customer Gender]]="O","Other", TRUE,"Unknown")</f>
        <v>Male</v>
      </c>
    </row>
    <row r="184" spans="1:15" x14ac:dyDescent="0.2">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f t="array" ref="O184">_xlfn.IFS(orders[[#This Row],[Customer Gender]]="M","Male", orders[[#This Row],[Customer Gender]]="F","Female", orders[[#This Row],[Customer Gender]]="O","Other", TRUE,"Unknown")</f>
        <v>Female</v>
      </c>
    </row>
    <row r="185" spans="1:15" x14ac:dyDescent="0.2">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f t="array" ref="O185">_xlfn.IFS(orders[[#This Row],[Customer Gender]]="M","Male", orders[[#This Row],[Customer Gender]]="F","Female", orders[[#This Row],[Customer Gender]]="O","Other", TRUE,"Unknown")</f>
        <v>Female</v>
      </c>
    </row>
    <row r="186" spans="1:15" x14ac:dyDescent="0.2">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f t="array" ref="O186">_xlfn.IFS(orders[[#This Row],[Customer Gender]]="M","Male", orders[[#This Row],[Customer Gender]]="F","Female", orders[[#This Row],[Customer Gender]]="O","Other", TRUE,"Unknown")</f>
        <v>Male</v>
      </c>
    </row>
    <row r="187" spans="1:15" x14ac:dyDescent="0.2">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f t="array" ref="O187">_xlfn.IFS(orders[[#This Row],[Customer Gender]]="M","Male", orders[[#This Row],[Customer Gender]]="F","Female", orders[[#This Row],[Customer Gender]]="O","Other", TRUE,"Unknown")</f>
        <v>Male</v>
      </c>
    </row>
    <row r="188" spans="1:15" x14ac:dyDescent="0.2">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f t="array" ref="O188">_xlfn.IFS(orders[[#This Row],[Customer Gender]]="M","Male", orders[[#This Row],[Customer Gender]]="F","Female", orders[[#This Row],[Customer Gender]]="O","Other", TRUE,"Unknown")</f>
        <v>Female</v>
      </c>
    </row>
    <row r="189" spans="1:15" x14ac:dyDescent="0.2">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f t="array" ref="O189">_xlfn.IFS(orders[[#This Row],[Customer Gender]]="M","Male", orders[[#This Row],[Customer Gender]]="F","Female", orders[[#This Row],[Customer Gender]]="O","Other", TRUE,"Unknown")</f>
        <v>Female</v>
      </c>
    </row>
    <row r="190" spans="1:15" x14ac:dyDescent="0.2">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f t="array" ref="O190">_xlfn.IFS(orders[[#This Row],[Customer Gender]]="M","Male", orders[[#This Row],[Customer Gender]]="F","Female", orders[[#This Row],[Customer Gender]]="O","Other", TRUE,"Unknown")</f>
        <v>Male</v>
      </c>
    </row>
    <row r="191" spans="1:15" x14ac:dyDescent="0.2">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f t="array" ref="O191">_xlfn.IFS(orders[[#This Row],[Customer Gender]]="M","Male", orders[[#This Row],[Customer Gender]]="F","Female", orders[[#This Row],[Customer Gender]]="O","Other", TRUE,"Unknown")</f>
        <v>Female</v>
      </c>
    </row>
    <row r="192" spans="1:15" x14ac:dyDescent="0.2">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f t="array" ref="O192">_xlfn.IFS(orders[[#This Row],[Customer Gender]]="M","Male", orders[[#This Row],[Customer Gender]]="F","Female", orders[[#This Row],[Customer Gender]]="O","Other", TRUE,"Unknown")</f>
        <v>Unknown</v>
      </c>
    </row>
    <row r="193" spans="1:15" x14ac:dyDescent="0.2">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f t="array" ref="O193">_xlfn.IFS(orders[[#This Row],[Customer Gender]]="M","Male", orders[[#This Row],[Customer Gender]]="F","Female", orders[[#This Row],[Customer Gender]]="O","Other", TRUE,"Unknown")</f>
        <v>Unknown</v>
      </c>
    </row>
    <row r="194" spans="1:15" x14ac:dyDescent="0.2">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f t="array" ref="O194">_xlfn.IFS(orders[[#This Row],[Customer Gender]]="M","Male", orders[[#This Row],[Customer Gender]]="F","Female", orders[[#This Row],[Customer Gender]]="O","Other", TRUE,"Unknown")</f>
        <v>Male</v>
      </c>
    </row>
    <row r="195" spans="1:15" x14ac:dyDescent="0.2">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f t="array" ref="O195">_xlfn.IFS(orders[[#This Row],[Customer Gender]]="M","Male", orders[[#This Row],[Customer Gender]]="F","Female", orders[[#This Row],[Customer Gender]]="O","Other", TRUE,"Unknown")</f>
        <v>Female</v>
      </c>
    </row>
    <row r="196" spans="1:15" x14ac:dyDescent="0.2">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f t="array" ref="O196">_xlfn.IFS(orders[[#This Row],[Customer Gender]]="M","Male", orders[[#This Row],[Customer Gender]]="F","Female", orders[[#This Row],[Customer Gender]]="O","Other", TRUE,"Unknown")</f>
        <v>Female</v>
      </c>
    </row>
    <row r="197" spans="1:15" x14ac:dyDescent="0.2">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f t="array" ref="O197">_xlfn.IFS(orders[[#This Row],[Customer Gender]]="M","Male", orders[[#This Row],[Customer Gender]]="F","Female", orders[[#This Row],[Customer Gender]]="O","Other", TRUE,"Unknown")</f>
        <v>Female</v>
      </c>
    </row>
    <row r="198" spans="1:15" x14ac:dyDescent="0.2">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f t="array" ref="O198">_xlfn.IFS(orders[[#This Row],[Customer Gender]]="M","Male", orders[[#This Row],[Customer Gender]]="F","Female", orders[[#This Row],[Customer Gender]]="O","Other", TRUE,"Unknown")</f>
        <v>Female</v>
      </c>
    </row>
    <row r="199" spans="1:15" x14ac:dyDescent="0.2">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f t="array" ref="O199">_xlfn.IFS(orders[[#This Row],[Customer Gender]]="M","Male", orders[[#This Row],[Customer Gender]]="F","Female", orders[[#This Row],[Customer Gender]]="O","Other", TRUE,"Unknown")</f>
        <v>Female</v>
      </c>
    </row>
    <row r="200" spans="1:15" x14ac:dyDescent="0.2">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f t="array" ref="O200">_xlfn.IFS(orders[[#This Row],[Customer Gender]]="M","Male", orders[[#This Row],[Customer Gender]]="F","Female", orders[[#This Row],[Customer Gender]]="O","Other", TRUE,"Unknown")</f>
        <v>Male</v>
      </c>
    </row>
    <row r="201" spans="1:15" x14ac:dyDescent="0.2">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f t="array" ref="O201">_xlfn.IFS(orders[[#This Row],[Customer Gender]]="M","Male", orders[[#This Row],[Customer Gender]]="F","Female", orders[[#This Row],[Customer Gender]]="O","Other", TRUE,"Unknown")</f>
        <v>Male</v>
      </c>
    </row>
    <row r="202" spans="1:15" x14ac:dyDescent="0.2">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f t="array" ref="O202">_xlfn.IFS(orders[[#This Row],[Customer Gender]]="M","Male", orders[[#This Row],[Customer Gender]]="F","Female", orders[[#This Row],[Customer Gender]]="O","Other", TRUE,"Unknown")</f>
        <v>Male</v>
      </c>
    </row>
    <row r="203" spans="1:15" x14ac:dyDescent="0.2">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f t="array" ref="O203">_xlfn.IFS(orders[[#This Row],[Customer Gender]]="M","Male", orders[[#This Row],[Customer Gender]]="F","Female", orders[[#This Row],[Customer Gender]]="O","Other", TRUE,"Unknown")</f>
        <v>Male</v>
      </c>
    </row>
    <row r="204" spans="1:15" x14ac:dyDescent="0.2">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f t="array" ref="O204">_xlfn.IFS(orders[[#This Row],[Customer Gender]]="M","Male", orders[[#This Row],[Customer Gender]]="F","Female", orders[[#This Row],[Customer Gender]]="O","Other", TRUE,"Unknown")</f>
        <v>Female</v>
      </c>
    </row>
    <row r="205" spans="1:15" x14ac:dyDescent="0.2">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f t="array" ref="O205">_xlfn.IFS(orders[[#This Row],[Customer Gender]]="M","Male", orders[[#This Row],[Customer Gender]]="F","Female", orders[[#This Row],[Customer Gender]]="O","Other", TRUE,"Unknown")</f>
        <v>Female</v>
      </c>
    </row>
    <row r="206" spans="1:15" x14ac:dyDescent="0.2">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f t="array" ref="O206">_xlfn.IFS(orders[[#This Row],[Customer Gender]]="M","Male", orders[[#This Row],[Customer Gender]]="F","Female", orders[[#This Row],[Customer Gender]]="O","Other", TRUE,"Unknown")</f>
        <v>Female</v>
      </c>
    </row>
    <row r="207" spans="1:15" x14ac:dyDescent="0.2">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f t="array" ref="O207">_xlfn.IFS(orders[[#This Row],[Customer Gender]]="M","Male", orders[[#This Row],[Customer Gender]]="F","Female", orders[[#This Row],[Customer Gender]]="O","Other", TRUE,"Unknown")</f>
        <v>Female</v>
      </c>
    </row>
    <row r="208" spans="1:15" x14ac:dyDescent="0.2">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f t="array" ref="O208">_xlfn.IFS(orders[[#This Row],[Customer Gender]]="M","Male", orders[[#This Row],[Customer Gender]]="F","Female", orders[[#This Row],[Customer Gender]]="O","Other", TRUE,"Unknown")</f>
        <v>Female</v>
      </c>
    </row>
    <row r="209" spans="1:15" x14ac:dyDescent="0.2">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f t="array" ref="O209">_xlfn.IFS(orders[[#This Row],[Customer Gender]]="M","Male", orders[[#This Row],[Customer Gender]]="F","Female", orders[[#This Row],[Customer Gender]]="O","Other", TRUE,"Unknown")</f>
        <v>Female</v>
      </c>
    </row>
    <row r="210" spans="1:15" x14ac:dyDescent="0.2">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f t="array" ref="O210">_xlfn.IFS(orders[[#This Row],[Customer Gender]]="M","Male", orders[[#This Row],[Customer Gender]]="F","Female", orders[[#This Row],[Customer Gender]]="O","Other", TRUE,"Unknown")</f>
        <v>Female</v>
      </c>
    </row>
    <row r="211" spans="1:15" x14ac:dyDescent="0.2">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f t="array" ref="O211">_xlfn.IFS(orders[[#This Row],[Customer Gender]]="M","Male", orders[[#This Row],[Customer Gender]]="F","Female", orders[[#This Row],[Customer Gender]]="O","Other", TRUE,"Unknown")</f>
        <v>Male</v>
      </c>
    </row>
    <row r="212" spans="1:15" x14ac:dyDescent="0.2">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f t="array" ref="O212">_xlfn.IFS(orders[[#This Row],[Customer Gender]]="M","Male", orders[[#This Row],[Customer Gender]]="F","Female", orders[[#This Row],[Customer Gender]]="O","Other", TRUE,"Unknown")</f>
        <v>Female</v>
      </c>
    </row>
    <row r="213" spans="1:15" x14ac:dyDescent="0.2">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f t="array" ref="O213">_xlfn.IFS(orders[[#This Row],[Customer Gender]]="M","Male", orders[[#This Row],[Customer Gender]]="F","Female", orders[[#This Row],[Customer Gender]]="O","Other", TRUE,"Unknown")</f>
        <v>Female</v>
      </c>
    </row>
    <row r="214" spans="1:15" x14ac:dyDescent="0.2">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f t="array" ref="O214">_xlfn.IFS(orders[[#This Row],[Customer Gender]]="M","Male", orders[[#This Row],[Customer Gender]]="F","Female", orders[[#This Row],[Customer Gender]]="O","Other", TRUE,"Unknown")</f>
        <v>Male</v>
      </c>
    </row>
    <row r="215" spans="1:15" x14ac:dyDescent="0.2">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f t="array" ref="O215">_xlfn.IFS(orders[[#This Row],[Customer Gender]]="M","Male", orders[[#This Row],[Customer Gender]]="F","Female", orders[[#This Row],[Customer Gender]]="O","Other", TRUE,"Unknown")</f>
        <v>Female</v>
      </c>
    </row>
    <row r="216" spans="1:15" x14ac:dyDescent="0.2">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f t="array" ref="O216">_xlfn.IFS(orders[[#This Row],[Customer Gender]]="M","Male", orders[[#This Row],[Customer Gender]]="F","Female", orders[[#This Row],[Customer Gender]]="O","Other", TRUE,"Unknown")</f>
        <v>Female</v>
      </c>
    </row>
    <row r="217" spans="1:15" x14ac:dyDescent="0.2">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f t="array" ref="O217">_xlfn.IFS(orders[[#This Row],[Customer Gender]]="M","Male", orders[[#This Row],[Customer Gender]]="F","Female", orders[[#This Row],[Customer Gender]]="O","Other", TRUE,"Unknown")</f>
        <v>Female</v>
      </c>
    </row>
    <row r="218" spans="1:15" x14ac:dyDescent="0.2">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f t="array" ref="O218">_xlfn.IFS(orders[[#This Row],[Customer Gender]]="M","Male", orders[[#This Row],[Customer Gender]]="F","Female", orders[[#This Row],[Customer Gender]]="O","Other", TRUE,"Unknown")</f>
        <v>Female</v>
      </c>
    </row>
    <row r="219" spans="1:15" x14ac:dyDescent="0.2">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f t="array" ref="O219">_xlfn.IFS(orders[[#This Row],[Customer Gender]]="M","Male", orders[[#This Row],[Customer Gender]]="F","Female", orders[[#This Row],[Customer Gender]]="O","Other", TRUE,"Unknown")</f>
        <v>Male</v>
      </c>
    </row>
    <row r="220" spans="1:15" x14ac:dyDescent="0.2">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f t="array" ref="O220">_xlfn.IFS(orders[[#This Row],[Customer Gender]]="M","Male", orders[[#This Row],[Customer Gender]]="F","Female", orders[[#This Row],[Customer Gender]]="O","Other", TRUE,"Unknown")</f>
        <v>Female</v>
      </c>
    </row>
    <row r="221" spans="1:15" x14ac:dyDescent="0.2">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f t="array" ref="O221">_xlfn.IFS(orders[[#This Row],[Customer Gender]]="M","Male", orders[[#This Row],[Customer Gender]]="F","Female", orders[[#This Row],[Customer Gender]]="O","Other", TRUE,"Unknown")</f>
        <v>Male</v>
      </c>
    </row>
    <row r="222" spans="1:15" x14ac:dyDescent="0.2">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f t="array" ref="O222">_xlfn.IFS(orders[[#This Row],[Customer Gender]]="M","Male", orders[[#This Row],[Customer Gender]]="F","Female", orders[[#This Row],[Customer Gender]]="O","Other", TRUE,"Unknown")</f>
        <v>Unknown</v>
      </c>
    </row>
    <row r="223" spans="1:15" x14ac:dyDescent="0.2">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f t="array" ref="O223">_xlfn.IFS(orders[[#This Row],[Customer Gender]]="M","Male", orders[[#This Row],[Customer Gender]]="F","Female", orders[[#This Row],[Customer Gender]]="O","Other", TRUE,"Unknown")</f>
        <v>Male</v>
      </c>
    </row>
    <row r="224" spans="1:15" x14ac:dyDescent="0.2">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f t="array" ref="O224">_xlfn.IFS(orders[[#This Row],[Customer Gender]]="M","Male", orders[[#This Row],[Customer Gender]]="F","Female", orders[[#This Row],[Customer Gender]]="O","Other", TRUE,"Unknown")</f>
        <v>Female</v>
      </c>
    </row>
    <row r="225" spans="1:15" x14ac:dyDescent="0.2">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f t="array" ref="O225">_xlfn.IFS(orders[[#This Row],[Customer Gender]]="M","Male", orders[[#This Row],[Customer Gender]]="F","Female", orders[[#This Row],[Customer Gender]]="O","Other", TRUE,"Unknown")</f>
        <v>Female</v>
      </c>
    </row>
    <row r="226" spans="1:15" x14ac:dyDescent="0.2">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f t="array" ref="O226">_xlfn.IFS(orders[[#This Row],[Customer Gender]]="M","Male", orders[[#This Row],[Customer Gender]]="F","Female", orders[[#This Row],[Customer Gender]]="O","Other", TRUE,"Unknown")</f>
        <v>Male</v>
      </c>
    </row>
    <row r="227" spans="1:15" x14ac:dyDescent="0.2">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f t="array" ref="O227">_xlfn.IFS(orders[[#This Row],[Customer Gender]]="M","Male", orders[[#This Row],[Customer Gender]]="F","Female", orders[[#This Row],[Customer Gender]]="O","Other", TRUE,"Unknown")</f>
        <v>Female</v>
      </c>
    </row>
    <row r="228" spans="1:15" x14ac:dyDescent="0.2">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f t="array" ref="O228">_xlfn.IFS(orders[[#This Row],[Customer Gender]]="M","Male", orders[[#This Row],[Customer Gender]]="F","Female", orders[[#This Row],[Customer Gender]]="O","Other", TRUE,"Unknown")</f>
        <v>Male</v>
      </c>
    </row>
    <row r="229" spans="1:15" x14ac:dyDescent="0.2">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f t="array" ref="O229">_xlfn.IFS(orders[[#This Row],[Customer Gender]]="M","Male", orders[[#This Row],[Customer Gender]]="F","Female", orders[[#This Row],[Customer Gender]]="O","Other", TRUE,"Unknown")</f>
        <v>Female</v>
      </c>
    </row>
    <row r="230" spans="1:15" x14ac:dyDescent="0.2">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f t="array" ref="O230">_xlfn.IFS(orders[[#This Row],[Customer Gender]]="M","Male", orders[[#This Row],[Customer Gender]]="F","Female", orders[[#This Row],[Customer Gender]]="O","Other", TRUE,"Unknown")</f>
        <v>Female</v>
      </c>
    </row>
    <row r="231" spans="1:15" x14ac:dyDescent="0.2">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f t="array" ref="O231">_xlfn.IFS(orders[[#This Row],[Customer Gender]]="M","Male", orders[[#This Row],[Customer Gender]]="F","Female", orders[[#This Row],[Customer Gender]]="O","Other", TRUE,"Unknown")</f>
        <v>Male</v>
      </c>
    </row>
    <row r="232" spans="1:15" x14ac:dyDescent="0.2">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f t="array" ref="O232">_xlfn.IFS(orders[[#This Row],[Customer Gender]]="M","Male", orders[[#This Row],[Customer Gender]]="F","Female", orders[[#This Row],[Customer Gender]]="O","Other", TRUE,"Unknown")</f>
        <v>Female</v>
      </c>
    </row>
    <row r="233" spans="1:15" x14ac:dyDescent="0.2">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f t="array" ref="O233">_xlfn.IFS(orders[[#This Row],[Customer Gender]]="M","Male", orders[[#This Row],[Customer Gender]]="F","Female", orders[[#This Row],[Customer Gender]]="O","Other", TRUE,"Unknown")</f>
        <v>Female</v>
      </c>
    </row>
    <row r="234" spans="1:15" x14ac:dyDescent="0.2">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f t="array" ref="O234">_xlfn.IFS(orders[[#This Row],[Customer Gender]]="M","Male", orders[[#This Row],[Customer Gender]]="F","Female", orders[[#This Row],[Customer Gender]]="O","Other", TRUE,"Unknown")</f>
        <v>Male</v>
      </c>
    </row>
    <row r="235" spans="1:15" x14ac:dyDescent="0.2">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f t="array" ref="O235">_xlfn.IFS(orders[[#This Row],[Customer Gender]]="M","Male", orders[[#This Row],[Customer Gender]]="F","Female", orders[[#This Row],[Customer Gender]]="O","Other", TRUE,"Unknown")</f>
        <v>Female</v>
      </c>
    </row>
    <row r="236" spans="1:15" x14ac:dyDescent="0.2">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f t="array" ref="O236">_xlfn.IFS(orders[[#This Row],[Customer Gender]]="M","Male", orders[[#This Row],[Customer Gender]]="F","Female", orders[[#This Row],[Customer Gender]]="O","Other", TRUE,"Unknown")</f>
        <v>Male</v>
      </c>
    </row>
    <row r="237" spans="1:15" x14ac:dyDescent="0.2">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f t="array" ref="O237">_xlfn.IFS(orders[[#This Row],[Customer Gender]]="M","Male", orders[[#This Row],[Customer Gender]]="F","Female", orders[[#This Row],[Customer Gender]]="O","Other", TRUE,"Unknown")</f>
        <v>Female</v>
      </c>
    </row>
    <row r="238" spans="1:15" x14ac:dyDescent="0.2">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f t="array" ref="O238">_xlfn.IFS(orders[[#This Row],[Customer Gender]]="M","Male", orders[[#This Row],[Customer Gender]]="F","Female", orders[[#This Row],[Customer Gender]]="O","Other", TRUE,"Unknown")</f>
        <v>Female</v>
      </c>
    </row>
    <row r="239" spans="1:15" x14ac:dyDescent="0.2">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f t="array" ref="O239">_xlfn.IFS(orders[[#This Row],[Customer Gender]]="M","Male", orders[[#This Row],[Customer Gender]]="F","Female", orders[[#This Row],[Customer Gender]]="O","Other", TRUE,"Unknown")</f>
        <v>Female</v>
      </c>
    </row>
    <row r="240" spans="1:15" x14ac:dyDescent="0.2">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f t="array" ref="O240">_xlfn.IFS(orders[[#This Row],[Customer Gender]]="M","Male", orders[[#This Row],[Customer Gender]]="F","Female", orders[[#This Row],[Customer Gender]]="O","Other", TRUE,"Unknown")</f>
        <v>Male</v>
      </c>
    </row>
    <row r="241" spans="1:15" x14ac:dyDescent="0.2">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f t="array" ref="O241">_xlfn.IFS(orders[[#This Row],[Customer Gender]]="M","Male", orders[[#This Row],[Customer Gender]]="F","Female", orders[[#This Row],[Customer Gender]]="O","Other", TRUE,"Unknown")</f>
        <v>Female</v>
      </c>
    </row>
    <row r="242" spans="1:15" x14ac:dyDescent="0.2">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f t="array" ref="O242">_xlfn.IFS(orders[[#This Row],[Customer Gender]]="M","Male", orders[[#This Row],[Customer Gender]]="F","Female", orders[[#This Row],[Customer Gender]]="O","Other", TRUE,"Unknown")</f>
        <v>Female</v>
      </c>
    </row>
    <row r="243" spans="1:15" x14ac:dyDescent="0.2">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f t="array" ref="O243">_xlfn.IFS(orders[[#This Row],[Customer Gender]]="M","Male", orders[[#This Row],[Customer Gender]]="F","Female", orders[[#This Row],[Customer Gender]]="O","Other", TRUE,"Unknown")</f>
        <v>Male</v>
      </c>
    </row>
    <row r="244" spans="1:15" x14ac:dyDescent="0.2">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f t="array" ref="O244">_xlfn.IFS(orders[[#This Row],[Customer Gender]]="M","Male", orders[[#This Row],[Customer Gender]]="F","Female", orders[[#This Row],[Customer Gender]]="O","Other", TRUE,"Unknown")</f>
        <v>Male</v>
      </c>
    </row>
    <row r="245" spans="1:15" x14ac:dyDescent="0.2">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f t="array" ref="O245">_xlfn.IFS(orders[[#This Row],[Customer Gender]]="M","Male", orders[[#This Row],[Customer Gender]]="F","Female", orders[[#This Row],[Customer Gender]]="O","Other", TRUE,"Unknown")</f>
        <v>Male</v>
      </c>
    </row>
    <row r="246" spans="1:15" x14ac:dyDescent="0.2">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f t="array" ref="O246">_xlfn.IFS(orders[[#This Row],[Customer Gender]]="M","Male", orders[[#This Row],[Customer Gender]]="F","Female", orders[[#This Row],[Customer Gender]]="O","Other", TRUE,"Unknown")</f>
        <v>Female</v>
      </c>
    </row>
    <row r="247" spans="1:15" x14ac:dyDescent="0.2">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f t="array" ref="O247">_xlfn.IFS(orders[[#This Row],[Customer Gender]]="M","Male", orders[[#This Row],[Customer Gender]]="F","Female", orders[[#This Row],[Customer Gender]]="O","Other", TRUE,"Unknown")</f>
        <v>Male</v>
      </c>
    </row>
    <row r="248" spans="1:15" x14ac:dyDescent="0.2">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f t="array" ref="O248">_xlfn.IFS(orders[[#This Row],[Customer Gender]]="M","Male", orders[[#This Row],[Customer Gender]]="F","Female", orders[[#This Row],[Customer Gender]]="O","Other", TRUE,"Unknown")</f>
        <v>Male</v>
      </c>
    </row>
    <row r="249" spans="1:15" x14ac:dyDescent="0.2">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f t="array" ref="O249">_xlfn.IFS(orders[[#This Row],[Customer Gender]]="M","Male", orders[[#This Row],[Customer Gender]]="F","Female", orders[[#This Row],[Customer Gender]]="O","Other", TRUE,"Unknown")</f>
        <v>Male</v>
      </c>
    </row>
    <row r="250" spans="1:15" x14ac:dyDescent="0.2">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f t="array" ref="O250">_xlfn.IFS(orders[[#This Row],[Customer Gender]]="M","Male", orders[[#This Row],[Customer Gender]]="F","Female", orders[[#This Row],[Customer Gender]]="O","Other", TRUE,"Unknown")</f>
        <v>Female</v>
      </c>
    </row>
    <row r="251" spans="1:15" x14ac:dyDescent="0.2">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f t="array" ref="O251">_xlfn.IFS(orders[[#This Row],[Customer Gender]]="M","Male", orders[[#This Row],[Customer Gender]]="F","Female", orders[[#This Row],[Customer Gender]]="O","Other", TRUE,"Unknown")</f>
        <v>Female</v>
      </c>
    </row>
    <row r="252" spans="1:15" x14ac:dyDescent="0.2">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f t="array" ref="O252">_xlfn.IFS(orders[[#This Row],[Customer Gender]]="M","Male", orders[[#This Row],[Customer Gender]]="F","Female", orders[[#This Row],[Customer Gender]]="O","Other", TRUE,"Unknown")</f>
        <v>Male</v>
      </c>
    </row>
    <row r="253" spans="1:15" x14ac:dyDescent="0.2">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f t="array" ref="O253">_xlfn.IFS(orders[[#This Row],[Customer Gender]]="M","Male", orders[[#This Row],[Customer Gender]]="F","Female", orders[[#This Row],[Customer Gender]]="O","Other", TRUE,"Unknown")</f>
        <v>Male</v>
      </c>
    </row>
    <row r="254" spans="1:15" x14ac:dyDescent="0.2">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f t="array" ref="O254">_xlfn.IFS(orders[[#This Row],[Customer Gender]]="M","Male", orders[[#This Row],[Customer Gender]]="F","Female", orders[[#This Row],[Customer Gender]]="O","Other", TRUE,"Unknown")</f>
        <v>Other</v>
      </c>
    </row>
    <row r="255" spans="1:15" x14ac:dyDescent="0.2">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f t="array" ref="O255">_xlfn.IFS(orders[[#This Row],[Customer Gender]]="M","Male", orders[[#This Row],[Customer Gender]]="F","Female", orders[[#This Row],[Customer Gender]]="O","Other", TRUE,"Unknown")</f>
        <v>Male</v>
      </c>
    </row>
    <row r="256" spans="1:15" x14ac:dyDescent="0.2">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f t="array" ref="O256">_xlfn.IFS(orders[[#This Row],[Customer Gender]]="M","Male", orders[[#This Row],[Customer Gender]]="F","Female", orders[[#This Row],[Customer Gender]]="O","Other", TRUE,"Unknown")</f>
        <v>Male</v>
      </c>
    </row>
    <row r="257" spans="1:15" x14ac:dyDescent="0.2">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f t="array" ref="O257">_xlfn.IFS(orders[[#This Row],[Customer Gender]]="M","Male", orders[[#This Row],[Customer Gender]]="F","Female", orders[[#This Row],[Customer Gender]]="O","Other", TRUE,"Unknown")</f>
        <v>Female</v>
      </c>
    </row>
    <row r="258" spans="1:15" x14ac:dyDescent="0.2">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f t="array" ref="O258">_xlfn.IFS(orders[[#This Row],[Customer Gender]]="M","Male", orders[[#This Row],[Customer Gender]]="F","Female", orders[[#This Row],[Customer Gender]]="O","Other", TRUE,"Unknown")</f>
        <v>Male</v>
      </c>
    </row>
    <row r="259" spans="1:15" x14ac:dyDescent="0.2">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f t="array" ref="O259">_xlfn.IFS(orders[[#This Row],[Customer Gender]]="M","Male", orders[[#This Row],[Customer Gender]]="F","Female", orders[[#This Row],[Customer Gender]]="O","Other", TRUE,"Unknown")</f>
        <v>Male</v>
      </c>
    </row>
    <row r="260" spans="1:15" x14ac:dyDescent="0.2">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f t="array" ref="O260">_xlfn.IFS(orders[[#This Row],[Customer Gender]]="M","Male", orders[[#This Row],[Customer Gender]]="F","Female", orders[[#This Row],[Customer Gender]]="O","Other", TRUE,"Unknown")</f>
        <v>Female</v>
      </c>
    </row>
    <row r="261" spans="1:15" x14ac:dyDescent="0.2">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f t="array" ref="O261">_xlfn.IFS(orders[[#This Row],[Customer Gender]]="M","Male", orders[[#This Row],[Customer Gender]]="F","Female", orders[[#This Row],[Customer Gender]]="O","Other", TRUE,"Unknown")</f>
        <v>Female</v>
      </c>
    </row>
    <row r="262" spans="1:15" x14ac:dyDescent="0.2">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f t="array" ref="O262">_xlfn.IFS(orders[[#This Row],[Customer Gender]]="M","Male", orders[[#This Row],[Customer Gender]]="F","Female", orders[[#This Row],[Customer Gender]]="O","Other", TRUE,"Unknown")</f>
        <v>Male</v>
      </c>
    </row>
    <row r="263" spans="1:15" x14ac:dyDescent="0.2">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f t="array" ref="O263">_xlfn.IFS(orders[[#This Row],[Customer Gender]]="M","Male", orders[[#This Row],[Customer Gender]]="F","Female", orders[[#This Row],[Customer Gender]]="O","Other", TRUE,"Unknown")</f>
        <v>Female</v>
      </c>
    </row>
    <row r="264" spans="1:15" x14ac:dyDescent="0.2">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f t="array" ref="O264">_xlfn.IFS(orders[[#This Row],[Customer Gender]]="M","Male", orders[[#This Row],[Customer Gender]]="F","Female", orders[[#This Row],[Customer Gender]]="O","Other", TRUE,"Unknown")</f>
        <v>Male</v>
      </c>
    </row>
    <row r="265" spans="1:15" x14ac:dyDescent="0.2">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f t="array" ref="O265">_xlfn.IFS(orders[[#This Row],[Customer Gender]]="M","Male", orders[[#This Row],[Customer Gender]]="F","Female", orders[[#This Row],[Customer Gender]]="O","Other", TRUE,"Unknown")</f>
        <v>Female</v>
      </c>
    </row>
    <row r="266" spans="1:15" x14ac:dyDescent="0.2">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f t="array" ref="O266">_xlfn.IFS(orders[[#This Row],[Customer Gender]]="M","Male", orders[[#This Row],[Customer Gender]]="F","Female", orders[[#This Row],[Customer Gender]]="O","Other", TRUE,"Unknown")</f>
        <v>Male</v>
      </c>
    </row>
    <row r="267" spans="1:15" x14ac:dyDescent="0.2">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f t="array" ref="O267">_xlfn.IFS(orders[[#This Row],[Customer Gender]]="M","Male", orders[[#This Row],[Customer Gender]]="F","Female", orders[[#This Row],[Customer Gender]]="O","Other", TRUE,"Unknown")</f>
        <v>Female</v>
      </c>
    </row>
    <row r="268" spans="1:15" x14ac:dyDescent="0.2">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f t="array" ref="O268">_xlfn.IFS(orders[[#This Row],[Customer Gender]]="M","Male", orders[[#This Row],[Customer Gender]]="F","Female", orders[[#This Row],[Customer Gender]]="O","Other", TRUE,"Unknown")</f>
        <v>Unknown</v>
      </c>
    </row>
    <row r="269" spans="1:15" x14ac:dyDescent="0.2">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f t="array" ref="O269">_xlfn.IFS(orders[[#This Row],[Customer Gender]]="M","Male", orders[[#This Row],[Customer Gender]]="F","Female", orders[[#This Row],[Customer Gender]]="O","Other", TRUE,"Unknown")</f>
        <v>Female</v>
      </c>
    </row>
    <row r="270" spans="1:15" x14ac:dyDescent="0.2">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f t="array" ref="O270">_xlfn.IFS(orders[[#This Row],[Customer Gender]]="M","Male", orders[[#This Row],[Customer Gender]]="F","Female", orders[[#This Row],[Customer Gender]]="O","Other", TRUE,"Unknown")</f>
        <v>Female</v>
      </c>
    </row>
    <row r="271" spans="1:15" x14ac:dyDescent="0.2">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f t="array" ref="O271">_xlfn.IFS(orders[[#This Row],[Customer Gender]]="M","Male", orders[[#This Row],[Customer Gender]]="F","Female", orders[[#This Row],[Customer Gender]]="O","Other", TRUE,"Unknown")</f>
        <v>Female</v>
      </c>
    </row>
    <row r="272" spans="1:15" x14ac:dyDescent="0.2">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f t="array" ref="O272">_xlfn.IFS(orders[[#This Row],[Customer Gender]]="M","Male", orders[[#This Row],[Customer Gender]]="F","Female", orders[[#This Row],[Customer Gender]]="O","Other", TRUE,"Unknown")</f>
        <v>Female</v>
      </c>
    </row>
    <row r="273" spans="1:15" x14ac:dyDescent="0.2">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f t="array" ref="O273">_xlfn.IFS(orders[[#This Row],[Customer Gender]]="M","Male", orders[[#This Row],[Customer Gender]]="F","Female", orders[[#This Row],[Customer Gender]]="O","Other", TRUE,"Unknown")</f>
        <v>Female</v>
      </c>
    </row>
    <row r="274" spans="1:15" x14ac:dyDescent="0.2">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f t="array" ref="O274">_xlfn.IFS(orders[[#This Row],[Customer Gender]]="M","Male", orders[[#This Row],[Customer Gender]]="F","Female", orders[[#This Row],[Customer Gender]]="O","Other", TRUE,"Unknown")</f>
        <v>Female</v>
      </c>
    </row>
    <row r="275" spans="1:15" x14ac:dyDescent="0.2">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f t="array" ref="O275">_xlfn.IFS(orders[[#This Row],[Customer Gender]]="M","Male", orders[[#This Row],[Customer Gender]]="F","Female", orders[[#This Row],[Customer Gender]]="O","Other", TRUE,"Unknown")</f>
        <v>Male</v>
      </c>
    </row>
    <row r="276" spans="1:15" x14ac:dyDescent="0.2">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f t="array" ref="O276">_xlfn.IFS(orders[[#This Row],[Customer Gender]]="M","Male", orders[[#This Row],[Customer Gender]]="F","Female", orders[[#This Row],[Customer Gender]]="O","Other", TRUE,"Unknown")</f>
        <v>Male</v>
      </c>
    </row>
    <row r="277" spans="1:15" x14ac:dyDescent="0.2">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f t="array" ref="O277">_xlfn.IFS(orders[[#This Row],[Customer Gender]]="M","Male", orders[[#This Row],[Customer Gender]]="F","Female", orders[[#This Row],[Customer Gender]]="O","Other", TRUE,"Unknown")</f>
        <v>Female</v>
      </c>
    </row>
    <row r="278" spans="1:15" x14ac:dyDescent="0.2">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f t="array" ref="O278">_xlfn.IFS(orders[[#This Row],[Customer Gender]]="M","Male", orders[[#This Row],[Customer Gender]]="F","Female", orders[[#This Row],[Customer Gender]]="O","Other", TRUE,"Unknown")</f>
        <v>Unknown</v>
      </c>
    </row>
    <row r="279" spans="1:15" x14ac:dyDescent="0.2">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f t="array" ref="O279">_xlfn.IFS(orders[[#This Row],[Customer Gender]]="M","Male", orders[[#This Row],[Customer Gender]]="F","Female", orders[[#This Row],[Customer Gender]]="O","Other", TRUE,"Unknown")</f>
        <v>Female</v>
      </c>
    </row>
    <row r="280" spans="1:15" x14ac:dyDescent="0.2">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f t="array" ref="O280">_xlfn.IFS(orders[[#This Row],[Customer Gender]]="M","Male", orders[[#This Row],[Customer Gender]]="F","Female", orders[[#This Row],[Customer Gender]]="O","Other", TRUE,"Unknown")</f>
        <v>Female</v>
      </c>
    </row>
    <row r="281" spans="1:15" x14ac:dyDescent="0.2">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f t="array" ref="O281">_xlfn.IFS(orders[[#This Row],[Customer Gender]]="M","Male", orders[[#This Row],[Customer Gender]]="F","Female", orders[[#This Row],[Customer Gender]]="O","Other", TRUE,"Unknown")</f>
        <v>Female</v>
      </c>
    </row>
    <row r="282" spans="1:15" x14ac:dyDescent="0.2">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f t="array" ref="O282">_xlfn.IFS(orders[[#This Row],[Customer Gender]]="M","Male", orders[[#This Row],[Customer Gender]]="F","Female", orders[[#This Row],[Customer Gender]]="O","Other", TRUE,"Unknown")</f>
        <v>Male</v>
      </c>
    </row>
    <row r="283" spans="1:15" x14ac:dyDescent="0.2">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f t="array" ref="O283">_xlfn.IFS(orders[[#This Row],[Customer Gender]]="M","Male", orders[[#This Row],[Customer Gender]]="F","Female", orders[[#This Row],[Customer Gender]]="O","Other", TRUE,"Unknown")</f>
        <v>Male</v>
      </c>
    </row>
    <row r="284" spans="1:15" x14ac:dyDescent="0.2">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f t="array" ref="O284">_xlfn.IFS(orders[[#This Row],[Customer Gender]]="M","Male", orders[[#This Row],[Customer Gender]]="F","Female", orders[[#This Row],[Customer Gender]]="O","Other", TRUE,"Unknown")</f>
        <v>Female</v>
      </c>
    </row>
    <row r="285" spans="1:15" x14ac:dyDescent="0.2">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f t="array" ref="O285">_xlfn.IFS(orders[[#This Row],[Customer Gender]]="M","Male", orders[[#This Row],[Customer Gender]]="F","Female", orders[[#This Row],[Customer Gender]]="O","Other", TRUE,"Unknown")</f>
        <v>Male</v>
      </c>
    </row>
    <row r="286" spans="1:15" x14ac:dyDescent="0.2">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f t="array" ref="O286">_xlfn.IFS(orders[[#This Row],[Customer Gender]]="M","Male", orders[[#This Row],[Customer Gender]]="F","Female", orders[[#This Row],[Customer Gender]]="O","Other", TRUE,"Unknown")</f>
        <v>Male</v>
      </c>
    </row>
    <row r="287" spans="1:15" x14ac:dyDescent="0.2">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f t="array" ref="O287">_xlfn.IFS(orders[[#This Row],[Customer Gender]]="M","Male", orders[[#This Row],[Customer Gender]]="F","Female", orders[[#This Row],[Customer Gender]]="O","Other", TRUE,"Unknown")</f>
        <v>Female</v>
      </c>
    </row>
    <row r="288" spans="1:15" x14ac:dyDescent="0.2">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f t="array" ref="O288">_xlfn.IFS(orders[[#This Row],[Customer Gender]]="M","Male", orders[[#This Row],[Customer Gender]]="F","Female", orders[[#This Row],[Customer Gender]]="O","Other", TRUE,"Unknown")</f>
        <v>Female</v>
      </c>
    </row>
    <row r="289" spans="1:15" x14ac:dyDescent="0.2">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f t="array" ref="O289">_xlfn.IFS(orders[[#This Row],[Customer Gender]]="M","Male", orders[[#This Row],[Customer Gender]]="F","Female", orders[[#This Row],[Customer Gender]]="O","Other", TRUE,"Unknown")</f>
        <v>Male</v>
      </c>
    </row>
    <row r="290" spans="1:15" x14ac:dyDescent="0.2">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f t="array" ref="O290">_xlfn.IFS(orders[[#This Row],[Customer Gender]]="M","Male", orders[[#This Row],[Customer Gender]]="F","Female", orders[[#This Row],[Customer Gender]]="O","Other", TRUE,"Unknown")</f>
        <v>Male</v>
      </c>
    </row>
    <row r="291" spans="1:15" x14ac:dyDescent="0.2">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f t="array" ref="O291">_xlfn.IFS(orders[[#This Row],[Customer Gender]]="M","Male", orders[[#This Row],[Customer Gender]]="F","Female", orders[[#This Row],[Customer Gender]]="O","Other", TRUE,"Unknown")</f>
        <v>Male</v>
      </c>
    </row>
    <row r="292" spans="1:15" x14ac:dyDescent="0.2">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f t="array" ref="O292">_xlfn.IFS(orders[[#This Row],[Customer Gender]]="M","Male", orders[[#This Row],[Customer Gender]]="F","Female", orders[[#This Row],[Customer Gender]]="O","Other", TRUE,"Unknown")</f>
        <v>Male</v>
      </c>
    </row>
    <row r="293" spans="1:15" x14ac:dyDescent="0.2">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f t="array" ref="O293">_xlfn.IFS(orders[[#This Row],[Customer Gender]]="M","Male", orders[[#This Row],[Customer Gender]]="F","Female", orders[[#This Row],[Customer Gender]]="O","Other", TRUE,"Unknown")</f>
        <v>Male</v>
      </c>
    </row>
    <row r="294" spans="1:15" x14ac:dyDescent="0.2">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f t="array" ref="O294">_xlfn.IFS(orders[[#This Row],[Customer Gender]]="M","Male", orders[[#This Row],[Customer Gender]]="F","Female", orders[[#This Row],[Customer Gender]]="O","Other", TRUE,"Unknown")</f>
        <v>Female</v>
      </c>
    </row>
    <row r="295" spans="1:15" x14ac:dyDescent="0.2">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f t="array" ref="O295">_xlfn.IFS(orders[[#This Row],[Customer Gender]]="M","Male", orders[[#This Row],[Customer Gender]]="F","Female", orders[[#This Row],[Customer Gender]]="O","Other", TRUE,"Unknown")</f>
        <v>Male</v>
      </c>
    </row>
    <row r="296" spans="1:15" x14ac:dyDescent="0.2">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f t="array" ref="O296">_xlfn.IFS(orders[[#This Row],[Customer Gender]]="M","Male", orders[[#This Row],[Customer Gender]]="F","Female", orders[[#This Row],[Customer Gender]]="O","Other", TRUE,"Unknown")</f>
        <v>Male</v>
      </c>
    </row>
    <row r="297" spans="1:15" x14ac:dyDescent="0.2">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f t="array" ref="O297">_xlfn.IFS(orders[[#This Row],[Customer Gender]]="M","Male", orders[[#This Row],[Customer Gender]]="F","Female", orders[[#This Row],[Customer Gender]]="O","Other", TRUE,"Unknown")</f>
        <v>Female</v>
      </c>
    </row>
    <row r="298" spans="1:15" x14ac:dyDescent="0.2">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f t="array" ref="O298">_xlfn.IFS(orders[[#This Row],[Customer Gender]]="M","Male", orders[[#This Row],[Customer Gender]]="F","Female", orders[[#This Row],[Customer Gender]]="O","Other", TRUE,"Unknown")</f>
        <v>Female</v>
      </c>
    </row>
    <row r="299" spans="1:15" x14ac:dyDescent="0.2">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f t="array" ref="O299">_xlfn.IFS(orders[[#This Row],[Customer Gender]]="M","Male", orders[[#This Row],[Customer Gender]]="F","Female", orders[[#This Row],[Customer Gender]]="O","Other", TRUE,"Unknown")</f>
        <v>Male</v>
      </c>
    </row>
    <row r="300" spans="1:15" x14ac:dyDescent="0.2">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f t="array" ref="O300">_xlfn.IFS(orders[[#This Row],[Customer Gender]]="M","Male", orders[[#This Row],[Customer Gender]]="F","Female", orders[[#This Row],[Customer Gender]]="O","Other", TRUE,"Unknown")</f>
        <v>Female</v>
      </c>
    </row>
    <row r="301" spans="1:15" x14ac:dyDescent="0.2">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f t="array" ref="O301">_xlfn.IFS(orders[[#This Row],[Customer Gender]]="M","Male", orders[[#This Row],[Customer Gender]]="F","Female", orders[[#This Row],[Customer Gender]]="O","Other", TRUE,"Unknown")</f>
        <v>Male</v>
      </c>
    </row>
    <row r="302" spans="1:15" x14ac:dyDescent="0.2">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f t="array" ref="O302">_xlfn.IFS(orders[[#This Row],[Customer Gender]]="M","Male", orders[[#This Row],[Customer Gender]]="F","Female", orders[[#This Row],[Customer Gender]]="O","Other", TRUE,"Unknown")</f>
        <v>Female</v>
      </c>
    </row>
    <row r="303" spans="1:15" x14ac:dyDescent="0.2">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f t="array" ref="O303">_xlfn.IFS(orders[[#This Row],[Customer Gender]]="M","Male", orders[[#This Row],[Customer Gender]]="F","Female", orders[[#This Row],[Customer Gender]]="O","Other", TRUE,"Unknown")</f>
        <v>Female</v>
      </c>
    </row>
    <row r="304" spans="1:15" x14ac:dyDescent="0.2">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f t="array" ref="O304">_xlfn.IFS(orders[[#This Row],[Customer Gender]]="M","Male", orders[[#This Row],[Customer Gender]]="F","Female", orders[[#This Row],[Customer Gender]]="O","Other", TRUE,"Unknown")</f>
        <v>Female</v>
      </c>
    </row>
    <row r="305" spans="1:15" x14ac:dyDescent="0.2">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f t="array" ref="O305">_xlfn.IFS(orders[[#This Row],[Customer Gender]]="M","Male", orders[[#This Row],[Customer Gender]]="F","Female", orders[[#This Row],[Customer Gender]]="O","Other", TRUE,"Unknown")</f>
        <v>Female</v>
      </c>
    </row>
    <row r="306" spans="1:15" x14ac:dyDescent="0.2">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f t="array" ref="O306">_xlfn.IFS(orders[[#This Row],[Customer Gender]]="M","Male", orders[[#This Row],[Customer Gender]]="F","Female", orders[[#This Row],[Customer Gender]]="O","Other", TRUE,"Unknown")</f>
        <v>Male</v>
      </c>
    </row>
    <row r="307" spans="1:15" x14ac:dyDescent="0.2">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f t="array" ref="O307">_xlfn.IFS(orders[[#This Row],[Customer Gender]]="M","Male", orders[[#This Row],[Customer Gender]]="F","Female", orders[[#This Row],[Customer Gender]]="O","Other", TRUE,"Unknown")</f>
        <v>Female</v>
      </c>
    </row>
    <row r="308" spans="1:15" x14ac:dyDescent="0.2">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f t="array" ref="O308">_xlfn.IFS(orders[[#This Row],[Customer Gender]]="M","Male", orders[[#This Row],[Customer Gender]]="F","Female", orders[[#This Row],[Customer Gender]]="O","Other", TRUE,"Unknown")</f>
        <v>Female</v>
      </c>
    </row>
    <row r="309" spans="1:15" x14ac:dyDescent="0.2">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f t="array" ref="O309">_xlfn.IFS(orders[[#This Row],[Customer Gender]]="M","Male", orders[[#This Row],[Customer Gender]]="F","Female", orders[[#This Row],[Customer Gender]]="O","Other", TRUE,"Unknown")</f>
        <v>Female</v>
      </c>
    </row>
    <row r="310" spans="1:15" x14ac:dyDescent="0.2">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f t="array" ref="O310">_xlfn.IFS(orders[[#This Row],[Customer Gender]]="M","Male", orders[[#This Row],[Customer Gender]]="F","Female", orders[[#This Row],[Customer Gender]]="O","Other", TRUE,"Unknown")</f>
        <v>Male</v>
      </c>
    </row>
    <row r="311" spans="1:15" x14ac:dyDescent="0.2">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f t="array" ref="O311">_xlfn.IFS(orders[[#This Row],[Customer Gender]]="M","Male", orders[[#This Row],[Customer Gender]]="F","Female", orders[[#This Row],[Customer Gender]]="O","Other", TRUE,"Unknown")</f>
        <v>Female</v>
      </c>
    </row>
    <row r="312" spans="1:15" x14ac:dyDescent="0.2">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f t="array" ref="O312">_xlfn.IFS(orders[[#This Row],[Customer Gender]]="M","Male", orders[[#This Row],[Customer Gender]]="F","Female", orders[[#This Row],[Customer Gender]]="O","Other", TRUE,"Unknown")</f>
        <v>Male</v>
      </c>
    </row>
    <row r="313" spans="1:15" x14ac:dyDescent="0.2">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f t="array" ref="O313">_xlfn.IFS(orders[[#This Row],[Customer Gender]]="M","Male", orders[[#This Row],[Customer Gender]]="F","Female", orders[[#This Row],[Customer Gender]]="O","Other", TRUE,"Unknown")</f>
        <v>Male</v>
      </c>
    </row>
    <row r="314" spans="1:15" x14ac:dyDescent="0.2">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f t="array" ref="O314">_xlfn.IFS(orders[[#This Row],[Customer Gender]]="M","Male", orders[[#This Row],[Customer Gender]]="F","Female", orders[[#This Row],[Customer Gender]]="O","Other", TRUE,"Unknown")</f>
        <v>Male</v>
      </c>
    </row>
    <row r="315" spans="1:15" x14ac:dyDescent="0.2">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f t="array" ref="O315">_xlfn.IFS(orders[[#This Row],[Customer Gender]]="M","Male", orders[[#This Row],[Customer Gender]]="F","Female", orders[[#This Row],[Customer Gender]]="O","Other", TRUE,"Unknown")</f>
        <v>Female</v>
      </c>
    </row>
    <row r="316" spans="1:15" x14ac:dyDescent="0.2">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f t="array" ref="O316">_xlfn.IFS(orders[[#This Row],[Customer Gender]]="M","Male", orders[[#This Row],[Customer Gender]]="F","Female", orders[[#This Row],[Customer Gender]]="O","Other", TRUE,"Unknown")</f>
        <v>Male</v>
      </c>
    </row>
    <row r="317" spans="1:15" x14ac:dyDescent="0.2">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f t="array" ref="O317">_xlfn.IFS(orders[[#This Row],[Customer Gender]]="M","Male", orders[[#This Row],[Customer Gender]]="F","Female", orders[[#This Row],[Customer Gender]]="O","Other", TRUE,"Unknown")</f>
        <v>Female</v>
      </c>
    </row>
    <row r="318" spans="1:15" x14ac:dyDescent="0.2">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f t="array" ref="O318">_xlfn.IFS(orders[[#This Row],[Customer Gender]]="M","Male", orders[[#This Row],[Customer Gender]]="F","Female", orders[[#This Row],[Customer Gender]]="O","Other", TRUE,"Unknown")</f>
        <v>Unknown</v>
      </c>
    </row>
    <row r="319" spans="1:15" x14ac:dyDescent="0.2">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f t="array" ref="O319">_xlfn.IFS(orders[[#This Row],[Customer Gender]]="M","Male", orders[[#This Row],[Customer Gender]]="F","Female", orders[[#This Row],[Customer Gender]]="O","Other", TRUE,"Unknown")</f>
        <v>Female</v>
      </c>
    </row>
    <row r="320" spans="1:15" x14ac:dyDescent="0.2">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f t="array" ref="O320">_xlfn.IFS(orders[[#This Row],[Customer Gender]]="M","Male", orders[[#This Row],[Customer Gender]]="F","Female", orders[[#This Row],[Customer Gender]]="O","Other", TRUE,"Unknown")</f>
        <v>Female</v>
      </c>
    </row>
    <row r="321" spans="1:15" x14ac:dyDescent="0.2">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f t="array" ref="O321">_xlfn.IFS(orders[[#This Row],[Customer Gender]]="M","Male", orders[[#This Row],[Customer Gender]]="F","Female", orders[[#This Row],[Customer Gender]]="O","Other", TRUE,"Unknown")</f>
        <v>Male</v>
      </c>
    </row>
    <row r="322" spans="1:15" x14ac:dyDescent="0.2">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f t="array" ref="O322">_xlfn.IFS(orders[[#This Row],[Customer Gender]]="M","Male", orders[[#This Row],[Customer Gender]]="F","Female", orders[[#This Row],[Customer Gender]]="O","Other", TRUE,"Unknown")</f>
        <v>Other</v>
      </c>
    </row>
    <row r="323" spans="1:15" x14ac:dyDescent="0.2">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f t="array" ref="O323">_xlfn.IFS(orders[[#This Row],[Customer Gender]]="M","Male", orders[[#This Row],[Customer Gender]]="F","Female", orders[[#This Row],[Customer Gender]]="O","Other", TRUE,"Unknown")</f>
        <v>Unknown</v>
      </c>
    </row>
    <row r="324" spans="1:15" x14ac:dyDescent="0.2">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f t="array" ref="O324">_xlfn.IFS(orders[[#This Row],[Customer Gender]]="M","Male", orders[[#This Row],[Customer Gender]]="F","Female", orders[[#This Row],[Customer Gender]]="O","Other", TRUE,"Unknown")</f>
        <v>Female</v>
      </c>
    </row>
    <row r="325" spans="1:15" x14ac:dyDescent="0.2">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f t="array" ref="O325">_xlfn.IFS(orders[[#This Row],[Customer Gender]]="M","Male", orders[[#This Row],[Customer Gender]]="F","Female", orders[[#This Row],[Customer Gender]]="O","Other", TRUE,"Unknown")</f>
        <v>Male</v>
      </c>
    </row>
    <row r="326" spans="1:15" x14ac:dyDescent="0.2">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f t="array" ref="O326">_xlfn.IFS(orders[[#This Row],[Customer Gender]]="M","Male", orders[[#This Row],[Customer Gender]]="F","Female", orders[[#This Row],[Customer Gender]]="O","Other", TRUE,"Unknown")</f>
        <v>Female</v>
      </c>
    </row>
    <row r="327" spans="1:15" x14ac:dyDescent="0.2">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f t="array" ref="O327">_xlfn.IFS(orders[[#This Row],[Customer Gender]]="M","Male", orders[[#This Row],[Customer Gender]]="F","Female", orders[[#This Row],[Customer Gender]]="O","Other", TRUE,"Unknown")</f>
        <v>Female</v>
      </c>
    </row>
    <row r="328" spans="1:15" x14ac:dyDescent="0.2">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f t="array" ref="O328">_xlfn.IFS(orders[[#This Row],[Customer Gender]]="M","Male", orders[[#This Row],[Customer Gender]]="F","Female", orders[[#This Row],[Customer Gender]]="O","Other", TRUE,"Unknown")</f>
        <v>Male</v>
      </c>
    </row>
    <row r="329" spans="1:15" x14ac:dyDescent="0.2">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f t="array" ref="O329">_xlfn.IFS(orders[[#This Row],[Customer Gender]]="M","Male", orders[[#This Row],[Customer Gender]]="F","Female", orders[[#This Row],[Customer Gender]]="O","Other", TRUE,"Unknown")</f>
        <v>Male</v>
      </c>
    </row>
    <row r="330" spans="1:15" x14ac:dyDescent="0.2">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f t="array" ref="O330">_xlfn.IFS(orders[[#This Row],[Customer Gender]]="M","Male", orders[[#This Row],[Customer Gender]]="F","Female", orders[[#This Row],[Customer Gender]]="O","Other", TRUE,"Unknown")</f>
        <v>Female</v>
      </c>
    </row>
    <row r="331" spans="1:15" x14ac:dyDescent="0.2">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f t="array" ref="O331">_xlfn.IFS(orders[[#This Row],[Customer Gender]]="M","Male", orders[[#This Row],[Customer Gender]]="F","Female", orders[[#This Row],[Customer Gender]]="O","Other", TRUE,"Unknown")</f>
        <v>Female</v>
      </c>
    </row>
    <row r="332" spans="1:15" x14ac:dyDescent="0.2">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f t="array" ref="O332">_xlfn.IFS(orders[[#This Row],[Customer Gender]]="M","Male", orders[[#This Row],[Customer Gender]]="F","Female", orders[[#This Row],[Customer Gender]]="O","Other", TRUE,"Unknown")</f>
        <v>Female</v>
      </c>
    </row>
    <row r="333" spans="1:15" x14ac:dyDescent="0.2">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f t="array" ref="O333">_xlfn.IFS(orders[[#This Row],[Customer Gender]]="M","Male", orders[[#This Row],[Customer Gender]]="F","Female", orders[[#This Row],[Customer Gender]]="O","Other", TRUE,"Unknown")</f>
        <v>Female</v>
      </c>
    </row>
    <row r="334" spans="1:15" x14ac:dyDescent="0.2">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f t="array" ref="O334">_xlfn.IFS(orders[[#This Row],[Customer Gender]]="M","Male", orders[[#This Row],[Customer Gender]]="F","Female", orders[[#This Row],[Customer Gender]]="O","Other", TRUE,"Unknown")</f>
        <v>Male</v>
      </c>
    </row>
    <row r="335" spans="1:15" x14ac:dyDescent="0.2">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f t="array" ref="O335">_xlfn.IFS(orders[[#This Row],[Customer Gender]]="M","Male", orders[[#This Row],[Customer Gender]]="F","Female", orders[[#This Row],[Customer Gender]]="O","Other", TRUE,"Unknown")</f>
        <v>Female</v>
      </c>
    </row>
    <row r="336" spans="1:15" x14ac:dyDescent="0.2">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f t="array" ref="O336">_xlfn.IFS(orders[[#This Row],[Customer Gender]]="M","Male", orders[[#This Row],[Customer Gender]]="F","Female", orders[[#This Row],[Customer Gender]]="O","Other", TRUE,"Unknown")</f>
        <v>Female</v>
      </c>
    </row>
    <row r="337" spans="1:15" x14ac:dyDescent="0.2">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f t="array" ref="O337">_xlfn.IFS(orders[[#This Row],[Customer Gender]]="M","Male", orders[[#This Row],[Customer Gender]]="F","Female", orders[[#This Row],[Customer Gender]]="O","Other", TRUE,"Unknown")</f>
        <v>Male</v>
      </c>
    </row>
    <row r="338" spans="1:15" x14ac:dyDescent="0.2">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f t="array" ref="O338">_xlfn.IFS(orders[[#This Row],[Customer Gender]]="M","Male", orders[[#This Row],[Customer Gender]]="F","Female", orders[[#This Row],[Customer Gender]]="O","Other", TRUE,"Unknown")</f>
        <v>Unknown</v>
      </c>
    </row>
    <row r="339" spans="1:15" x14ac:dyDescent="0.2">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f t="array" ref="O339">_xlfn.IFS(orders[[#This Row],[Customer Gender]]="M","Male", orders[[#This Row],[Customer Gender]]="F","Female", orders[[#This Row],[Customer Gender]]="O","Other", TRUE,"Unknown")</f>
        <v>Female</v>
      </c>
    </row>
    <row r="340" spans="1:15" x14ac:dyDescent="0.2">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f t="array" ref="O340">_xlfn.IFS(orders[[#This Row],[Customer Gender]]="M","Male", orders[[#This Row],[Customer Gender]]="F","Female", orders[[#This Row],[Customer Gender]]="O","Other", TRUE,"Unknown")</f>
        <v>Male</v>
      </c>
    </row>
    <row r="341" spans="1:15" x14ac:dyDescent="0.2">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f t="array" ref="O341">_xlfn.IFS(orders[[#This Row],[Customer Gender]]="M","Male", orders[[#This Row],[Customer Gender]]="F","Female", orders[[#This Row],[Customer Gender]]="O","Other", TRUE,"Unknown")</f>
        <v>Female</v>
      </c>
    </row>
    <row r="342" spans="1:15" x14ac:dyDescent="0.2">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f t="array" ref="O342">_xlfn.IFS(orders[[#This Row],[Customer Gender]]="M","Male", orders[[#This Row],[Customer Gender]]="F","Female", orders[[#This Row],[Customer Gender]]="O","Other", TRUE,"Unknown")</f>
        <v>Female</v>
      </c>
    </row>
    <row r="343" spans="1:15" x14ac:dyDescent="0.2">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f t="array" ref="O343">_xlfn.IFS(orders[[#This Row],[Customer Gender]]="M","Male", orders[[#This Row],[Customer Gender]]="F","Female", orders[[#This Row],[Customer Gender]]="O","Other", TRUE,"Unknown")</f>
        <v>Male</v>
      </c>
    </row>
    <row r="344" spans="1:15" x14ac:dyDescent="0.2">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f t="array" ref="O344">_xlfn.IFS(orders[[#This Row],[Customer Gender]]="M","Male", orders[[#This Row],[Customer Gender]]="F","Female", orders[[#This Row],[Customer Gender]]="O","Other", TRUE,"Unknown")</f>
        <v>Female</v>
      </c>
    </row>
    <row r="345" spans="1:15" x14ac:dyDescent="0.2">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f t="array" ref="O345">_xlfn.IFS(orders[[#This Row],[Customer Gender]]="M","Male", orders[[#This Row],[Customer Gender]]="F","Female", orders[[#This Row],[Customer Gender]]="O","Other", TRUE,"Unknown")</f>
        <v>Female</v>
      </c>
    </row>
    <row r="346" spans="1:15" x14ac:dyDescent="0.2">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f t="array" ref="O346">_xlfn.IFS(orders[[#This Row],[Customer Gender]]="M","Male", orders[[#This Row],[Customer Gender]]="F","Female", orders[[#This Row],[Customer Gender]]="O","Other", TRUE,"Unknown")</f>
        <v>Female</v>
      </c>
    </row>
    <row r="347" spans="1:15" x14ac:dyDescent="0.2">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f t="array" ref="O347">_xlfn.IFS(orders[[#This Row],[Customer Gender]]="M","Male", orders[[#This Row],[Customer Gender]]="F","Female", orders[[#This Row],[Customer Gender]]="O","Other", TRUE,"Unknown")</f>
        <v>Unknown</v>
      </c>
    </row>
    <row r="348" spans="1:15" x14ac:dyDescent="0.2">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f t="array" ref="O348">_xlfn.IFS(orders[[#This Row],[Customer Gender]]="M","Male", orders[[#This Row],[Customer Gender]]="F","Female", orders[[#This Row],[Customer Gender]]="O","Other", TRUE,"Unknown")</f>
        <v>Male</v>
      </c>
    </row>
    <row r="349" spans="1:15" x14ac:dyDescent="0.2">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f t="array" ref="O349">_xlfn.IFS(orders[[#This Row],[Customer Gender]]="M","Male", orders[[#This Row],[Customer Gender]]="F","Female", orders[[#This Row],[Customer Gender]]="O","Other", TRUE,"Unknown")</f>
        <v>Male</v>
      </c>
    </row>
    <row r="350" spans="1:15" x14ac:dyDescent="0.2">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f t="array" ref="O350">_xlfn.IFS(orders[[#This Row],[Customer Gender]]="M","Male", orders[[#This Row],[Customer Gender]]="F","Female", orders[[#This Row],[Customer Gender]]="O","Other", TRUE,"Unknown")</f>
        <v>Male</v>
      </c>
    </row>
    <row r="351" spans="1:15" x14ac:dyDescent="0.2">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f t="array" ref="O351">_xlfn.IFS(orders[[#This Row],[Customer Gender]]="M","Male", orders[[#This Row],[Customer Gender]]="F","Female", orders[[#This Row],[Customer Gender]]="O","Other", TRUE,"Unknown")</f>
        <v>Female</v>
      </c>
    </row>
    <row r="352" spans="1:15" x14ac:dyDescent="0.2">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f t="array" ref="O352">_xlfn.IFS(orders[[#This Row],[Customer Gender]]="M","Male", orders[[#This Row],[Customer Gender]]="F","Female", orders[[#This Row],[Customer Gender]]="O","Other", TRUE,"Unknown")</f>
        <v>Male</v>
      </c>
    </row>
    <row r="353" spans="1:15" x14ac:dyDescent="0.2">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f t="array" ref="O353">_xlfn.IFS(orders[[#This Row],[Customer Gender]]="M","Male", orders[[#This Row],[Customer Gender]]="F","Female", orders[[#This Row],[Customer Gender]]="O","Other", TRUE,"Unknown")</f>
        <v>Female</v>
      </c>
    </row>
    <row r="354" spans="1:15" x14ac:dyDescent="0.2">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f t="array" ref="O354">_xlfn.IFS(orders[[#This Row],[Customer Gender]]="M","Male", orders[[#This Row],[Customer Gender]]="F","Female", orders[[#This Row],[Customer Gender]]="O","Other", TRUE,"Unknown")</f>
        <v>Female</v>
      </c>
    </row>
    <row r="355" spans="1:15" x14ac:dyDescent="0.2">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f t="array" ref="O355">_xlfn.IFS(orders[[#This Row],[Customer Gender]]="M","Male", orders[[#This Row],[Customer Gender]]="F","Female", orders[[#This Row],[Customer Gender]]="O","Other", TRUE,"Unknown")</f>
        <v>Male</v>
      </c>
    </row>
    <row r="356" spans="1:15" x14ac:dyDescent="0.2">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f t="array" ref="O356">_xlfn.IFS(orders[[#This Row],[Customer Gender]]="M","Male", orders[[#This Row],[Customer Gender]]="F","Female", orders[[#This Row],[Customer Gender]]="O","Other", TRUE,"Unknown")</f>
        <v>Male</v>
      </c>
    </row>
    <row r="357" spans="1:15" x14ac:dyDescent="0.2">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f t="array" ref="O357">_xlfn.IFS(orders[[#This Row],[Customer Gender]]="M","Male", orders[[#This Row],[Customer Gender]]="F","Female", orders[[#This Row],[Customer Gender]]="O","Other", TRUE,"Unknown")</f>
        <v>Unknown</v>
      </c>
    </row>
    <row r="358" spans="1:15" x14ac:dyDescent="0.2">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f t="array" ref="O358">_xlfn.IFS(orders[[#This Row],[Customer Gender]]="M","Male", orders[[#This Row],[Customer Gender]]="F","Female", orders[[#This Row],[Customer Gender]]="O","Other", TRUE,"Unknown")</f>
        <v>Female</v>
      </c>
    </row>
    <row r="359" spans="1:15" x14ac:dyDescent="0.2">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f t="array" ref="O359">_xlfn.IFS(orders[[#This Row],[Customer Gender]]="M","Male", orders[[#This Row],[Customer Gender]]="F","Female", orders[[#This Row],[Customer Gender]]="O","Other", TRUE,"Unknown")</f>
        <v>Female</v>
      </c>
    </row>
    <row r="360" spans="1:15" x14ac:dyDescent="0.2">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f t="array" ref="O360">_xlfn.IFS(orders[[#This Row],[Customer Gender]]="M","Male", orders[[#This Row],[Customer Gender]]="F","Female", orders[[#This Row],[Customer Gender]]="O","Other", TRUE,"Unknown")</f>
        <v>Female</v>
      </c>
    </row>
    <row r="361" spans="1:15" x14ac:dyDescent="0.2">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f t="array" ref="O361">_xlfn.IFS(orders[[#This Row],[Customer Gender]]="M","Male", orders[[#This Row],[Customer Gender]]="F","Female", orders[[#This Row],[Customer Gender]]="O","Other", TRUE,"Unknown")</f>
        <v>Male</v>
      </c>
    </row>
    <row r="362" spans="1:15" x14ac:dyDescent="0.2">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f t="array" ref="O362">_xlfn.IFS(orders[[#This Row],[Customer Gender]]="M","Male", orders[[#This Row],[Customer Gender]]="F","Female", orders[[#This Row],[Customer Gender]]="O","Other", TRUE,"Unknown")</f>
        <v>Female</v>
      </c>
    </row>
    <row r="363" spans="1:15" x14ac:dyDescent="0.2">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f t="array" ref="O363">_xlfn.IFS(orders[[#This Row],[Customer Gender]]="M","Male", orders[[#This Row],[Customer Gender]]="F","Female", orders[[#This Row],[Customer Gender]]="O","Other", TRUE,"Unknown")</f>
        <v>Other</v>
      </c>
    </row>
    <row r="364" spans="1:15" x14ac:dyDescent="0.2">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f t="array" ref="O364">_xlfn.IFS(orders[[#This Row],[Customer Gender]]="M","Male", orders[[#This Row],[Customer Gender]]="F","Female", orders[[#This Row],[Customer Gender]]="O","Other", TRUE,"Unknown")</f>
        <v>Male</v>
      </c>
    </row>
    <row r="365" spans="1:15" x14ac:dyDescent="0.2">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f t="array" ref="O365">_xlfn.IFS(orders[[#This Row],[Customer Gender]]="M","Male", orders[[#This Row],[Customer Gender]]="F","Female", orders[[#This Row],[Customer Gender]]="O","Other", TRUE,"Unknown")</f>
        <v>Female</v>
      </c>
    </row>
    <row r="366" spans="1:15" x14ac:dyDescent="0.2">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f t="array" ref="O366">_xlfn.IFS(orders[[#This Row],[Customer Gender]]="M","Male", orders[[#This Row],[Customer Gender]]="F","Female", orders[[#This Row],[Customer Gender]]="O","Other", TRUE,"Unknown")</f>
        <v>Male</v>
      </c>
    </row>
    <row r="367" spans="1:15" x14ac:dyDescent="0.2">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f t="array" ref="O367">_xlfn.IFS(orders[[#This Row],[Customer Gender]]="M","Male", orders[[#This Row],[Customer Gender]]="F","Female", orders[[#This Row],[Customer Gender]]="O","Other", TRUE,"Unknown")</f>
        <v>Female</v>
      </c>
    </row>
    <row r="368" spans="1:15" x14ac:dyDescent="0.2">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f t="array" ref="O368">_xlfn.IFS(orders[[#This Row],[Customer Gender]]="M","Male", orders[[#This Row],[Customer Gender]]="F","Female", orders[[#This Row],[Customer Gender]]="O","Other", TRUE,"Unknown")</f>
        <v>Unknown</v>
      </c>
    </row>
    <row r="369" spans="1:15" x14ac:dyDescent="0.2">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f t="array" ref="O369">_xlfn.IFS(orders[[#This Row],[Customer Gender]]="M","Male", orders[[#This Row],[Customer Gender]]="F","Female", orders[[#This Row],[Customer Gender]]="O","Other", TRUE,"Unknown")</f>
        <v>Female</v>
      </c>
    </row>
    <row r="370" spans="1:15" x14ac:dyDescent="0.2">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f t="array" ref="O370">_xlfn.IFS(orders[[#This Row],[Customer Gender]]="M","Male", orders[[#This Row],[Customer Gender]]="F","Female", orders[[#This Row],[Customer Gender]]="O","Other", TRUE,"Unknown")</f>
        <v>Male</v>
      </c>
    </row>
    <row r="371" spans="1:15" x14ac:dyDescent="0.2">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f t="array" ref="O371">_xlfn.IFS(orders[[#This Row],[Customer Gender]]="M","Male", orders[[#This Row],[Customer Gender]]="F","Female", orders[[#This Row],[Customer Gender]]="O","Other", TRUE,"Unknown")</f>
        <v>Female</v>
      </c>
    </row>
    <row r="372" spans="1:15" x14ac:dyDescent="0.2">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f t="array" ref="O372">_xlfn.IFS(orders[[#This Row],[Customer Gender]]="M","Male", orders[[#This Row],[Customer Gender]]="F","Female", orders[[#This Row],[Customer Gender]]="O","Other", TRUE,"Unknown")</f>
        <v>Female</v>
      </c>
    </row>
    <row r="373" spans="1:15" x14ac:dyDescent="0.2">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f t="array" ref="O373">_xlfn.IFS(orders[[#This Row],[Customer Gender]]="M","Male", orders[[#This Row],[Customer Gender]]="F","Female", orders[[#This Row],[Customer Gender]]="O","Other", TRUE,"Unknown")</f>
        <v>Male</v>
      </c>
    </row>
    <row r="374" spans="1:15" x14ac:dyDescent="0.2">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f t="array" ref="O374">_xlfn.IFS(orders[[#This Row],[Customer Gender]]="M","Male", orders[[#This Row],[Customer Gender]]="F","Female", orders[[#This Row],[Customer Gender]]="O","Other", TRUE,"Unknown")</f>
        <v>Male</v>
      </c>
    </row>
    <row r="375" spans="1:15" x14ac:dyDescent="0.2">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f t="array" ref="O375">_xlfn.IFS(orders[[#This Row],[Customer Gender]]="M","Male", orders[[#This Row],[Customer Gender]]="F","Female", orders[[#This Row],[Customer Gender]]="O","Other", TRUE,"Unknown")</f>
        <v>Unknown</v>
      </c>
    </row>
    <row r="376" spans="1:15" x14ac:dyDescent="0.2">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f t="array" ref="O376">_xlfn.IFS(orders[[#This Row],[Customer Gender]]="M","Male", orders[[#This Row],[Customer Gender]]="F","Female", orders[[#This Row],[Customer Gender]]="O","Other", TRUE,"Unknown")</f>
        <v>Male</v>
      </c>
    </row>
    <row r="377" spans="1:15" x14ac:dyDescent="0.2">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f t="array" ref="O377">_xlfn.IFS(orders[[#This Row],[Customer Gender]]="M","Male", orders[[#This Row],[Customer Gender]]="F","Female", orders[[#This Row],[Customer Gender]]="O","Other", TRUE,"Unknown")</f>
        <v>Female</v>
      </c>
    </row>
    <row r="378" spans="1:15" x14ac:dyDescent="0.2">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f t="array" ref="O378">_xlfn.IFS(orders[[#This Row],[Customer Gender]]="M","Male", orders[[#This Row],[Customer Gender]]="F","Female", orders[[#This Row],[Customer Gender]]="O","Other", TRUE,"Unknown")</f>
        <v>Other</v>
      </c>
    </row>
    <row r="379" spans="1:15" x14ac:dyDescent="0.2">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f t="array" ref="O379">_xlfn.IFS(orders[[#This Row],[Customer Gender]]="M","Male", orders[[#This Row],[Customer Gender]]="F","Female", orders[[#This Row],[Customer Gender]]="O","Other", TRUE,"Unknown")</f>
        <v>Female</v>
      </c>
    </row>
    <row r="380" spans="1:15" x14ac:dyDescent="0.2">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f t="array" ref="O380">_xlfn.IFS(orders[[#This Row],[Customer Gender]]="M","Male", orders[[#This Row],[Customer Gender]]="F","Female", orders[[#This Row],[Customer Gender]]="O","Other", TRUE,"Unknown")</f>
        <v>Female</v>
      </c>
    </row>
    <row r="381" spans="1:15" x14ac:dyDescent="0.2">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f t="array" ref="O381">_xlfn.IFS(orders[[#This Row],[Customer Gender]]="M","Male", orders[[#This Row],[Customer Gender]]="F","Female", orders[[#This Row],[Customer Gender]]="O","Other", TRUE,"Unknown")</f>
        <v>Female</v>
      </c>
    </row>
    <row r="382" spans="1:15" x14ac:dyDescent="0.2">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f t="array" ref="O382">_xlfn.IFS(orders[[#This Row],[Customer Gender]]="M","Male", orders[[#This Row],[Customer Gender]]="F","Female", orders[[#This Row],[Customer Gender]]="O","Other", TRUE,"Unknown")</f>
        <v>Male</v>
      </c>
    </row>
    <row r="383" spans="1:15" x14ac:dyDescent="0.2">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f t="array" ref="O383">_xlfn.IFS(orders[[#This Row],[Customer Gender]]="M","Male", orders[[#This Row],[Customer Gender]]="F","Female", orders[[#This Row],[Customer Gender]]="O","Other", TRUE,"Unknown")</f>
        <v>Other</v>
      </c>
    </row>
    <row r="384" spans="1:15" x14ac:dyDescent="0.2">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f t="array" ref="O384">_xlfn.IFS(orders[[#This Row],[Customer Gender]]="M","Male", orders[[#This Row],[Customer Gender]]="F","Female", orders[[#This Row],[Customer Gender]]="O","Other", TRUE,"Unknown")</f>
        <v>Male</v>
      </c>
    </row>
    <row r="385" spans="1:15" x14ac:dyDescent="0.2">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f t="array" ref="O385">_xlfn.IFS(orders[[#This Row],[Customer Gender]]="M","Male", orders[[#This Row],[Customer Gender]]="F","Female", orders[[#This Row],[Customer Gender]]="O","Other", TRUE,"Unknown")</f>
        <v>Female</v>
      </c>
    </row>
    <row r="386" spans="1:15" x14ac:dyDescent="0.2">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f t="array" ref="O386">_xlfn.IFS(orders[[#This Row],[Customer Gender]]="M","Male", orders[[#This Row],[Customer Gender]]="F","Female", orders[[#This Row],[Customer Gender]]="O","Other", TRUE,"Unknown")</f>
        <v>Female</v>
      </c>
    </row>
    <row r="387" spans="1:15" x14ac:dyDescent="0.2">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f t="array" ref="O387">_xlfn.IFS(orders[[#This Row],[Customer Gender]]="M","Male", orders[[#This Row],[Customer Gender]]="F","Female", orders[[#This Row],[Customer Gender]]="O","Other", TRUE,"Unknown")</f>
        <v>Unknown</v>
      </c>
    </row>
    <row r="388" spans="1:15" x14ac:dyDescent="0.2">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f t="array" ref="O388">_xlfn.IFS(orders[[#This Row],[Customer Gender]]="M","Male", orders[[#This Row],[Customer Gender]]="F","Female", orders[[#This Row],[Customer Gender]]="O","Other", TRUE,"Unknown")</f>
        <v>Male</v>
      </c>
    </row>
    <row r="389" spans="1:15" x14ac:dyDescent="0.2">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f t="array" ref="O389">_xlfn.IFS(orders[[#This Row],[Customer Gender]]="M","Male", orders[[#This Row],[Customer Gender]]="F","Female", orders[[#This Row],[Customer Gender]]="O","Other", TRUE,"Unknown")</f>
        <v>Male</v>
      </c>
    </row>
    <row r="390" spans="1:15" x14ac:dyDescent="0.2">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f t="array" ref="O390">_xlfn.IFS(orders[[#This Row],[Customer Gender]]="M","Male", orders[[#This Row],[Customer Gender]]="F","Female", orders[[#This Row],[Customer Gender]]="O","Other", TRUE,"Unknown")</f>
        <v>Female</v>
      </c>
    </row>
    <row r="391" spans="1:15" x14ac:dyDescent="0.2">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f t="array" ref="O391">_xlfn.IFS(orders[[#This Row],[Customer Gender]]="M","Male", orders[[#This Row],[Customer Gender]]="F","Female", orders[[#This Row],[Customer Gender]]="O","Other", TRUE,"Unknown")</f>
        <v>Male</v>
      </c>
    </row>
    <row r="392" spans="1:15" x14ac:dyDescent="0.2">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f t="array" ref="O392">_xlfn.IFS(orders[[#This Row],[Customer Gender]]="M","Male", orders[[#This Row],[Customer Gender]]="F","Female", orders[[#This Row],[Customer Gender]]="O","Other", TRUE,"Unknown")</f>
        <v>Female</v>
      </c>
    </row>
    <row r="393" spans="1:15" x14ac:dyDescent="0.2">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f t="array" ref="O393">_xlfn.IFS(orders[[#This Row],[Customer Gender]]="M","Male", orders[[#This Row],[Customer Gender]]="F","Female", orders[[#This Row],[Customer Gender]]="O","Other", TRUE,"Unknown")</f>
        <v>Male</v>
      </c>
    </row>
    <row r="394" spans="1:15" x14ac:dyDescent="0.2">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f t="array" ref="O394">_xlfn.IFS(orders[[#This Row],[Customer Gender]]="M","Male", orders[[#This Row],[Customer Gender]]="F","Female", orders[[#This Row],[Customer Gender]]="O","Other", TRUE,"Unknown")</f>
        <v>Female</v>
      </c>
    </row>
    <row r="395" spans="1:15" x14ac:dyDescent="0.2">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f t="array" ref="O395">_xlfn.IFS(orders[[#This Row],[Customer Gender]]="M","Male", orders[[#This Row],[Customer Gender]]="F","Female", orders[[#This Row],[Customer Gender]]="O","Other", TRUE,"Unknown")</f>
        <v>Male</v>
      </c>
    </row>
    <row r="396" spans="1:15" x14ac:dyDescent="0.2">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f t="array" ref="O396">_xlfn.IFS(orders[[#This Row],[Customer Gender]]="M","Male", orders[[#This Row],[Customer Gender]]="F","Female", orders[[#This Row],[Customer Gender]]="O","Other", TRUE,"Unknown")</f>
        <v>Male</v>
      </c>
    </row>
    <row r="397" spans="1:15" x14ac:dyDescent="0.2">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f t="array" ref="O397">_xlfn.IFS(orders[[#This Row],[Customer Gender]]="M","Male", orders[[#This Row],[Customer Gender]]="F","Female", orders[[#This Row],[Customer Gender]]="O","Other", TRUE,"Unknown")</f>
        <v>Other</v>
      </c>
    </row>
    <row r="398" spans="1:15" x14ac:dyDescent="0.2">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f t="array" ref="O398">_xlfn.IFS(orders[[#This Row],[Customer Gender]]="M","Male", orders[[#This Row],[Customer Gender]]="F","Female", orders[[#This Row],[Customer Gender]]="O","Other", TRUE,"Unknown")</f>
        <v>Male</v>
      </c>
    </row>
    <row r="399" spans="1:15" x14ac:dyDescent="0.2">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f t="array" ref="O399">_xlfn.IFS(orders[[#This Row],[Customer Gender]]="M","Male", orders[[#This Row],[Customer Gender]]="F","Female", orders[[#This Row],[Customer Gender]]="O","Other", TRUE,"Unknown")</f>
        <v>Female</v>
      </c>
    </row>
    <row r="400" spans="1:15" x14ac:dyDescent="0.2">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f t="array" ref="O400">_xlfn.IFS(orders[[#This Row],[Customer Gender]]="M","Male", orders[[#This Row],[Customer Gender]]="F","Female", orders[[#This Row],[Customer Gender]]="O","Other", TRUE,"Unknown")</f>
        <v>Male</v>
      </c>
    </row>
    <row r="401" spans="1:15" x14ac:dyDescent="0.2">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f t="array" ref="O401">_xlfn.IFS(orders[[#This Row],[Customer Gender]]="M","Male", orders[[#This Row],[Customer Gender]]="F","Female", orders[[#This Row],[Customer Gender]]="O","Other", TRUE,"Unknown")</f>
        <v>Male</v>
      </c>
    </row>
    <row r="402" spans="1:15" x14ac:dyDescent="0.2">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f t="array" ref="O402">_xlfn.IFS(orders[[#This Row],[Customer Gender]]="M","Male", orders[[#This Row],[Customer Gender]]="F","Female", orders[[#This Row],[Customer Gender]]="O","Other", TRUE,"Unknown")</f>
        <v>Male</v>
      </c>
    </row>
    <row r="403" spans="1:15" x14ac:dyDescent="0.2">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f t="array" ref="O403">_xlfn.IFS(orders[[#This Row],[Customer Gender]]="M","Male", orders[[#This Row],[Customer Gender]]="F","Female", orders[[#This Row],[Customer Gender]]="O","Other", TRUE,"Unknown")</f>
        <v>Female</v>
      </c>
    </row>
    <row r="404" spans="1:15" x14ac:dyDescent="0.2">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f t="array" ref="O404">_xlfn.IFS(orders[[#This Row],[Customer Gender]]="M","Male", orders[[#This Row],[Customer Gender]]="F","Female", orders[[#This Row],[Customer Gender]]="O","Other", TRUE,"Unknown")</f>
        <v>Female</v>
      </c>
    </row>
    <row r="405" spans="1:15" x14ac:dyDescent="0.2">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f t="array" ref="O405">_xlfn.IFS(orders[[#This Row],[Customer Gender]]="M","Male", orders[[#This Row],[Customer Gender]]="F","Female", orders[[#This Row],[Customer Gender]]="O","Other", TRUE,"Unknown")</f>
        <v>Other</v>
      </c>
    </row>
    <row r="406" spans="1:15" x14ac:dyDescent="0.2">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f t="array" ref="O406">_xlfn.IFS(orders[[#This Row],[Customer Gender]]="M","Male", orders[[#This Row],[Customer Gender]]="F","Female", orders[[#This Row],[Customer Gender]]="O","Other", TRUE,"Unknown")</f>
        <v>Female</v>
      </c>
    </row>
    <row r="407" spans="1:15" x14ac:dyDescent="0.2">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f t="array" ref="O407">_xlfn.IFS(orders[[#This Row],[Customer Gender]]="M","Male", orders[[#This Row],[Customer Gender]]="F","Female", orders[[#This Row],[Customer Gender]]="O","Other", TRUE,"Unknown")</f>
        <v>Female</v>
      </c>
    </row>
    <row r="408" spans="1:15" x14ac:dyDescent="0.2">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f t="array" ref="O408">_xlfn.IFS(orders[[#This Row],[Customer Gender]]="M","Male", orders[[#This Row],[Customer Gender]]="F","Female", orders[[#This Row],[Customer Gender]]="O","Other", TRUE,"Unknown")</f>
        <v>Female</v>
      </c>
    </row>
    <row r="409" spans="1:15" x14ac:dyDescent="0.2">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f t="array" ref="O409">_xlfn.IFS(orders[[#This Row],[Customer Gender]]="M","Male", orders[[#This Row],[Customer Gender]]="F","Female", orders[[#This Row],[Customer Gender]]="O","Other", TRUE,"Unknown")</f>
        <v>Male</v>
      </c>
    </row>
    <row r="410" spans="1:15" x14ac:dyDescent="0.2">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f t="array" ref="O410">_xlfn.IFS(orders[[#This Row],[Customer Gender]]="M","Male", orders[[#This Row],[Customer Gender]]="F","Female", orders[[#This Row],[Customer Gender]]="O","Other", TRUE,"Unknown")</f>
        <v>Male</v>
      </c>
    </row>
    <row r="411" spans="1:15" x14ac:dyDescent="0.2">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f t="array" ref="O411">_xlfn.IFS(orders[[#This Row],[Customer Gender]]="M","Male", orders[[#This Row],[Customer Gender]]="F","Female", orders[[#This Row],[Customer Gender]]="O","Other", TRUE,"Unknown")</f>
        <v>Male</v>
      </c>
    </row>
    <row r="412" spans="1:15" x14ac:dyDescent="0.2">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f t="array" ref="O412">_xlfn.IFS(orders[[#This Row],[Customer Gender]]="M","Male", orders[[#This Row],[Customer Gender]]="F","Female", orders[[#This Row],[Customer Gender]]="O","Other", TRUE,"Unknown")</f>
        <v>Female</v>
      </c>
    </row>
    <row r="413" spans="1:15" x14ac:dyDescent="0.2">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f t="array" ref="O413">_xlfn.IFS(orders[[#This Row],[Customer Gender]]="M","Male", orders[[#This Row],[Customer Gender]]="F","Female", orders[[#This Row],[Customer Gender]]="O","Other", TRUE,"Unknown")</f>
        <v>Male</v>
      </c>
    </row>
    <row r="414" spans="1:15" x14ac:dyDescent="0.2">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f t="array" ref="O414">_xlfn.IFS(orders[[#This Row],[Customer Gender]]="M","Male", orders[[#This Row],[Customer Gender]]="F","Female", orders[[#This Row],[Customer Gender]]="O","Other", TRUE,"Unknown")</f>
        <v>Male</v>
      </c>
    </row>
    <row r="415" spans="1:15" x14ac:dyDescent="0.2">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f t="array" ref="O415">_xlfn.IFS(orders[[#This Row],[Customer Gender]]="M","Male", orders[[#This Row],[Customer Gender]]="F","Female", orders[[#This Row],[Customer Gender]]="O","Other", TRUE,"Unknown")</f>
        <v>Female</v>
      </c>
    </row>
    <row r="416" spans="1:15" x14ac:dyDescent="0.2">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f t="array" ref="O416">_xlfn.IFS(orders[[#This Row],[Customer Gender]]="M","Male", orders[[#This Row],[Customer Gender]]="F","Female", orders[[#This Row],[Customer Gender]]="O","Other", TRUE,"Unknown")</f>
        <v>Unknown</v>
      </c>
    </row>
    <row r="417" spans="1:15" x14ac:dyDescent="0.2">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f t="array" ref="O417">_xlfn.IFS(orders[[#This Row],[Customer Gender]]="M","Male", orders[[#This Row],[Customer Gender]]="F","Female", orders[[#This Row],[Customer Gender]]="O","Other", TRUE,"Unknown")</f>
        <v>Female</v>
      </c>
    </row>
    <row r="418" spans="1:15" x14ac:dyDescent="0.2">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f t="array" ref="O418">_xlfn.IFS(orders[[#This Row],[Customer Gender]]="M","Male", orders[[#This Row],[Customer Gender]]="F","Female", orders[[#This Row],[Customer Gender]]="O","Other", TRUE,"Unknown")</f>
        <v>Other</v>
      </c>
    </row>
    <row r="419" spans="1:15" x14ac:dyDescent="0.2">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f t="array" ref="O419">_xlfn.IFS(orders[[#This Row],[Customer Gender]]="M","Male", orders[[#This Row],[Customer Gender]]="F","Female", orders[[#This Row],[Customer Gender]]="O","Other", TRUE,"Unknown")</f>
        <v>Male</v>
      </c>
    </row>
    <row r="420" spans="1:15" x14ac:dyDescent="0.2">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f t="array" ref="O420">_xlfn.IFS(orders[[#This Row],[Customer Gender]]="M","Male", orders[[#This Row],[Customer Gender]]="F","Female", orders[[#This Row],[Customer Gender]]="O","Other", TRUE,"Unknown")</f>
        <v>Female</v>
      </c>
    </row>
    <row r="421" spans="1:15" x14ac:dyDescent="0.2">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f t="array" ref="O421">_xlfn.IFS(orders[[#This Row],[Customer Gender]]="M","Male", orders[[#This Row],[Customer Gender]]="F","Female", orders[[#This Row],[Customer Gender]]="O","Other", TRUE,"Unknown")</f>
        <v>Male</v>
      </c>
    </row>
    <row r="422" spans="1:15" x14ac:dyDescent="0.2">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f t="array" ref="O422">_xlfn.IFS(orders[[#This Row],[Customer Gender]]="M","Male", orders[[#This Row],[Customer Gender]]="F","Female", orders[[#This Row],[Customer Gender]]="O","Other", TRUE,"Unknown")</f>
        <v>Male</v>
      </c>
    </row>
    <row r="423" spans="1:15" x14ac:dyDescent="0.2">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f t="array" ref="O423">_xlfn.IFS(orders[[#This Row],[Customer Gender]]="M","Male", orders[[#This Row],[Customer Gender]]="F","Female", orders[[#This Row],[Customer Gender]]="O","Other", TRUE,"Unknown")</f>
        <v>Female</v>
      </c>
    </row>
    <row r="424" spans="1:15" x14ac:dyDescent="0.2">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f t="array" ref="O424">_xlfn.IFS(orders[[#This Row],[Customer Gender]]="M","Male", orders[[#This Row],[Customer Gender]]="F","Female", orders[[#This Row],[Customer Gender]]="O","Other", TRUE,"Unknown")</f>
        <v>Male</v>
      </c>
    </row>
    <row r="425" spans="1:15" x14ac:dyDescent="0.2">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f t="array" ref="O425">_xlfn.IFS(orders[[#This Row],[Customer Gender]]="M","Male", orders[[#This Row],[Customer Gender]]="F","Female", orders[[#This Row],[Customer Gender]]="O","Other", TRUE,"Unknown")</f>
        <v>Other</v>
      </c>
    </row>
    <row r="426" spans="1:15" x14ac:dyDescent="0.2">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f t="array" ref="O426">_xlfn.IFS(orders[[#This Row],[Customer Gender]]="M","Male", orders[[#This Row],[Customer Gender]]="F","Female", orders[[#This Row],[Customer Gender]]="O","Other", TRUE,"Unknown")</f>
        <v>Female</v>
      </c>
    </row>
    <row r="427" spans="1:15" x14ac:dyDescent="0.2">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f t="array" ref="O427">_xlfn.IFS(orders[[#This Row],[Customer Gender]]="M","Male", orders[[#This Row],[Customer Gender]]="F","Female", orders[[#This Row],[Customer Gender]]="O","Other", TRUE,"Unknown")</f>
        <v>Female</v>
      </c>
    </row>
    <row r="428" spans="1:15" x14ac:dyDescent="0.2">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f t="array" ref="O428">_xlfn.IFS(orders[[#This Row],[Customer Gender]]="M","Male", orders[[#This Row],[Customer Gender]]="F","Female", orders[[#This Row],[Customer Gender]]="O","Other", TRUE,"Unknown")</f>
        <v>Female</v>
      </c>
    </row>
    <row r="429" spans="1:15" x14ac:dyDescent="0.2">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f t="array" ref="O429">_xlfn.IFS(orders[[#This Row],[Customer Gender]]="M","Male", orders[[#This Row],[Customer Gender]]="F","Female", orders[[#This Row],[Customer Gender]]="O","Other", TRUE,"Unknown")</f>
        <v>Male</v>
      </c>
    </row>
    <row r="430" spans="1:15" x14ac:dyDescent="0.2">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f t="array" ref="O430">_xlfn.IFS(orders[[#This Row],[Customer Gender]]="M","Male", orders[[#This Row],[Customer Gender]]="F","Female", orders[[#This Row],[Customer Gender]]="O","Other", TRUE,"Unknown")</f>
        <v>Female</v>
      </c>
    </row>
    <row r="431" spans="1:15" x14ac:dyDescent="0.2">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f t="array" ref="O431">_xlfn.IFS(orders[[#This Row],[Customer Gender]]="M","Male", orders[[#This Row],[Customer Gender]]="F","Female", orders[[#This Row],[Customer Gender]]="O","Other", TRUE,"Unknown")</f>
        <v>Female</v>
      </c>
    </row>
    <row r="432" spans="1:15" x14ac:dyDescent="0.2">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f t="array" ref="O432">_xlfn.IFS(orders[[#This Row],[Customer Gender]]="M","Male", orders[[#This Row],[Customer Gender]]="F","Female", orders[[#This Row],[Customer Gender]]="O","Other", TRUE,"Unknown")</f>
        <v>Female</v>
      </c>
    </row>
    <row r="433" spans="1:15" x14ac:dyDescent="0.2">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f t="array" ref="O433">_xlfn.IFS(orders[[#This Row],[Customer Gender]]="M","Male", orders[[#This Row],[Customer Gender]]="F","Female", orders[[#This Row],[Customer Gender]]="O","Other", TRUE,"Unknown")</f>
        <v>Female</v>
      </c>
    </row>
    <row r="434" spans="1:15" x14ac:dyDescent="0.2">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f t="array" ref="O434">_xlfn.IFS(orders[[#This Row],[Customer Gender]]="M","Male", orders[[#This Row],[Customer Gender]]="F","Female", orders[[#This Row],[Customer Gender]]="O","Other", TRUE,"Unknown")</f>
        <v>Female</v>
      </c>
    </row>
    <row r="435" spans="1:15" x14ac:dyDescent="0.2">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f t="array" ref="O435">_xlfn.IFS(orders[[#This Row],[Customer Gender]]="M","Male", orders[[#This Row],[Customer Gender]]="F","Female", orders[[#This Row],[Customer Gender]]="O","Other", TRUE,"Unknown")</f>
        <v>Male</v>
      </c>
    </row>
    <row r="436" spans="1:15" x14ac:dyDescent="0.2">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f t="array" ref="O436">_xlfn.IFS(orders[[#This Row],[Customer Gender]]="M","Male", orders[[#This Row],[Customer Gender]]="F","Female", orders[[#This Row],[Customer Gender]]="O","Other", TRUE,"Unknown")</f>
        <v>Female</v>
      </c>
    </row>
    <row r="437" spans="1:15" x14ac:dyDescent="0.2">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f t="array" ref="O437">_xlfn.IFS(orders[[#This Row],[Customer Gender]]="M","Male", orders[[#This Row],[Customer Gender]]="F","Female", orders[[#This Row],[Customer Gender]]="O","Other", TRUE,"Unknown")</f>
        <v>Male</v>
      </c>
    </row>
    <row r="438" spans="1:15" x14ac:dyDescent="0.2">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f t="array" ref="O438">_xlfn.IFS(orders[[#This Row],[Customer Gender]]="M","Male", orders[[#This Row],[Customer Gender]]="F","Female", orders[[#This Row],[Customer Gender]]="O","Other", TRUE,"Unknown")</f>
        <v>Female</v>
      </c>
    </row>
    <row r="439" spans="1:15" x14ac:dyDescent="0.2">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f t="array" ref="O439">_xlfn.IFS(orders[[#This Row],[Customer Gender]]="M","Male", orders[[#This Row],[Customer Gender]]="F","Female", orders[[#This Row],[Customer Gender]]="O","Other", TRUE,"Unknown")</f>
        <v>Male</v>
      </c>
    </row>
    <row r="440" spans="1:15" x14ac:dyDescent="0.2">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f t="array" ref="O440">_xlfn.IFS(orders[[#This Row],[Customer Gender]]="M","Male", orders[[#This Row],[Customer Gender]]="F","Female", orders[[#This Row],[Customer Gender]]="O","Other", TRUE,"Unknown")</f>
        <v>Female</v>
      </c>
    </row>
    <row r="441" spans="1:15" x14ac:dyDescent="0.2">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f t="array" ref="O441">_xlfn.IFS(orders[[#This Row],[Customer Gender]]="M","Male", orders[[#This Row],[Customer Gender]]="F","Female", orders[[#This Row],[Customer Gender]]="O","Other", TRUE,"Unknown")</f>
        <v>Female</v>
      </c>
    </row>
    <row r="442" spans="1:15" x14ac:dyDescent="0.2">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f t="array" ref="O442">_xlfn.IFS(orders[[#This Row],[Customer Gender]]="M","Male", orders[[#This Row],[Customer Gender]]="F","Female", orders[[#This Row],[Customer Gender]]="O","Other", TRUE,"Unknown")</f>
        <v>Male</v>
      </c>
    </row>
    <row r="443" spans="1:15" x14ac:dyDescent="0.2">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f t="array" ref="O443">_xlfn.IFS(orders[[#This Row],[Customer Gender]]="M","Male", orders[[#This Row],[Customer Gender]]="F","Female", orders[[#This Row],[Customer Gender]]="O","Other", TRUE,"Unknown")</f>
        <v>Female</v>
      </c>
    </row>
    <row r="444" spans="1:15" x14ac:dyDescent="0.2">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f t="array" ref="O444">_xlfn.IFS(orders[[#This Row],[Customer Gender]]="M","Male", orders[[#This Row],[Customer Gender]]="F","Female", orders[[#This Row],[Customer Gender]]="O","Other", TRUE,"Unknown")</f>
        <v>Other</v>
      </c>
    </row>
    <row r="445" spans="1:15" x14ac:dyDescent="0.2">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f t="array" ref="O445">_xlfn.IFS(orders[[#This Row],[Customer Gender]]="M","Male", orders[[#This Row],[Customer Gender]]="F","Female", orders[[#This Row],[Customer Gender]]="O","Other", TRUE,"Unknown")</f>
        <v>Male</v>
      </c>
    </row>
    <row r="446" spans="1:15" x14ac:dyDescent="0.2">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f t="array" ref="O446">_xlfn.IFS(orders[[#This Row],[Customer Gender]]="M","Male", orders[[#This Row],[Customer Gender]]="F","Female", orders[[#This Row],[Customer Gender]]="O","Other", TRUE,"Unknown")</f>
        <v>Female</v>
      </c>
    </row>
    <row r="447" spans="1:15" x14ac:dyDescent="0.2">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f t="array" ref="O447">_xlfn.IFS(orders[[#This Row],[Customer Gender]]="M","Male", orders[[#This Row],[Customer Gender]]="F","Female", orders[[#This Row],[Customer Gender]]="O","Other", TRUE,"Unknown")</f>
        <v>Female</v>
      </c>
    </row>
    <row r="448" spans="1:15" x14ac:dyDescent="0.2">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f t="array" ref="O448">_xlfn.IFS(orders[[#This Row],[Customer Gender]]="M","Male", orders[[#This Row],[Customer Gender]]="F","Female", orders[[#This Row],[Customer Gender]]="O","Other", TRUE,"Unknown")</f>
        <v>Female</v>
      </c>
    </row>
    <row r="449" spans="1:15" x14ac:dyDescent="0.2">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f t="array" ref="O449">_xlfn.IFS(orders[[#This Row],[Customer Gender]]="M","Male", orders[[#This Row],[Customer Gender]]="F","Female", orders[[#This Row],[Customer Gender]]="O","Other", TRUE,"Unknown")</f>
        <v>Male</v>
      </c>
    </row>
    <row r="450" spans="1:15" x14ac:dyDescent="0.2">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f t="array" ref="O450">_xlfn.IFS(orders[[#This Row],[Customer Gender]]="M","Male", orders[[#This Row],[Customer Gender]]="F","Female", orders[[#This Row],[Customer Gender]]="O","Other", TRUE,"Unknown")</f>
        <v>Female</v>
      </c>
    </row>
    <row r="451" spans="1:15" x14ac:dyDescent="0.2">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f t="array" ref="O451">_xlfn.IFS(orders[[#This Row],[Customer Gender]]="M","Male", orders[[#This Row],[Customer Gender]]="F","Female", orders[[#This Row],[Customer Gender]]="O","Other", TRUE,"Unknown")</f>
        <v>Female</v>
      </c>
    </row>
    <row r="452" spans="1:15" x14ac:dyDescent="0.2">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f t="array" ref="O452">_xlfn.IFS(orders[[#This Row],[Customer Gender]]="M","Male", orders[[#This Row],[Customer Gender]]="F","Female", orders[[#This Row],[Customer Gender]]="O","Other", TRUE,"Unknown")</f>
        <v>Unknown</v>
      </c>
    </row>
    <row r="453" spans="1:15" x14ac:dyDescent="0.2">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f t="array" ref="O453">_xlfn.IFS(orders[[#This Row],[Customer Gender]]="M","Male", orders[[#This Row],[Customer Gender]]="F","Female", orders[[#This Row],[Customer Gender]]="O","Other", TRUE,"Unknown")</f>
        <v>Female</v>
      </c>
    </row>
    <row r="454" spans="1:15" x14ac:dyDescent="0.2">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f t="array" ref="O454">_xlfn.IFS(orders[[#This Row],[Customer Gender]]="M","Male", orders[[#This Row],[Customer Gender]]="F","Female", orders[[#This Row],[Customer Gender]]="O","Other", TRUE,"Unknown")</f>
        <v>Female</v>
      </c>
    </row>
    <row r="455" spans="1:15" x14ac:dyDescent="0.2">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f t="array" ref="O455">_xlfn.IFS(orders[[#This Row],[Customer Gender]]="M","Male", orders[[#This Row],[Customer Gender]]="F","Female", orders[[#This Row],[Customer Gender]]="O","Other", TRUE,"Unknown")</f>
        <v>Female</v>
      </c>
    </row>
    <row r="456" spans="1:15" x14ac:dyDescent="0.2">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f t="array" ref="O456">_xlfn.IFS(orders[[#This Row],[Customer Gender]]="M","Male", orders[[#This Row],[Customer Gender]]="F","Female", orders[[#This Row],[Customer Gender]]="O","Other", TRUE,"Unknown")</f>
        <v>Female</v>
      </c>
    </row>
    <row r="457" spans="1:15" x14ac:dyDescent="0.2">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f t="array" ref="O457">_xlfn.IFS(orders[[#This Row],[Customer Gender]]="M","Male", orders[[#This Row],[Customer Gender]]="F","Female", orders[[#This Row],[Customer Gender]]="O","Other", TRUE,"Unknown")</f>
        <v>Female</v>
      </c>
    </row>
    <row r="458" spans="1:15" x14ac:dyDescent="0.2">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f t="array" ref="O458">_xlfn.IFS(orders[[#This Row],[Customer Gender]]="M","Male", orders[[#This Row],[Customer Gender]]="F","Female", orders[[#This Row],[Customer Gender]]="O","Other", TRUE,"Unknown")</f>
        <v>Female</v>
      </c>
    </row>
    <row r="459" spans="1:15" x14ac:dyDescent="0.2">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f t="array" ref="O459">_xlfn.IFS(orders[[#This Row],[Customer Gender]]="M","Male", orders[[#This Row],[Customer Gender]]="F","Female", orders[[#This Row],[Customer Gender]]="O","Other", TRUE,"Unknown")</f>
        <v>Female</v>
      </c>
    </row>
    <row r="460" spans="1:15" x14ac:dyDescent="0.2">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f t="array" ref="O460">_xlfn.IFS(orders[[#This Row],[Customer Gender]]="M","Male", orders[[#This Row],[Customer Gender]]="F","Female", orders[[#This Row],[Customer Gender]]="O","Other", TRUE,"Unknown")</f>
        <v>Female</v>
      </c>
    </row>
    <row r="461" spans="1:15" x14ac:dyDescent="0.2">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f t="array" ref="O461">_xlfn.IFS(orders[[#This Row],[Customer Gender]]="M","Male", orders[[#This Row],[Customer Gender]]="F","Female", orders[[#This Row],[Customer Gender]]="O","Other", TRUE,"Unknown")</f>
        <v>Male</v>
      </c>
    </row>
    <row r="462" spans="1:15" x14ac:dyDescent="0.2">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f t="array" ref="O462">_xlfn.IFS(orders[[#This Row],[Customer Gender]]="M","Male", orders[[#This Row],[Customer Gender]]="F","Female", orders[[#This Row],[Customer Gender]]="O","Other", TRUE,"Unknown")</f>
        <v>Female</v>
      </c>
    </row>
    <row r="463" spans="1:15" x14ac:dyDescent="0.2">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f t="array" ref="O463">_xlfn.IFS(orders[[#This Row],[Customer Gender]]="M","Male", orders[[#This Row],[Customer Gender]]="F","Female", orders[[#This Row],[Customer Gender]]="O","Other", TRUE,"Unknown")</f>
        <v>Male</v>
      </c>
    </row>
    <row r="464" spans="1:15" x14ac:dyDescent="0.2">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f t="array" ref="O464">_xlfn.IFS(orders[[#This Row],[Customer Gender]]="M","Male", orders[[#This Row],[Customer Gender]]="F","Female", orders[[#This Row],[Customer Gender]]="O","Other", TRUE,"Unknown")</f>
        <v>Male</v>
      </c>
    </row>
    <row r="465" spans="1:15" x14ac:dyDescent="0.2">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f t="array" ref="O465">_xlfn.IFS(orders[[#This Row],[Customer Gender]]="M","Male", orders[[#This Row],[Customer Gender]]="F","Female", orders[[#This Row],[Customer Gender]]="O","Other", TRUE,"Unknown")</f>
        <v>Male</v>
      </c>
    </row>
    <row r="466" spans="1:15" x14ac:dyDescent="0.2">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f t="array" ref="O466">_xlfn.IFS(orders[[#This Row],[Customer Gender]]="M","Male", orders[[#This Row],[Customer Gender]]="F","Female", orders[[#This Row],[Customer Gender]]="O","Other", TRUE,"Unknown")</f>
        <v>Unknown</v>
      </c>
    </row>
    <row r="467" spans="1:15" x14ac:dyDescent="0.2">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f t="array" ref="O467">_xlfn.IFS(orders[[#This Row],[Customer Gender]]="M","Male", orders[[#This Row],[Customer Gender]]="F","Female", orders[[#This Row],[Customer Gender]]="O","Other", TRUE,"Unknown")</f>
        <v>Male</v>
      </c>
    </row>
    <row r="468" spans="1:15" x14ac:dyDescent="0.2">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f t="array" ref="O468">_xlfn.IFS(orders[[#This Row],[Customer Gender]]="M","Male", orders[[#This Row],[Customer Gender]]="F","Female", orders[[#This Row],[Customer Gender]]="O","Other", TRUE,"Unknown")</f>
        <v>Female</v>
      </c>
    </row>
    <row r="469" spans="1:15" x14ac:dyDescent="0.2">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f t="array" ref="O469">_xlfn.IFS(orders[[#This Row],[Customer Gender]]="M","Male", orders[[#This Row],[Customer Gender]]="F","Female", orders[[#This Row],[Customer Gender]]="O","Other", TRUE,"Unknown")</f>
        <v>Female</v>
      </c>
    </row>
    <row r="470" spans="1:15" x14ac:dyDescent="0.2">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f t="array" ref="O470">_xlfn.IFS(orders[[#This Row],[Customer Gender]]="M","Male", orders[[#This Row],[Customer Gender]]="F","Female", orders[[#This Row],[Customer Gender]]="O","Other", TRUE,"Unknown")</f>
        <v>Male</v>
      </c>
    </row>
    <row r="471" spans="1:15" x14ac:dyDescent="0.2">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f t="array" ref="O471">_xlfn.IFS(orders[[#This Row],[Customer Gender]]="M","Male", orders[[#This Row],[Customer Gender]]="F","Female", orders[[#This Row],[Customer Gender]]="O","Other", TRUE,"Unknown")</f>
        <v>Male</v>
      </c>
    </row>
    <row r="472" spans="1:15" x14ac:dyDescent="0.2">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f t="array" ref="O472">_xlfn.IFS(orders[[#This Row],[Customer Gender]]="M","Male", orders[[#This Row],[Customer Gender]]="F","Female", orders[[#This Row],[Customer Gender]]="O","Other", TRUE,"Unknown")</f>
        <v>Female</v>
      </c>
    </row>
    <row r="473" spans="1:15" x14ac:dyDescent="0.2">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f t="array" ref="O473">_xlfn.IFS(orders[[#This Row],[Customer Gender]]="M","Male", orders[[#This Row],[Customer Gender]]="F","Female", orders[[#This Row],[Customer Gender]]="O","Other", TRUE,"Unknown")</f>
        <v>Other</v>
      </c>
    </row>
    <row r="474" spans="1:15" x14ac:dyDescent="0.2">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f t="array" ref="O474">_xlfn.IFS(orders[[#This Row],[Customer Gender]]="M","Male", orders[[#This Row],[Customer Gender]]="F","Female", orders[[#This Row],[Customer Gender]]="O","Other", TRUE,"Unknown")</f>
        <v>Male</v>
      </c>
    </row>
    <row r="475" spans="1:15" x14ac:dyDescent="0.2">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f t="array" ref="O475">_xlfn.IFS(orders[[#This Row],[Customer Gender]]="M","Male", orders[[#This Row],[Customer Gender]]="F","Female", orders[[#This Row],[Customer Gender]]="O","Other", TRUE,"Unknown")</f>
        <v>Unknown</v>
      </c>
    </row>
    <row r="476" spans="1:15" x14ac:dyDescent="0.2">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f t="array" ref="O476">_xlfn.IFS(orders[[#This Row],[Customer Gender]]="M","Male", orders[[#This Row],[Customer Gender]]="F","Female", orders[[#This Row],[Customer Gender]]="O","Other", TRUE,"Unknown")</f>
        <v>Female</v>
      </c>
    </row>
    <row r="477" spans="1:15" x14ac:dyDescent="0.2">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f t="array" ref="O477">_xlfn.IFS(orders[[#This Row],[Customer Gender]]="M","Male", orders[[#This Row],[Customer Gender]]="F","Female", orders[[#This Row],[Customer Gender]]="O","Other", TRUE,"Unknown")</f>
        <v>Male</v>
      </c>
    </row>
    <row r="478" spans="1:15" x14ac:dyDescent="0.2">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f t="array" ref="O478">_xlfn.IFS(orders[[#This Row],[Customer Gender]]="M","Male", orders[[#This Row],[Customer Gender]]="F","Female", orders[[#This Row],[Customer Gender]]="O","Other", TRUE,"Unknown")</f>
        <v>Female</v>
      </c>
    </row>
    <row r="479" spans="1:15" x14ac:dyDescent="0.2">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f t="array" ref="O479">_xlfn.IFS(orders[[#This Row],[Customer Gender]]="M","Male", orders[[#This Row],[Customer Gender]]="F","Female", orders[[#This Row],[Customer Gender]]="O","Other", TRUE,"Unknown")</f>
        <v>Female</v>
      </c>
    </row>
    <row r="480" spans="1:15" x14ac:dyDescent="0.2">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f t="array" ref="O480">_xlfn.IFS(orders[[#This Row],[Customer Gender]]="M","Male", orders[[#This Row],[Customer Gender]]="F","Female", orders[[#This Row],[Customer Gender]]="O","Other", TRUE,"Unknown")</f>
        <v>Female</v>
      </c>
    </row>
    <row r="481" spans="1:15" x14ac:dyDescent="0.2">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f t="array" ref="O481">_xlfn.IFS(orders[[#This Row],[Customer Gender]]="M","Male", orders[[#This Row],[Customer Gender]]="F","Female", orders[[#This Row],[Customer Gender]]="O","Other", TRUE,"Unknown")</f>
        <v>Male</v>
      </c>
    </row>
    <row r="482" spans="1:15" x14ac:dyDescent="0.2">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f t="array" ref="O482">_xlfn.IFS(orders[[#This Row],[Customer Gender]]="M","Male", orders[[#This Row],[Customer Gender]]="F","Female", orders[[#This Row],[Customer Gender]]="O","Other", TRUE,"Unknown")</f>
        <v>Male</v>
      </c>
    </row>
    <row r="483" spans="1:15" x14ac:dyDescent="0.2">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f t="array" ref="O483">_xlfn.IFS(orders[[#This Row],[Customer Gender]]="M","Male", orders[[#This Row],[Customer Gender]]="F","Female", orders[[#This Row],[Customer Gender]]="O","Other", TRUE,"Unknown")</f>
        <v>Male</v>
      </c>
    </row>
    <row r="484" spans="1:15" x14ac:dyDescent="0.2">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f t="array" ref="O484">_xlfn.IFS(orders[[#This Row],[Customer Gender]]="M","Male", orders[[#This Row],[Customer Gender]]="F","Female", orders[[#This Row],[Customer Gender]]="O","Other", TRUE,"Unknown")</f>
        <v>Female</v>
      </c>
    </row>
    <row r="485" spans="1:15" x14ac:dyDescent="0.2">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f t="array" ref="O485">_xlfn.IFS(orders[[#This Row],[Customer Gender]]="M","Male", orders[[#This Row],[Customer Gender]]="F","Female", orders[[#This Row],[Customer Gender]]="O","Other", TRUE,"Unknown")</f>
        <v>Male</v>
      </c>
    </row>
    <row r="486" spans="1:15" x14ac:dyDescent="0.2">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f t="array" ref="O486">_xlfn.IFS(orders[[#This Row],[Customer Gender]]="M","Male", orders[[#This Row],[Customer Gender]]="F","Female", orders[[#This Row],[Customer Gender]]="O","Other", TRUE,"Unknown")</f>
        <v>Female</v>
      </c>
    </row>
    <row r="487" spans="1:15" x14ac:dyDescent="0.2">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f t="array" ref="O487">_xlfn.IFS(orders[[#This Row],[Customer Gender]]="M","Male", orders[[#This Row],[Customer Gender]]="F","Female", orders[[#This Row],[Customer Gender]]="O","Other", TRUE,"Unknown")</f>
        <v>Female</v>
      </c>
    </row>
    <row r="488" spans="1:15" x14ac:dyDescent="0.2">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f t="array" ref="O488">_xlfn.IFS(orders[[#This Row],[Customer Gender]]="M","Male", orders[[#This Row],[Customer Gender]]="F","Female", orders[[#This Row],[Customer Gender]]="O","Other", TRUE,"Unknown")</f>
        <v>Male</v>
      </c>
    </row>
    <row r="489" spans="1:15" x14ac:dyDescent="0.2">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f t="array" ref="O489">_xlfn.IFS(orders[[#This Row],[Customer Gender]]="M","Male", orders[[#This Row],[Customer Gender]]="F","Female", orders[[#This Row],[Customer Gender]]="O","Other", TRUE,"Unknown")</f>
        <v>Male</v>
      </c>
    </row>
    <row r="490" spans="1:15" x14ac:dyDescent="0.2">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f t="array" ref="O490">_xlfn.IFS(orders[[#This Row],[Customer Gender]]="M","Male", orders[[#This Row],[Customer Gender]]="F","Female", orders[[#This Row],[Customer Gender]]="O","Other", TRUE,"Unknown")</f>
        <v>Unknown</v>
      </c>
    </row>
    <row r="491" spans="1:15" x14ac:dyDescent="0.2">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f t="array" ref="O491">_xlfn.IFS(orders[[#This Row],[Customer Gender]]="M","Male", orders[[#This Row],[Customer Gender]]="F","Female", orders[[#This Row],[Customer Gender]]="O","Other", TRUE,"Unknown")</f>
        <v>Female</v>
      </c>
    </row>
    <row r="492" spans="1:15" x14ac:dyDescent="0.2">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f t="array" ref="O492">_xlfn.IFS(orders[[#This Row],[Customer Gender]]="M","Male", orders[[#This Row],[Customer Gender]]="F","Female", orders[[#This Row],[Customer Gender]]="O","Other", TRUE,"Unknown")</f>
        <v>Female</v>
      </c>
    </row>
    <row r="493" spans="1:15" x14ac:dyDescent="0.2">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f t="array" ref="O493">_xlfn.IFS(orders[[#This Row],[Customer Gender]]="M","Male", orders[[#This Row],[Customer Gender]]="F","Female", orders[[#This Row],[Customer Gender]]="O","Other", TRUE,"Unknown")</f>
        <v>Female</v>
      </c>
    </row>
    <row r="494" spans="1:15" x14ac:dyDescent="0.2">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f t="array" ref="O494">_xlfn.IFS(orders[[#This Row],[Customer Gender]]="M","Male", orders[[#This Row],[Customer Gender]]="F","Female", orders[[#This Row],[Customer Gender]]="O","Other", TRUE,"Unknown")</f>
        <v>Female</v>
      </c>
    </row>
    <row r="495" spans="1:15" x14ac:dyDescent="0.2">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f t="array" ref="O495">_xlfn.IFS(orders[[#This Row],[Customer Gender]]="M","Male", orders[[#This Row],[Customer Gender]]="F","Female", orders[[#This Row],[Customer Gender]]="O","Other", TRUE,"Unknown")</f>
        <v>Female</v>
      </c>
    </row>
    <row r="496" spans="1:15" x14ac:dyDescent="0.2">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f t="array" ref="O496">_xlfn.IFS(orders[[#This Row],[Customer Gender]]="M","Male", orders[[#This Row],[Customer Gender]]="F","Female", orders[[#This Row],[Customer Gender]]="O","Other", TRUE,"Unknown")</f>
        <v>Female</v>
      </c>
    </row>
    <row r="497" spans="1:15" x14ac:dyDescent="0.2">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f t="array" ref="O497">_xlfn.IFS(orders[[#This Row],[Customer Gender]]="M","Male", orders[[#This Row],[Customer Gender]]="F","Female", orders[[#This Row],[Customer Gender]]="O","Other", TRUE,"Unknown")</f>
        <v>Female</v>
      </c>
    </row>
    <row r="498" spans="1:15" x14ac:dyDescent="0.2">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f t="array" ref="O498">_xlfn.IFS(orders[[#This Row],[Customer Gender]]="M","Male", orders[[#This Row],[Customer Gender]]="F","Female", orders[[#This Row],[Customer Gender]]="O","Other", TRUE,"Unknown")</f>
        <v>Male</v>
      </c>
    </row>
    <row r="499" spans="1:15" x14ac:dyDescent="0.2">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f t="array" ref="O499">_xlfn.IFS(orders[[#This Row],[Customer Gender]]="M","Male", orders[[#This Row],[Customer Gender]]="F","Female", orders[[#This Row],[Customer Gender]]="O","Other", TRUE,"Unknown")</f>
        <v>Female</v>
      </c>
    </row>
    <row r="500" spans="1:15" x14ac:dyDescent="0.2">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f t="array" ref="O500">_xlfn.IFS(orders[[#This Row],[Customer Gender]]="M","Male", orders[[#This Row],[Customer Gender]]="F","Female", orders[[#This Row],[Customer Gender]]="O","Other", TRUE,"Unknown")</f>
        <v>Male</v>
      </c>
    </row>
    <row r="501" spans="1:15" x14ac:dyDescent="0.2">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f t="array" ref="O501">_xlfn.IFS(orders[[#This Row],[Customer Gender]]="M","Male", orders[[#This Row],[Customer Gender]]="F","Female", orders[[#This Row],[Customer Gender]]="O","Other", TRUE,"Unknown")</f>
        <v>Other</v>
      </c>
    </row>
    <row r="502" spans="1:15" x14ac:dyDescent="0.2">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f t="array" ref="O502">_xlfn.IFS(orders[[#This Row],[Customer Gender]]="M","Male", orders[[#This Row],[Customer Gender]]="F","Female", orders[[#This Row],[Customer Gender]]="O","Other", TRUE,"Unknown")</f>
        <v>Unknown</v>
      </c>
    </row>
    <row r="503" spans="1:15" x14ac:dyDescent="0.2">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f t="array" ref="O503">_xlfn.IFS(orders[[#This Row],[Customer Gender]]="M","Male", orders[[#This Row],[Customer Gender]]="F","Female", orders[[#This Row],[Customer Gender]]="O","Other", TRUE,"Unknown")</f>
        <v>Male</v>
      </c>
    </row>
    <row r="504" spans="1:15" x14ac:dyDescent="0.2">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f t="array" ref="O504">_xlfn.IFS(orders[[#This Row],[Customer Gender]]="M","Male", orders[[#This Row],[Customer Gender]]="F","Female", orders[[#This Row],[Customer Gender]]="O","Other", TRUE,"Unknown")</f>
        <v>Female</v>
      </c>
    </row>
    <row r="505" spans="1:15" x14ac:dyDescent="0.2">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f t="array" ref="O505">_xlfn.IFS(orders[[#This Row],[Customer Gender]]="M","Male", orders[[#This Row],[Customer Gender]]="F","Female", orders[[#This Row],[Customer Gender]]="O","Other", TRUE,"Unknown")</f>
        <v>Female</v>
      </c>
    </row>
    <row r="506" spans="1:15" x14ac:dyDescent="0.2">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f t="array" ref="O506">_xlfn.IFS(orders[[#This Row],[Customer Gender]]="M","Male", orders[[#This Row],[Customer Gender]]="F","Female", orders[[#This Row],[Customer Gender]]="O","Other", TRUE,"Unknown")</f>
        <v>Female</v>
      </c>
    </row>
    <row r="507" spans="1:15" x14ac:dyDescent="0.2">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f t="array" ref="O507">_xlfn.IFS(orders[[#This Row],[Customer Gender]]="M","Male", orders[[#This Row],[Customer Gender]]="F","Female", orders[[#This Row],[Customer Gender]]="O","Other", TRUE,"Unknown")</f>
        <v>Female</v>
      </c>
    </row>
    <row r="508" spans="1:15" x14ac:dyDescent="0.2">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f t="array" ref="O508">_xlfn.IFS(orders[[#This Row],[Customer Gender]]="M","Male", orders[[#This Row],[Customer Gender]]="F","Female", orders[[#This Row],[Customer Gender]]="O","Other", TRUE,"Unknown")</f>
        <v>Female</v>
      </c>
    </row>
    <row r="509" spans="1:15" x14ac:dyDescent="0.2">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f t="array" ref="O509">_xlfn.IFS(orders[[#This Row],[Customer Gender]]="M","Male", orders[[#This Row],[Customer Gender]]="F","Female", orders[[#This Row],[Customer Gender]]="O","Other", TRUE,"Unknown")</f>
        <v>Male</v>
      </c>
    </row>
    <row r="510" spans="1:15" x14ac:dyDescent="0.2">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f t="array" ref="O510">_xlfn.IFS(orders[[#This Row],[Customer Gender]]="M","Male", orders[[#This Row],[Customer Gender]]="F","Female", orders[[#This Row],[Customer Gender]]="O","Other", TRUE,"Unknown")</f>
        <v>Male</v>
      </c>
    </row>
    <row r="511" spans="1:15" x14ac:dyDescent="0.2">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f t="array" ref="O511">_xlfn.IFS(orders[[#This Row],[Customer Gender]]="M","Male", orders[[#This Row],[Customer Gender]]="F","Female", orders[[#This Row],[Customer Gender]]="O","Other", TRUE,"Unknown")</f>
        <v>Female</v>
      </c>
    </row>
    <row r="512" spans="1:15" x14ac:dyDescent="0.2">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f t="array" ref="O512">_xlfn.IFS(orders[[#This Row],[Customer Gender]]="M","Male", orders[[#This Row],[Customer Gender]]="F","Female", orders[[#This Row],[Customer Gender]]="O","Other", TRUE,"Unknown")</f>
        <v>Female</v>
      </c>
    </row>
    <row r="513" spans="1:15" x14ac:dyDescent="0.2">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f t="array" ref="O513">_xlfn.IFS(orders[[#This Row],[Customer Gender]]="M","Male", orders[[#This Row],[Customer Gender]]="F","Female", orders[[#This Row],[Customer Gender]]="O","Other", TRUE,"Unknown")</f>
        <v>Unknown</v>
      </c>
    </row>
    <row r="514" spans="1:15" x14ac:dyDescent="0.2">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f t="array" ref="O514">_xlfn.IFS(orders[[#This Row],[Customer Gender]]="M","Male", orders[[#This Row],[Customer Gender]]="F","Female", orders[[#This Row],[Customer Gender]]="O","Other", TRUE,"Unknown")</f>
        <v>Female</v>
      </c>
    </row>
    <row r="515" spans="1:15" x14ac:dyDescent="0.2">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f t="array" ref="O515">_xlfn.IFS(orders[[#This Row],[Customer Gender]]="M","Male", orders[[#This Row],[Customer Gender]]="F","Female", orders[[#This Row],[Customer Gender]]="O","Other", TRUE,"Unknown")</f>
        <v>Male</v>
      </c>
    </row>
    <row r="516" spans="1:15" x14ac:dyDescent="0.2">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f t="array" ref="O516">_xlfn.IFS(orders[[#This Row],[Customer Gender]]="M","Male", orders[[#This Row],[Customer Gender]]="F","Female", orders[[#This Row],[Customer Gender]]="O","Other", TRUE,"Unknown")</f>
        <v>Male</v>
      </c>
    </row>
    <row r="517" spans="1:15" x14ac:dyDescent="0.2">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f t="array" ref="O517">_xlfn.IFS(orders[[#This Row],[Customer Gender]]="M","Male", orders[[#This Row],[Customer Gender]]="F","Female", orders[[#This Row],[Customer Gender]]="O","Other", TRUE,"Unknown")</f>
        <v>Unknown</v>
      </c>
    </row>
    <row r="518" spans="1:15" x14ac:dyDescent="0.2">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f t="array" ref="O518">_xlfn.IFS(orders[[#This Row],[Customer Gender]]="M","Male", orders[[#This Row],[Customer Gender]]="F","Female", orders[[#This Row],[Customer Gender]]="O","Other", TRUE,"Unknown")</f>
        <v>Female</v>
      </c>
    </row>
    <row r="519" spans="1:15" x14ac:dyDescent="0.2">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f t="array" ref="O519">_xlfn.IFS(orders[[#This Row],[Customer Gender]]="M","Male", orders[[#This Row],[Customer Gender]]="F","Female", orders[[#This Row],[Customer Gender]]="O","Other", TRUE,"Unknown")</f>
        <v>Female</v>
      </c>
    </row>
    <row r="520" spans="1:15" x14ac:dyDescent="0.2">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f t="array" ref="O520">_xlfn.IFS(orders[[#This Row],[Customer Gender]]="M","Male", orders[[#This Row],[Customer Gender]]="F","Female", orders[[#This Row],[Customer Gender]]="O","Other", TRUE,"Unknown")</f>
        <v>Female</v>
      </c>
    </row>
    <row r="521" spans="1:15" x14ac:dyDescent="0.2">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f t="array" ref="O521">_xlfn.IFS(orders[[#This Row],[Customer Gender]]="M","Male", orders[[#This Row],[Customer Gender]]="F","Female", orders[[#This Row],[Customer Gender]]="O","Other", TRUE,"Unknown")</f>
        <v>Female</v>
      </c>
    </row>
    <row r="522" spans="1:15" x14ac:dyDescent="0.2">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f t="array" ref="O522">_xlfn.IFS(orders[[#This Row],[Customer Gender]]="M","Male", orders[[#This Row],[Customer Gender]]="F","Female", orders[[#This Row],[Customer Gender]]="O","Other", TRUE,"Unknown")</f>
        <v>Male</v>
      </c>
    </row>
    <row r="523" spans="1:15" x14ac:dyDescent="0.2">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f t="array" ref="O523">_xlfn.IFS(orders[[#This Row],[Customer Gender]]="M","Male", orders[[#This Row],[Customer Gender]]="F","Female", orders[[#This Row],[Customer Gender]]="O","Other", TRUE,"Unknown")</f>
        <v>Female</v>
      </c>
    </row>
    <row r="524" spans="1:15" x14ac:dyDescent="0.2">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f t="array" ref="O524">_xlfn.IFS(orders[[#This Row],[Customer Gender]]="M","Male", orders[[#This Row],[Customer Gender]]="F","Female", orders[[#This Row],[Customer Gender]]="O","Other", TRUE,"Unknown")</f>
        <v>Unknown</v>
      </c>
    </row>
    <row r="525" spans="1:15" x14ac:dyDescent="0.2">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f t="array" ref="O525">_xlfn.IFS(orders[[#This Row],[Customer Gender]]="M","Male", orders[[#This Row],[Customer Gender]]="F","Female", orders[[#This Row],[Customer Gender]]="O","Other", TRUE,"Unknown")</f>
        <v>Female</v>
      </c>
    </row>
    <row r="526" spans="1:15" x14ac:dyDescent="0.2">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f t="array" ref="O526">_xlfn.IFS(orders[[#This Row],[Customer Gender]]="M","Male", orders[[#This Row],[Customer Gender]]="F","Female", orders[[#This Row],[Customer Gender]]="O","Other", TRUE,"Unknown")</f>
        <v>Female</v>
      </c>
    </row>
    <row r="527" spans="1:15" x14ac:dyDescent="0.2">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f t="array" ref="O527">_xlfn.IFS(orders[[#This Row],[Customer Gender]]="M","Male", orders[[#This Row],[Customer Gender]]="F","Female", orders[[#This Row],[Customer Gender]]="O","Other", TRUE,"Unknown")</f>
        <v>Male</v>
      </c>
    </row>
    <row r="528" spans="1:15" x14ac:dyDescent="0.2">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f t="array" ref="O528">_xlfn.IFS(orders[[#This Row],[Customer Gender]]="M","Male", orders[[#This Row],[Customer Gender]]="F","Female", orders[[#This Row],[Customer Gender]]="O","Other", TRUE,"Unknown")</f>
        <v>Male</v>
      </c>
    </row>
    <row r="529" spans="1:15" x14ac:dyDescent="0.2">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f t="array" ref="O529">_xlfn.IFS(orders[[#This Row],[Customer Gender]]="M","Male", orders[[#This Row],[Customer Gender]]="F","Female", orders[[#This Row],[Customer Gender]]="O","Other", TRUE,"Unknown")</f>
        <v>Female</v>
      </c>
    </row>
    <row r="530" spans="1:15" x14ac:dyDescent="0.2">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f t="array" ref="O530">_xlfn.IFS(orders[[#This Row],[Customer Gender]]="M","Male", orders[[#This Row],[Customer Gender]]="F","Female", orders[[#This Row],[Customer Gender]]="O","Other", TRUE,"Unknown")</f>
        <v>Female</v>
      </c>
    </row>
    <row r="531" spans="1:15" x14ac:dyDescent="0.2">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f t="array" ref="O531">_xlfn.IFS(orders[[#This Row],[Customer Gender]]="M","Male", orders[[#This Row],[Customer Gender]]="F","Female", orders[[#This Row],[Customer Gender]]="O","Other", TRUE,"Unknown")</f>
        <v>Female</v>
      </c>
    </row>
    <row r="532" spans="1:15" x14ac:dyDescent="0.2">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f t="array" ref="O532">_xlfn.IFS(orders[[#This Row],[Customer Gender]]="M","Male", orders[[#This Row],[Customer Gender]]="F","Female", orders[[#This Row],[Customer Gender]]="O","Other", TRUE,"Unknown")</f>
        <v>Female</v>
      </c>
    </row>
    <row r="533" spans="1:15" x14ac:dyDescent="0.2">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f t="array" ref="O533">_xlfn.IFS(orders[[#This Row],[Customer Gender]]="M","Male", orders[[#This Row],[Customer Gender]]="F","Female", orders[[#This Row],[Customer Gender]]="O","Other", TRUE,"Unknown")</f>
        <v>Female</v>
      </c>
    </row>
    <row r="534" spans="1:15" x14ac:dyDescent="0.2">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f t="array" ref="O534">_xlfn.IFS(orders[[#This Row],[Customer Gender]]="M","Male", orders[[#This Row],[Customer Gender]]="F","Female", orders[[#This Row],[Customer Gender]]="O","Other", TRUE,"Unknown")</f>
        <v>Female</v>
      </c>
    </row>
    <row r="535" spans="1:15" x14ac:dyDescent="0.2">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f t="array" ref="O535">_xlfn.IFS(orders[[#This Row],[Customer Gender]]="M","Male", orders[[#This Row],[Customer Gender]]="F","Female", orders[[#This Row],[Customer Gender]]="O","Other", TRUE,"Unknown")</f>
        <v>Female</v>
      </c>
    </row>
    <row r="536" spans="1:15" x14ac:dyDescent="0.2">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f t="array" ref="O536">_xlfn.IFS(orders[[#This Row],[Customer Gender]]="M","Male", orders[[#This Row],[Customer Gender]]="F","Female", orders[[#This Row],[Customer Gender]]="O","Other", TRUE,"Unknown")</f>
        <v>Female</v>
      </c>
    </row>
    <row r="537" spans="1:15" x14ac:dyDescent="0.2">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f t="array" ref="O537">_xlfn.IFS(orders[[#This Row],[Customer Gender]]="M","Male", orders[[#This Row],[Customer Gender]]="F","Female", orders[[#This Row],[Customer Gender]]="O","Other", TRUE,"Unknown")</f>
        <v>Female</v>
      </c>
    </row>
    <row r="538" spans="1:15" x14ac:dyDescent="0.2">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f t="array" ref="O538">_xlfn.IFS(orders[[#This Row],[Customer Gender]]="M","Male", orders[[#This Row],[Customer Gender]]="F","Female", orders[[#This Row],[Customer Gender]]="O","Other", TRUE,"Unknown")</f>
        <v>Male</v>
      </c>
    </row>
    <row r="539" spans="1:15" x14ac:dyDescent="0.2">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f t="array" ref="O539">_xlfn.IFS(orders[[#This Row],[Customer Gender]]="M","Male", orders[[#This Row],[Customer Gender]]="F","Female", orders[[#This Row],[Customer Gender]]="O","Other", TRUE,"Unknown")</f>
        <v>Female</v>
      </c>
    </row>
    <row r="540" spans="1:15" x14ac:dyDescent="0.2">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f t="array" ref="O540">_xlfn.IFS(orders[[#This Row],[Customer Gender]]="M","Male", orders[[#This Row],[Customer Gender]]="F","Female", orders[[#This Row],[Customer Gender]]="O","Other", TRUE,"Unknown")</f>
        <v>Male</v>
      </c>
    </row>
    <row r="541" spans="1:15" x14ac:dyDescent="0.2">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f t="array" ref="O541">_xlfn.IFS(orders[[#This Row],[Customer Gender]]="M","Male", orders[[#This Row],[Customer Gender]]="F","Female", orders[[#This Row],[Customer Gender]]="O","Other", TRUE,"Unknown")</f>
        <v>Female</v>
      </c>
    </row>
    <row r="542" spans="1:15" x14ac:dyDescent="0.2">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f t="array" ref="O542">_xlfn.IFS(orders[[#This Row],[Customer Gender]]="M","Male", orders[[#This Row],[Customer Gender]]="F","Female", orders[[#This Row],[Customer Gender]]="O","Other", TRUE,"Unknown")</f>
        <v>Male</v>
      </c>
    </row>
    <row r="543" spans="1:15" x14ac:dyDescent="0.2">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f t="array" ref="O543">_xlfn.IFS(orders[[#This Row],[Customer Gender]]="M","Male", orders[[#This Row],[Customer Gender]]="F","Female", orders[[#This Row],[Customer Gender]]="O","Other", TRUE,"Unknown")</f>
        <v>Male</v>
      </c>
    </row>
    <row r="544" spans="1:15" x14ac:dyDescent="0.2">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f t="array" ref="O544">_xlfn.IFS(orders[[#This Row],[Customer Gender]]="M","Male", orders[[#This Row],[Customer Gender]]="F","Female", orders[[#This Row],[Customer Gender]]="O","Other", TRUE,"Unknown")</f>
        <v>Female</v>
      </c>
    </row>
    <row r="545" spans="1:15" x14ac:dyDescent="0.2">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f t="array" ref="O545">_xlfn.IFS(orders[[#This Row],[Customer Gender]]="M","Male", orders[[#This Row],[Customer Gender]]="F","Female", orders[[#This Row],[Customer Gender]]="O","Other", TRUE,"Unknown")</f>
        <v>Female</v>
      </c>
    </row>
    <row r="546" spans="1:15" x14ac:dyDescent="0.2">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f t="array" ref="O546">_xlfn.IFS(orders[[#This Row],[Customer Gender]]="M","Male", orders[[#This Row],[Customer Gender]]="F","Female", orders[[#This Row],[Customer Gender]]="O","Other", TRUE,"Unknown")</f>
        <v>Female</v>
      </c>
    </row>
    <row r="547" spans="1:15" x14ac:dyDescent="0.2">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f t="array" ref="O547">_xlfn.IFS(orders[[#This Row],[Customer Gender]]="M","Male", orders[[#This Row],[Customer Gender]]="F","Female", orders[[#This Row],[Customer Gender]]="O","Other", TRUE,"Unknown")</f>
        <v>Female</v>
      </c>
    </row>
    <row r="548" spans="1:15" x14ac:dyDescent="0.2">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f t="array" ref="O548">_xlfn.IFS(orders[[#This Row],[Customer Gender]]="M","Male", orders[[#This Row],[Customer Gender]]="F","Female", orders[[#This Row],[Customer Gender]]="O","Other", TRUE,"Unknown")</f>
        <v>Unknown</v>
      </c>
    </row>
    <row r="549" spans="1:15" x14ac:dyDescent="0.2">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f t="array" ref="O549">_xlfn.IFS(orders[[#This Row],[Customer Gender]]="M","Male", orders[[#This Row],[Customer Gender]]="F","Female", orders[[#This Row],[Customer Gender]]="O","Other", TRUE,"Unknown")</f>
        <v>Male</v>
      </c>
    </row>
    <row r="550" spans="1:15" x14ac:dyDescent="0.2">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f t="array" ref="O550">_xlfn.IFS(orders[[#This Row],[Customer Gender]]="M","Male", orders[[#This Row],[Customer Gender]]="F","Female", orders[[#This Row],[Customer Gender]]="O","Other", TRUE,"Unknown")</f>
        <v>Female</v>
      </c>
    </row>
    <row r="551" spans="1:15" x14ac:dyDescent="0.2">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f t="array" ref="O551">_xlfn.IFS(orders[[#This Row],[Customer Gender]]="M","Male", orders[[#This Row],[Customer Gender]]="F","Female", orders[[#This Row],[Customer Gender]]="O","Other", TRUE,"Unknown")</f>
        <v>Other</v>
      </c>
    </row>
    <row r="552" spans="1:15" x14ac:dyDescent="0.2">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f t="array" ref="O552">_xlfn.IFS(orders[[#This Row],[Customer Gender]]="M","Male", orders[[#This Row],[Customer Gender]]="F","Female", orders[[#This Row],[Customer Gender]]="O","Other", TRUE,"Unknown")</f>
        <v>Male</v>
      </c>
    </row>
    <row r="553" spans="1:15" x14ac:dyDescent="0.2">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f t="array" ref="O553">_xlfn.IFS(orders[[#This Row],[Customer Gender]]="M","Male", orders[[#This Row],[Customer Gender]]="F","Female", orders[[#This Row],[Customer Gender]]="O","Other", TRUE,"Unknown")</f>
        <v>Female</v>
      </c>
    </row>
    <row r="554" spans="1:15" x14ac:dyDescent="0.2">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f t="array" ref="O554">_xlfn.IFS(orders[[#This Row],[Customer Gender]]="M","Male", orders[[#This Row],[Customer Gender]]="F","Female", orders[[#This Row],[Customer Gender]]="O","Other", TRUE,"Unknown")</f>
        <v>Female</v>
      </c>
    </row>
    <row r="555" spans="1:15" x14ac:dyDescent="0.2">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f t="array" ref="O555">_xlfn.IFS(orders[[#This Row],[Customer Gender]]="M","Male", orders[[#This Row],[Customer Gender]]="F","Female", orders[[#This Row],[Customer Gender]]="O","Other", TRUE,"Unknown")</f>
        <v>Female</v>
      </c>
    </row>
    <row r="556" spans="1:15" x14ac:dyDescent="0.2">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f t="array" ref="O556">_xlfn.IFS(orders[[#This Row],[Customer Gender]]="M","Male", orders[[#This Row],[Customer Gender]]="F","Female", orders[[#This Row],[Customer Gender]]="O","Other", TRUE,"Unknown")</f>
        <v>Female</v>
      </c>
    </row>
    <row r="557" spans="1:15" x14ac:dyDescent="0.2">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f t="array" ref="O557">_xlfn.IFS(orders[[#This Row],[Customer Gender]]="M","Male", orders[[#This Row],[Customer Gender]]="F","Female", orders[[#This Row],[Customer Gender]]="O","Other", TRUE,"Unknown")</f>
        <v>Female</v>
      </c>
    </row>
    <row r="558" spans="1:15" x14ac:dyDescent="0.2">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f t="array" ref="O558">_xlfn.IFS(orders[[#This Row],[Customer Gender]]="M","Male", orders[[#This Row],[Customer Gender]]="F","Female", orders[[#This Row],[Customer Gender]]="O","Other", TRUE,"Unknown")</f>
        <v>Female</v>
      </c>
    </row>
    <row r="559" spans="1:15" x14ac:dyDescent="0.2">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f t="array" ref="O559">_xlfn.IFS(orders[[#This Row],[Customer Gender]]="M","Male", orders[[#This Row],[Customer Gender]]="F","Female", orders[[#This Row],[Customer Gender]]="O","Other", TRUE,"Unknown")</f>
        <v>Female</v>
      </c>
    </row>
    <row r="560" spans="1:15" x14ac:dyDescent="0.2">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f t="array" ref="O560">_xlfn.IFS(orders[[#This Row],[Customer Gender]]="M","Male", orders[[#This Row],[Customer Gender]]="F","Female", orders[[#This Row],[Customer Gender]]="O","Other", TRUE,"Unknown")</f>
        <v>Male</v>
      </c>
    </row>
    <row r="561" spans="1:15" x14ac:dyDescent="0.2">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f t="array" ref="O561">_xlfn.IFS(orders[[#This Row],[Customer Gender]]="M","Male", orders[[#This Row],[Customer Gender]]="F","Female", orders[[#This Row],[Customer Gender]]="O","Other", TRUE,"Unknown")</f>
        <v>Male</v>
      </c>
    </row>
    <row r="562" spans="1:15" x14ac:dyDescent="0.2">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f t="array" ref="O562">_xlfn.IFS(orders[[#This Row],[Customer Gender]]="M","Male", orders[[#This Row],[Customer Gender]]="F","Female", orders[[#This Row],[Customer Gender]]="O","Other", TRUE,"Unknown")</f>
        <v>Female</v>
      </c>
    </row>
    <row r="563" spans="1:15" x14ac:dyDescent="0.2">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f t="array" ref="O563">_xlfn.IFS(orders[[#This Row],[Customer Gender]]="M","Male", orders[[#This Row],[Customer Gender]]="F","Female", orders[[#This Row],[Customer Gender]]="O","Other", TRUE,"Unknown")</f>
        <v>Male</v>
      </c>
    </row>
    <row r="564" spans="1:15" x14ac:dyDescent="0.2">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f t="array" ref="O564">_xlfn.IFS(orders[[#This Row],[Customer Gender]]="M","Male", orders[[#This Row],[Customer Gender]]="F","Female", orders[[#This Row],[Customer Gender]]="O","Other", TRUE,"Unknown")</f>
        <v>Male</v>
      </c>
    </row>
    <row r="565" spans="1:15" x14ac:dyDescent="0.2">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f t="array" ref="O565">_xlfn.IFS(orders[[#This Row],[Customer Gender]]="M","Male", orders[[#This Row],[Customer Gender]]="F","Female", orders[[#This Row],[Customer Gender]]="O","Other", TRUE,"Unknown")</f>
        <v>Male</v>
      </c>
    </row>
    <row r="566" spans="1:15" x14ac:dyDescent="0.2">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f t="array" ref="O566">_xlfn.IFS(orders[[#This Row],[Customer Gender]]="M","Male", orders[[#This Row],[Customer Gender]]="F","Female", orders[[#This Row],[Customer Gender]]="O","Other", TRUE,"Unknown")</f>
        <v>Female</v>
      </c>
    </row>
    <row r="567" spans="1:15" x14ac:dyDescent="0.2">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f t="array" ref="O567">_xlfn.IFS(orders[[#This Row],[Customer Gender]]="M","Male", orders[[#This Row],[Customer Gender]]="F","Female", orders[[#This Row],[Customer Gender]]="O","Other", TRUE,"Unknown")</f>
        <v>Male</v>
      </c>
    </row>
    <row r="568" spans="1:15" x14ac:dyDescent="0.2">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f t="array" ref="O568">_xlfn.IFS(orders[[#This Row],[Customer Gender]]="M","Male", orders[[#This Row],[Customer Gender]]="F","Female", orders[[#This Row],[Customer Gender]]="O","Other", TRUE,"Unknown")</f>
        <v>Female</v>
      </c>
    </row>
    <row r="569" spans="1:15" x14ac:dyDescent="0.2">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f t="array" ref="O569">_xlfn.IFS(orders[[#This Row],[Customer Gender]]="M","Male", orders[[#This Row],[Customer Gender]]="F","Female", orders[[#This Row],[Customer Gender]]="O","Other", TRUE,"Unknown")</f>
        <v>Female</v>
      </c>
    </row>
    <row r="570" spans="1:15" x14ac:dyDescent="0.2">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f t="array" ref="O570">_xlfn.IFS(orders[[#This Row],[Customer Gender]]="M","Male", orders[[#This Row],[Customer Gender]]="F","Female", orders[[#This Row],[Customer Gender]]="O","Other", TRUE,"Unknown")</f>
        <v>Female</v>
      </c>
    </row>
    <row r="571" spans="1:15" x14ac:dyDescent="0.2">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f t="array" ref="O571">_xlfn.IFS(orders[[#This Row],[Customer Gender]]="M","Male", orders[[#This Row],[Customer Gender]]="F","Female", orders[[#This Row],[Customer Gender]]="O","Other", TRUE,"Unknown")</f>
        <v>Male</v>
      </c>
    </row>
    <row r="572" spans="1:15" x14ac:dyDescent="0.2">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f t="array" ref="O572">_xlfn.IFS(orders[[#This Row],[Customer Gender]]="M","Male", orders[[#This Row],[Customer Gender]]="F","Female", orders[[#This Row],[Customer Gender]]="O","Other", TRUE,"Unknown")</f>
        <v>Male</v>
      </c>
    </row>
    <row r="573" spans="1:15" x14ac:dyDescent="0.2">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f t="array" ref="O573">_xlfn.IFS(orders[[#This Row],[Customer Gender]]="M","Male", orders[[#This Row],[Customer Gender]]="F","Female", orders[[#This Row],[Customer Gender]]="O","Other", TRUE,"Unknown")</f>
        <v>Female</v>
      </c>
    </row>
    <row r="574" spans="1:15" x14ac:dyDescent="0.2">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f t="array" ref="O574">_xlfn.IFS(orders[[#This Row],[Customer Gender]]="M","Male", orders[[#This Row],[Customer Gender]]="F","Female", orders[[#This Row],[Customer Gender]]="O","Other", TRUE,"Unknown")</f>
        <v>Male</v>
      </c>
    </row>
    <row r="575" spans="1:15" x14ac:dyDescent="0.2">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f t="array" ref="O575">_xlfn.IFS(orders[[#This Row],[Customer Gender]]="M","Male", orders[[#This Row],[Customer Gender]]="F","Female", orders[[#This Row],[Customer Gender]]="O","Other", TRUE,"Unknown")</f>
        <v>Female</v>
      </c>
    </row>
    <row r="576" spans="1:15" x14ac:dyDescent="0.2">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f t="array" ref="O576">_xlfn.IFS(orders[[#This Row],[Customer Gender]]="M","Male", orders[[#This Row],[Customer Gender]]="F","Female", orders[[#This Row],[Customer Gender]]="O","Other", TRUE,"Unknown")</f>
        <v>Female</v>
      </c>
    </row>
    <row r="577" spans="1:15" x14ac:dyDescent="0.2">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f t="array" ref="O577">_xlfn.IFS(orders[[#This Row],[Customer Gender]]="M","Male", orders[[#This Row],[Customer Gender]]="F","Female", orders[[#This Row],[Customer Gender]]="O","Other", TRUE,"Unknown")</f>
        <v>Male</v>
      </c>
    </row>
    <row r="578" spans="1:15" x14ac:dyDescent="0.2">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f t="array" ref="O578">_xlfn.IFS(orders[[#This Row],[Customer Gender]]="M","Male", orders[[#This Row],[Customer Gender]]="F","Female", orders[[#This Row],[Customer Gender]]="O","Other", TRUE,"Unknown")</f>
        <v>Male</v>
      </c>
    </row>
    <row r="579" spans="1:15" x14ac:dyDescent="0.2">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f t="array" ref="O579">_xlfn.IFS(orders[[#This Row],[Customer Gender]]="M","Male", orders[[#This Row],[Customer Gender]]="F","Female", orders[[#This Row],[Customer Gender]]="O","Other", TRUE,"Unknown")</f>
        <v>Female</v>
      </c>
    </row>
    <row r="580" spans="1:15" x14ac:dyDescent="0.2">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f t="array" ref="O580">_xlfn.IFS(orders[[#This Row],[Customer Gender]]="M","Male", orders[[#This Row],[Customer Gender]]="F","Female", orders[[#This Row],[Customer Gender]]="O","Other", TRUE,"Unknown")</f>
        <v>Female</v>
      </c>
    </row>
    <row r="581" spans="1:15" x14ac:dyDescent="0.2">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f t="array" ref="O581">_xlfn.IFS(orders[[#This Row],[Customer Gender]]="M","Male", orders[[#This Row],[Customer Gender]]="F","Female", orders[[#This Row],[Customer Gender]]="O","Other", TRUE,"Unknown")</f>
        <v>Female</v>
      </c>
    </row>
    <row r="582" spans="1:15" x14ac:dyDescent="0.2">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f t="array" ref="O582">_xlfn.IFS(orders[[#This Row],[Customer Gender]]="M","Male", orders[[#This Row],[Customer Gender]]="F","Female", orders[[#This Row],[Customer Gender]]="O","Other", TRUE,"Unknown")</f>
        <v>Female</v>
      </c>
    </row>
    <row r="583" spans="1:15" x14ac:dyDescent="0.2">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f t="array" ref="O583">_xlfn.IFS(orders[[#This Row],[Customer Gender]]="M","Male", orders[[#This Row],[Customer Gender]]="F","Female", orders[[#This Row],[Customer Gender]]="O","Other", TRUE,"Unknown")</f>
        <v>Female</v>
      </c>
    </row>
    <row r="584" spans="1:15" x14ac:dyDescent="0.2">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f t="array" ref="O584">_xlfn.IFS(orders[[#This Row],[Customer Gender]]="M","Male", orders[[#This Row],[Customer Gender]]="F","Female", orders[[#This Row],[Customer Gender]]="O","Other", TRUE,"Unknown")</f>
        <v>Female</v>
      </c>
    </row>
    <row r="585" spans="1:15" x14ac:dyDescent="0.2">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f t="array" ref="O585">_xlfn.IFS(orders[[#This Row],[Customer Gender]]="M","Male", orders[[#This Row],[Customer Gender]]="F","Female", orders[[#This Row],[Customer Gender]]="O","Other", TRUE,"Unknown")</f>
        <v>Male</v>
      </c>
    </row>
    <row r="586" spans="1:15" x14ac:dyDescent="0.2">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f t="array" ref="O586">_xlfn.IFS(orders[[#This Row],[Customer Gender]]="M","Male", orders[[#This Row],[Customer Gender]]="F","Female", orders[[#This Row],[Customer Gender]]="O","Other", TRUE,"Unknown")</f>
        <v>Female</v>
      </c>
    </row>
    <row r="587" spans="1:15" x14ac:dyDescent="0.2">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f t="array" ref="O587">_xlfn.IFS(orders[[#This Row],[Customer Gender]]="M","Male", orders[[#This Row],[Customer Gender]]="F","Female", orders[[#This Row],[Customer Gender]]="O","Other", TRUE,"Unknown")</f>
        <v>Female</v>
      </c>
    </row>
    <row r="588" spans="1:15" x14ac:dyDescent="0.2">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f t="array" ref="O588">_xlfn.IFS(orders[[#This Row],[Customer Gender]]="M","Male", orders[[#This Row],[Customer Gender]]="F","Female", orders[[#This Row],[Customer Gender]]="O","Other", TRUE,"Unknown")</f>
        <v>Female</v>
      </c>
    </row>
    <row r="589" spans="1:15" x14ac:dyDescent="0.2">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f t="array" ref="O589">_xlfn.IFS(orders[[#This Row],[Customer Gender]]="M","Male", orders[[#This Row],[Customer Gender]]="F","Female", orders[[#This Row],[Customer Gender]]="O","Other", TRUE,"Unknown")</f>
        <v>Male</v>
      </c>
    </row>
    <row r="590" spans="1:15" x14ac:dyDescent="0.2">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f t="array" ref="O590">_xlfn.IFS(orders[[#This Row],[Customer Gender]]="M","Male", orders[[#This Row],[Customer Gender]]="F","Female", orders[[#This Row],[Customer Gender]]="O","Other", TRUE,"Unknown")</f>
        <v>Female</v>
      </c>
    </row>
    <row r="591" spans="1:15" x14ac:dyDescent="0.2">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f t="array" ref="O591">_xlfn.IFS(orders[[#This Row],[Customer Gender]]="M","Male", orders[[#This Row],[Customer Gender]]="F","Female", orders[[#This Row],[Customer Gender]]="O","Other", TRUE,"Unknown")</f>
        <v>Female</v>
      </c>
    </row>
    <row r="592" spans="1:15" x14ac:dyDescent="0.2">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f t="array" ref="O592">_xlfn.IFS(orders[[#This Row],[Customer Gender]]="M","Male", orders[[#This Row],[Customer Gender]]="F","Female", orders[[#This Row],[Customer Gender]]="O","Other", TRUE,"Unknown")</f>
        <v>Male</v>
      </c>
    </row>
    <row r="593" spans="1:15" x14ac:dyDescent="0.2">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f t="array" ref="O593">_xlfn.IFS(orders[[#This Row],[Customer Gender]]="M","Male", orders[[#This Row],[Customer Gender]]="F","Female", orders[[#This Row],[Customer Gender]]="O","Other", TRUE,"Unknown")</f>
        <v>Female</v>
      </c>
    </row>
    <row r="594" spans="1:15" x14ac:dyDescent="0.2">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f t="array" ref="O594">_xlfn.IFS(orders[[#This Row],[Customer Gender]]="M","Male", orders[[#This Row],[Customer Gender]]="F","Female", orders[[#This Row],[Customer Gender]]="O","Other", TRUE,"Unknown")</f>
        <v>Female</v>
      </c>
    </row>
    <row r="595" spans="1:15" x14ac:dyDescent="0.2">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f t="array" ref="O595">_xlfn.IFS(orders[[#This Row],[Customer Gender]]="M","Male", orders[[#This Row],[Customer Gender]]="F","Female", orders[[#This Row],[Customer Gender]]="O","Other", TRUE,"Unknown")</f>
        <v>Female</v>
      </c>
    </row>
    <row r="596" spans="1:15" x14ac:dyDescent="0.2">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f t="array" ref="O596">_xlfn.IFS(orders[[#This Row],[Customer Gender]]="M","Male", orders[[#This Row],[Customer Gender]]="F","Female", orders[[#This Row],[Customer Gender]]="O","Other", TRUE,"Unknown")</f>
        <v>Male</v>
      </c>
    </row>
    <row r="597" spans="1:15" x14ac:dyDescent="0.2">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f t="array" ref="O597">_xlfn.IFS(orders[[#This Row],[Customer Gender]]="M","Male", orders[[#This Row],[Customer Gender]]="F","Female", orders[[#This Row],[Customer Gender]]="O","Other", TRUE,"Unknown")</f>
        <v>Male</v>
      </c>
    </row>
    <row r="598" spans="1:15" x14ac:dyDescent="0.2">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f t="array" ref="O598">_xlfn.IFS(orders[[#This Row],[Customer Gender]]="M","Male", orders[[#This Row],[Customer Gender]]="F","Female", orders[[#This Row],[Customer Gender]]="O","Other", TRUE,"Unknown")</f>
        <v>Female</v>
      </c>
    </row>
    <row r="599" spans="1:15" x14ac:dyDescent="0.2">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f t="array" ref="O599">_xlfn.IFS(orders[[#This Row],[Customer Gender]]="M","Male", orders[[#This Row],[Customer Gender]]="F","Female", orders[[#This Row],[Customer Gender]]="O","Other", TRUE,"Unknown")</f>
        <v>Female</v>
      </c>
    </row>
    <row r="600" spans="1:15" x14ac:dyDescent="0.2">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f t="array" ref="O600">_xlfn.IFS(orders[[#This Row],[Customer Gender]]="M","Male", orders[[#This Row],[Customer Gender]]="F","Female", orders[[#This Row],[Customer Gender]]="O","Other", TRUE,"Unknown")</f>
        <v>Male</v>
      </c>
    </row>
    <row r="601" spans="1:15" x14ac:dyDescent="0.2">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f t="array" ref="O601">_xlfn.IFS(orders[[#This Row],[Customer Gender]]="M","Male", orders[[#This Row],[Customer Gender]]="F","Female", orders[[#This Row],[Customer Gender]]="O","Other", TRUE,"Unknown")</f>
        <v>Female</v>
      </c>
    </row>
    <row r="602" spans="1:15" x14ac:dyDescent="0.2">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f t="array" ref="O602">_xlfn.IFS(orders[[#This Row],[Customer Gender]]="M","Male", orders[[#This Row],[Customer Gender]]="F","Female", orders[[#This Row],[Customer Gender]]="O","Other", TRUE,"Unknown")</f>
        <v>Male</v>
      </c>
    </row>
    <row r="603" spans="1:15" x14ac:dyDescent="0.2">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f t="array" ref="O603">_xlfn.IFS(orders[[#This Row],[Customer Gender]]="M","Male", orders[[#This Row],[Customer Gender]]="F","Female", orders[[#This Row],[Customer Gender]]="O","Other", TRUE,"Unknown")</f>
        <v>Female</v>
      </c>
    </row>
    <row r="604" spans="1:15" x14ac:dyDescent="0.2">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f t="array" ref="O604">_xlfn.IFS(orders[[#This Row],[Customer Gender]]="M","Male", orders[[#This Row],[Customer Gender]]="F","Female", orders[[#This Row],[Customer Gender]]="O","Other", TRUE,"Unknown")</f>
        <v>Female</v>
      </c>
    </row>
    <row r="605" spans="1:15" x14ac:dyDescent="0.2">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f t="array" ref="O605">_xlfn.IFS(orders[[#This Row],[Customer Gender]]="M","Male", orders[[#This Row],[Customer Gender]]="F","Female", orders[[#This Row],[Customer Gender]]="O","Other", TRUE,"Unknown")</f>
        <v>Male</v>
      </c>
    </row>
    <row r="606" spans="1:15" x14ac:dyDescent="0.2">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f t="array" ref="O606">_xlfn.IFS(orders[[#This Row],[Customer Gender]]="M","Male", orders[[#This Row],[Customer Gender]]="F","Female", orders[[#This Row],[Customer Gender]]="O","Other", TRUE,"Unknown")</f>
        <v>Male</v>
      </c>
    </row>
    <row r="607" spans="1:15" x14ac:dyDescent="0.2">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f t="array" ref="O607">_xlfn.IFS(orders[[#This Row],[Customer Gender]]="M","Male", orders[[#This Row],[Customer Gender]]="F","Female", orders[[#This Row],[Customer Gender]]="O","Other", TRUE,"Unknown")</f>
        <v>Female</v>
      </c>
    </row>
    <row r="608" spans="1:15" x14ac:dyDescent="0.2">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f t="array" ref="O608">_xlfn.IFS(orders[[#This Row],[Customer Gender]]="M","Male", orders[[#This Row],[Customer Gender]]="F","Female", orders[[#This Row],[Customer Gender]]="O","Other", TRUE,"Unknown")</f>
        <v>Female</v>
      </c>
    </row>
    <row r="609" spans="1:15" x14ac:dyDescent="0.2">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f t="array" ref="O609">_xlfn.IFS(orders[[#This Row],[Customer Gender]]="M","Male", orders[[#This Row],[Customer Gender]]="F","Female", orders[[#This Row],[Customer Gender]]="O","Other", TRUE,"Unknown")</f>
        <v>Male</v>
      </c>
    </row>
    <row r="610" spans="1:15" x14ac:dyDescent="0.2">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f t="array" ref="O610">_xlfn.IFS(orders[[#This Row],[Customer Gender]]="M","Male", orders[[#This Row],[Customer Gender]]="F","Female", orders[[#This Row],[Customer Gender]]="O","Other", TRUE,"Unknown")</f>
        <v>Female</v>
      </c>
    </row>
    <row r="611" spans="1:15" x14ac:dyDescent="0.2">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f t="array" ref="O611">_xlfn.IFS(orders[[#This Row],[Customer Gender]]="M","Male", orders[[#This Row],[Customer Gender]]="F","Female", orders[[#This Row],[Customer Gender]]="O","Other", TRUE,"Unknown")</f>
        <v>Female</v>
      </c>
    </row>
    <row r="612" spans="1:15" x14ac:dyDescent="0.2">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f t="array" ref="O612">_xlfn.IFS(orders[[#This Row],[Customer Gender]]="M","Male", orders[[#This Row],[Customer Gender]]="F","Female", orders[[#This Row],[Customer Gender]]="O","Other", TRUE,"Unknown")</f>
        <v>Female</v>
      </c>
    </row>
    <row r="613" spans="1:15" x14ac:dyDescent="0.2">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f t="array" ref="O613">_xlfn.IFS(orders[[#This Row],[Customer Gender]]="M","Male", orders[[#This Row],[Customer Gender]]="F","Female", orders[[#This Row],[Customer Gender]]="O","Other", TRUE,"Unknown")</f>
        <v>Female</v>
      </c>
    </row>
    <row r="614" spans="1:15" x14ac:dyDescent="0.2">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f t="array" ref="O614">_xlfn.IFS(orders[[#This Row],[Customer Gender]]="M","Male", orders[[#This Row],[Customer Gender]]="F","Female", orders[[#This Row],[Customer Gender]]="O","Other", TRUE,"Unknown")</f>
        <v>Female</v>
      </c>
    </row>
    <row r="615" spans="1:15" x14ac:dyDescent="0.2">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f t="array" ref="O615">_xlfn.IFS(orders[[#This Row],[Customer Gender]]="M","Male", orders[[#This Row],[Customer Gender]]="F","Female", orders[[#This Row],[Customer Gender]]="O","Other", TRUE,"Unknown")</f>
        <v>Female</v>
      </c>
    </row>
    <row r="616" spans="1:15" x14ac:dyDescent="0.2">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f t="array" ref="O616">_xlfn.IFS(orders[[#This Row],[Customer Gender]]="M","Male", orders[[#This Row],[Customer Gender]]="F","Female", orders[[#This Row],[Customer Gender]]="O","Other", TRUE,"Unknown")</f>
        <v>Male</v>
      </c>
    </row>
    <row r="617" spans="1:15" x14ac:dyDescent="0.2">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f t="array" ref="O617">_xlfn.IFS(orders[[#This Row],[Customer Gender]]="M","Male", orders[[#This Row],[Customer Gender]]="F","Female", orders[[#This Row],[Customer Gender]]="O","Other", TRUE,"Unknown")</f>
        <v>Male</v>
      </c>
    </row>
    <row r="618" spans="1:15" x14ac:dyDescent="0.2">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f t="array" ref="O618">_xlfn.IFS(orders[[#This Row],[Customer Gender]]="M","Male", orders[[#This Row],[Customer Gender]]="F","Female", orders[[#This Row],[Customer Gender]]="O","Other", TRUE,"Unknown")</f>
        <v>Male</v>
      </c>
    </row>
    <row r="619" spans="1:15" x14ac:dyDescent="0.2">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f t="array" ref="O619">_xlfn.IFS(orders[[#This Row],[Customer Gender]]="M","Male", orders[[#This Row],[Customer Gender]]="F","Female", orders[[#This Row],[Customer Gender]]="O","Other", TRUE,"Unknown")</f>
        <v>Female</v>
      </c>
    </row>
    <row r="620" spans="1:15" x14ac:dyDescent="0.2">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f t="array" ref="O620">_xlfn.IFS(orders[[#This Row],[Customer Gender]]="M","Male", orders[[#This Row],[Customer Gender]]="F","Female", orders[[#This Row],[Customer Gender]]="O","Other", TRUE,"Unknown")</f>
        <v>Male</v>
      </c>
    </row>
    <row r="621" spans="1:15" x14ac:dyDescent="0.2">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f t="array" ref="O621">_xlfn.IFS(orders[[#This Row],[Customer Gender]]="M","Male", orders[[#This Row],[Customer Gender]]="F","Female", orders[[#This Row],[Customer Gender]]="O","Other", TRUE,"Unknown")</f>
        <v>Male</v>
      </c>
    </row>
    <row r="622" spans="1:15" x14ac:dyDescent="0.2">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f t="array" ref="O622">_xlfn.IFS(orders[[#This Row],[Customer Gender]]="M","Male", orders[[#This Row],[Customer Gender]]="F","Female", orders[[#This Row],[Customer Gender]]="O","Other", TRUE,"Unknown")</f>
        <v>Female</v>
      </c>
    </row>
    <row r="623" spans="1:15" x14ac:dyDescent="0.2">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f t="array" ref="O623">_xlfn.IFS(orders[[#This Row],[Customer Gender]]="M","Male", orders[[#This Row],[Customer Gender]]="F","Female", orders[[#This Row],[Customer Gender]]="O","Other", TRUE,"Unknown")</f>
        <v>Male</v>
      </c>
    </row>
    <row r="624" spans="1:15" x14ac:dyDescent="0.2">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f t="array" ref="O624">_xlfn.IFS(orders[[#This Row],[Customer Gender]]="M","Male", orders[[#This Row],[Customer Gender]]="F","Female", orders[[#This Row],[Customer Gender]]="O","Other", TRUE,"Unknown")</f>
        <v>Female</v>
      </c>
    </row>
    <row r="625" spans="1:15" x14ac:dyDescent="0.2">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f t="array" ref="O625">_xlfn.IFS(orders[[#This Row],[Customer Gender]]="M","Male", orders[[#This Row],[Customer Gender]]="F","Female", orders[[#This Row],[Customer Gender]]="O","Other", TRUE,"Unknown")</f>
        <v>Unknown</v>
      </c>
    </row>
    <row r="626" spans="1:15" x14ac:dyDescent="0.2">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f t="array" ref="O626">_xlfn.IFS(orders[[#This Row],[Customer Gender]]="M","Male", orders[[#This Row],[Customer Gender]]="F","Female", orders[[#This Row],[Customer Gender]]="O","Other", TRUE,"Unknown")</f>
        <v>Female</v>
      </c>
    </row>
    <row r="627" spans="1:15" x14ac:dyDescent="0.2">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f t="array" ref="O627">_xlfn.IFS(orders[[#This Row],[Customer Gender]]="M","Male", orders[[#This Row],[Customer Gender]]="F","Female", orders[[#This Row],[Customer Gender]]="O","Other", TRUE,"Unknown")</f>
        <v>Female</v>
      </c>
    </row>
    <row r="628" spans="1:15" x14ac:dyDescent="0.2">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f t="array" ref="O628">_xlfn.IFS(orders[[#This Row],[Customer Gender]]="M","Male", orders[[#This Row],[Customer Gender]]="F","Female", orders[[#This Row],[Customer Gender]]="O","Other", TRUE,"Unknown")</f>
        <v>Female</v>
      </c>
    </row>
    <row r="629" spans="1:15" x14ac:dyDescent="0.2">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f t="array" ref="O629">_xlfn.IFS(orders[[#This Row],[Customer Gender]]="M","Male", orders[[#This Row],[Customer Gender]]="F","Female", orders[[#This Row],[Customer Gender]]="O","Other", TRUE,"Unknown")</f>
        <v>Female</v>
      </c>
    </row>
    <row r="630" spans="1:15" x14ac:dyDescent="0.2">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f t="array" ref="O630">_xlfn.IFS(orders[[#This Row],[Customer Gender]]="M","Male", orders[[#This Row],[Customer Gender]]="F","Female", orders[[#This Row],[Customer Gender]]="O","Other", TRUE,"Unknown")</f>
        <v>Female</v>
      </c>
    </row>
    <row r="631" spans="1:15" x14ac:dyDescent="0.2">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f t="array" ref="O631">_xlfn.IFS(orders[[#This Row],[Customer Gender]]="M","Male", orders[[#This Row],[Customer Gender]]="F","Female", orders[[#This Row],[Customer Gender]]="O","Other", TRUE,"Unknown")</f>
        <v>Male</v>
      </c>
    </row>
    <row r="632" spans="1:15" x14ac:dyDescent="0.2">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f t="array" ref="O632">_xlfn.IFS(orders[[#This Row],[Customer Gender]]="M","Male", orders[[#This Row],[Customer Gender]]="F","Female", orders[[#This Row],[Customer Gender]]="O","Other", TRUE,"Unknown")</f>
        <v>Female</v>
      </c>
    </row>
    <row r="633" spans="1:15" x14ac:dyDescent="0.2">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f t="array" ref="O633">_xlfn.IFS(orders[[#This Row],[Customer Gender]]="M","Male", orders[[#This Row],[Customer Gender]]="F","Female", orders[[#This Row],[Customer Gender]]="O","Other", TRUE,"Unknown")</f>
        <v>Male</v>
      </c>
    </row>
    <row r="634" spans="1:15" x14ac:dyDescent="0.2">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f t="array" ref="O634">_xlfn.IFS(orders[[#This Row],[Customer Gender]]="M","Male", orders[[#This Row],[Customer Gender]]="F","Female", orders[[#This Row],[Customer Gender]]="O","Other", TRUE,"Unknown")</f>
        <v>Male</v>
      </c>
    </row>
    <row r="635" spans="1:15" x14ac:dyDescent="0.2">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f t="array" ref="O635">_xlfn.IFS(orders[[#This Row],[Customer Gender]]="M","Male", orders[[#This Row],[Customer Gender]]="F","Female", orders[[#This Row],[Customer Gender]]="O","Other", TRUE,"Unknown")</f>
        <v>Female</v>
      </c>
    </row>
    <row r="636" spans="1:15" x14ac:dyDescent="0.2">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f t="array" ref="O636">_xlfn.IFS(orders[[#This Row],[Customer Gender]]="M","Male", orders[[#This Row],[Customer Gender]]="F","Female", orders[[#This Row],[Customer Gender]]="O","Other", TRUE,"Unknown")</f>
        <v>Female</v>
      </c>
    </row>
    <row r="637" spans="1:15" x14ac:dyDescent="0.2">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f t="array" ref="O637">_xlfn.IFS(orders[[#This Row],[Customer Gender]]="M","Male", orders[[#This Row],[Customer Gender]]="F","Female", orders[[#This Row],[Customer Gender]]="O","Other", TRUE,"Unknown")</f>
        <v>Male</v>
      </c>
    </row>
    <row r="638" spans="1:15" x14ac:dyDescent="0.2">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f t="array" ref="O638">_xlfn.IFS(orders[[#This Row],[Customer Gender]]="M","Male", orders[[#This Row],[Customer Gender]]="F","Female", orders[[#This Row],[Customer Gender]]="O","Other", TRUE,"Unknown")</f>
        <v>Male</v>
      </c>
    </row>
    <row r="639" spans="1:15" x14ac:dyDescent="0.2">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f t="array" ref="O639">_xlfn.IFS(orders[[#This Row],[Customer Gender]]="M","Male", orders[[#This Row],[Customer Gender]]="F","Female", orders[[#This Row],[Customer Gender]]="O","Other", TRUE,"Unknown")</f>
        <v>Female</v>
      </c>
    </row>
    <row r="640" spans="1:15" x14ac:dyDescent="0.2">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f t="array" ref="O640">_xlfn.IFS(orders[[#This Row],[Customer Gender]]="M","Male", orders[[#This Row],[Customer Gender]]="F","Female", orders[[#This Row],[Customer Gender]]="O","Other", TRUE,"Unknown")</f>
        <v>Female</v>
      </c>
    </row>
    <row r="641" spans="1:15" x14ac:dyDescent="0.2">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f t="array" ref="O641">_xlfn.IFS(orders[[#This Row],[Customer Gender]]="M","Male", orders[[#This Row],[Customer Gender]]="F","Female", orders[[#This Row],[Customer Gender]]="O","Other", TRUE,"Unknown")</f>
        <v>Female</v>
      </c>
    </row>
    <row r="642" spans="1:15" x14ac:dyDescent="0.2">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f t="array" ref="O642">_xlfn.IFS(orders[[#This Row],[Customer Gender]]="M","Male", orders[[#This Row],[Customer Gender]]="F","Female", orders[[#This Row],[Customer Gender]]="O","Other", TRUE,"Unknown")</f>
        <v>Male</v>
      </c>
    </row>
    <row r="643" spans="1:15" x14ac:dyDescent="0.2">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f t="array" ref="O643">_xlfn.IFS(orders[[#This Row],[Customer Gender]]="M","Male", orders[[#This Row],[Customer Gender]]="F","Female", orders[[#This Row],[Customer Gender]]="O","Other", TRUE,"Unknown")</f>
        <v>Female</v>
      </c>
    </row>
    <row r="644" spans="1:15" x14ac:dyDescent="0.2">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f t="array" ref="O644">_xlfn.IFS(orders[[#This Row],[Customer Gender]]="M","Male", orders[[#This Row],[Customer Gender]]="F","Female", orders[[#This Row],[Customer Gender]]="O","Other", TRUE,"Unknown")</f>
        <v>Male</v>
      </c>
    </row>
    <row r="645" spans="1:15" x14ac:dyDescent="0.2">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f t="array" ref="O645">_xlfn.IFS(orders[[#This Row],[Customer Gender]]="M","Male", orders[[#This Row],[Customer Gender]]="F","Female", orders[[#This Row],[Customer Gender]]="O","Other", TRUE,"Unknown")</f>
        <v>Female</v>
      </c>
    </row>
    <row r="646" spans="1:15" x14ac:dyDescent="0.2">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f t="array" ref="O646">_xlfn.IFS(orders[[#This Row],[Customer Gender]]="M","Male", orders[[#This Row],[Customer Gender]]="F","Female", orders[[#This Row],[Customer Gender]]="O","Other", TRUE,"Unknown")</f>
        <v>Female</v>
      </c>
    </row>
    <row r="647" spans="1:15" x14ac:dyDescent="0.2">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f t="array" ref="O647">_xlfn.IFS(orders[[#This Row],[Customer Gender]]="M","Male", orders[[#This Row],[Customer Gender]]="F","Female", orders[[#This Row],[Customer Gender]]="O","Other", TRUE,"Unknown")</f>
        <v>Female</v>
      </c>
    </row>
    <row r="648" spans="1:15" x14ac:dyDescent="0.2">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f t="array" ref="O648">_xlfn.IFS(orders[[#This Row],[Customer Gender]]="M","Male", orders[[#This Row],[Customer Gender]]="F","Female", orders[[#This Row],[Customer Gender]]="O","Other", TRUE,"Unknown")</f>
        <v>Unknown</v>
      </c>
    </row>
    <row r="649" spans="1:15" x14ac:dyDescent="0.2">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f t="array" ref="O649">_xlfn.IFS(orders[[#This Row],[Customer Gender]]="M","Male", orders[[#This Row],[Customer Gender]]="F","Female", orders[[#This Row],[Customer Gender]]="O","Other", TRUE,"Unknown")</f>
        <v>Female</v>
      </c>
    </row>
    <row r="650" spans="1:15" x14ac:dyDescent="0.2">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f t="array" ref="O650">_xlfn.IFS(orders[[#This Row],[Customer Gender]]="M","Male", orders[[#This Row],[Customer Gender]]="F","Female", orders[[#This Row],[Customer Gender]]="O","Other", TRUE,"Unknown")</f>
        <v>Female</v>
      </c>
    </row>
    <row r="651" spans="1:15" x14ac:dyDescent="0.2">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f t="array" ref="O651">_xlfn.IFS(orders[[#This Row],[Customer Gender]]="M","Male", orders[[#This Row],[Customer Gender]]="F","Female", orders[[#This Row],[Customer Gender]]="O","Other", TRUE,"Unknown")</f>
        <v>Male</v>
      </c>
    </row>
    <row r="652" spans="1:15" x14ac:dyDescent="0.2">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f t="array" ref="O652">_xlfn.IFS(orders[[#This Row],[Customer Gender]]="M","Male", orders[[#This Row],[Customer Gender]]="F","Female", orders[[#This Row],[Customer Gender]]="O","Other", TRUE,"Unknown")</f>
        <v>Female</v>
      </c>
    </row>
    <row r="653" spans="1:15" x14ac:dyDescent="0.2">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f t="array" ref="O653">_xlfn.IFS(orders[[#This Row],[Customer Gender]]="M","Male", orders[[#This Row],[Customer Gender]]="F","Female", orders[[#This Row],[Customer Gender]]="O","Other", TRUE,"Unknown")</f>
        <v>Female</v>
      </c>
    </row>
    <row r="654" spans="1:15" x14ac:dyDescent="0.2">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f t="array" ref="O654">_xlfn.IFS(orders[[#This Row],[Customer Gender]]="M","Male", orders[[#This Row],[Customer Gender]]="F","Female", orders[[#This Row],[Customer Gender]]="O","Other", TRUE,"Unknown")</f>
        <v>Male</v>
      </c>
    </row>
    <row r="655" spans="1:15" x14ac:dyDescent="0.2">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f t="array" ref="O655">_xlfn.IFS(orders[[#This Row],[Customer Gender]]="M","Male", orders[[#This Row],[Customer Gender]]="F","Female", orders[[#This Row],[Customer Gender]]="O","Other", TRUE,"Unknown")</f>
        <v>Female</v>
      </c>
    </row>
    <row r="656" spans="1:15" x14ac:dyDescent="0.2">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f t="array" ref="O656">_xlfn.IFS(orders[[#This Row],[Customer Gender]]="M","Male", orders[[#This Row],[Customer Gender]]="F","Female", orders[[#This Row],[Customer Gender]]="O","Other", TRUE,"Unknown")</f>
        <v>Male</v>
      </c>
    </row>
    <row r="657" spans="1:15" x14ac:dyDescent="0.2">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f t="array" ref="O657">_xlfn.IFS(orders[[#This Row],[Customer Gender]]="M","Male", orders[[#This Row],[Customer Gender]]="F","Female", orders[[#This Row],[Customer Gender]]="O","Other", TRUE,"Unknown")</f>
        <v>Female</v>
      </c>
    </row>
    <row r="658" spans="1:15" x14ac:dyDescent="0.2">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f t="array" ref="O658">_xlfn.IFS(orders[[#This Row],[Customer Gender]]="M","Male", orders[[#This Row],[Customer Gender]]="F","Female", orders[[#This Row],[Customer Gender]]="O","Other", TRUE,"Unknown")</f>
        <v>Male</v>
      </c>
    </row>
    <row r="659" spans="1:15" x14ac:dyDescent="0.2">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f t="array" ref="O659">_xlfn.IFS(orders[[#This Row],[Customer Gender]]="M","Male", orders[[#This Row],[Customer Gender]]="F","Female", orders[[#This Row],[Customer Gender]]="O","Other", TRUE,"Unknown")</f>
        <v>Male</v>
      </c>
    </row>
    <row r="660" spans="1:15" x14ac:dyDescent="0.2">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f t="array" ref="O660">_xlfn.IFS(orders[[#This Row],[Customer Gender]]="M","Male", orders[[#This Row],[Customer Gender]]="F","Female", orders[[#This Row],[Customer Gender]]="O","Other", TRUE,"Unknown")</f>
        <v>Female</v>
      </c>
    </row>
    <row r="661" spans="1:15" x14ac:dyDescent="0.2">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f t="array" ref="O661">_xlfn.IFS(orders[[#This Row],[Customer Gender]]="M","Male", orders[[#This Row],[Customer Gender]]="F","Female", orders[[#This Row],[Customer Gender]]="O","Other", TRUE,"Unknown")</f>
        <v>Female</v>
      </c>
    </row>
    <row r="662" spans="1:15" x14ac:dyDescent="0.2">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f t="array" ref="O662">_xlfn.IFS(orders[[#This Row],[Customer Gender]]="M","Male", orders[[#This Row],[Customer Gender]]="F","Female", orders[[#This Row],[Customer Gender]]="O","Other", TRUE,"Unknown")</f>
        <v>Female</v>
      </c>
    </row>
    <row r="663" spans="1:15" x14ac:dyDescent="0.2">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f t="array" ref="O663">_xlfn.IFS(orders[[#This Row],[Customer Gender]]="M","Male", orders[[#This Row],[Customer Gender]]="F","Female", orders[[#This Row],[Customer Gender]]="O","Other", TRUE,"Unknown")</f>
        <v>Male</v>
      </c>
    </row>
    <row r="664" spans="1:15" x14ac:dyDescent="0.2">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f t="array" ref="O664">_xlfn.IFS(orders[[#This Row],[Customer Gender]]="M","Male", orders[[#This Row],[Customer Gender]]="F","Female", orders[[#This Row],[Customer Gender]]="O","Other", TRUE,"Unknown")</f>
        <v>Female</v>
      </c>
    </row>
    <row r="665" spans="1:15" x14ac:dyDescent="0.2">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f t="array" ref="O665">_xlfn.IFS(orders[[#This Row],[Customer Gender]]="M","Male", orders[[#This Row],[Customer Gender]]="F","Female", orders[[#This Row],[Customer Gender]]="O","Other", TRUE,"Unknown")</f>
        <v>Male</v>
      </c>
    </row>
    <row r="666" spans="1:15" x14ac:dyDescent="0.2">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f t="array" ref="O666">_xlfn.IFS(orders[[#This Row],[Customer Gender]]="M","Male", orders[[#This Row],[Customer Gender]]="F","Female", orders[[#This Row],[Customer Gender]]="O","Other", TRUE,"Unknown")</f>
        <v>Male</v>
      </c>
    </row>
    <row r="667" spans="1:15" x14ac:dyDescent="0.2">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f t="array" ref="O667">_xlfn.IFS(orders[[#This Row],[Customer Gender]]="M","Male", orders[[#This Row],[Customer Gender]]="F","Female", orders[[#This Row],[Customer Gender]]="O","Other", TRUE,"Unknown")</f>
        <v>Female</v>
      </c>
    </row>
    <row r="668" spans="1:15" x14ac:dyDescent="0.2">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f t="array" ref="O668">_xlfn.IFS(orders[[#This Row],[Customer Gender]]="M","Male", orders[[#This Row],[Customer Gender]]="F","Female", orders[[#This Row],[Customer Gender]]="O","Other", TRUE,"Unknown")</f>
        <v>Male</v>
      </c>
    </row>
    <row r="669" spans="1:15" x14ac:dyDescent="0.2">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f t="array" ref="O669">_xlfn.IFS(orders[[#This Row],[Customer Gender]]="M","Male", orders[[#This Row],[Customer Gender]]="F","Female", orders[[#This Row],[Customer Gender]]="O","Other", TRUE,"Unknown")</f>
        <v>Female</v>
      </c>
    </row>
    <row r="670" spans="1:15" x14ac:dyDescent="0.2">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f t="array" ref="O670">_xlfn.IFS(orders[[#This Row],[Customer Gender]]="M","Male", orders[[#This Row],[Customer Gender]]="F","Female", orders[[#This Row],[Customer Gender]]="O","Other", TRUE,"Unknown")</f>
        <v>Female</v>
      </c>
    </row>
    <row r="671" spans="1:15" x14ac:dyDescent="0.2">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f t="array" ref="O671">_xlfn.IFS(orders[[#This Row],[Customer Gender]]="M","Male", orders[[#This Row],[Customer Gender]]="F","Female", orders[[#This Row],[Customer Gender]]="O","Other", TRUE,"Unknown")</f>
        <v>Female</v>
      </c>
    </row>
    <row r="672" spans="1:15" x14ac:dyDescent="0.2">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f t="array" ref="O672">_xlfn.IFS(orders[[#This Row],[Customer Gender]]="M","Male", orders[[#This Row],[Customer Gender]]="F","Female", orders[[#This Row],[Customer Gender]]="O","Other", TRUE,"Unknown")</f>
        <v>Female</v>
      </c>
    </row>
    <row r="673" spans="1:15" x14ac:dyDescent="0.2">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f t="array" ref="O673">_xlfn.IFS(orders[[#This Row],[Customer Gender]]="M","Male", orders[[#This Row],[Customer Gender]]="F","Female", orders[[#This Row],[Customer Gender]]="O","Other", TRUE,"Unknown")</f>
        <v>Female</v>
      </c>
    </row>
    <row r="674" spans="1:15" x14ac:dyDescent="0.2">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f t="array" ref="O674">_xlfn.IFS(orders[[#This Row],[Customer Gender]]="M","Male", orders[[#This Row],[Customer Gender]]="F","Female", orders[[#This Row],[Customer Gender]]="O","Other", TRUE,"Unknown")</f>
        <v>Female</v>
      </c>
    </row>
    <row r="675" spans="1:15" x14ac:dyDescent="0.2">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f t="array" ref="O675">_xlfn.IFS(orders[[#This Row],[Customer Gender]]="M","Male", orders[[#This Row],[Customer Gender]]="F","Female", orders[[#This Row],[Customer Gender]]="O","Other", TRUE,"Unknown")</f>
        <v>Unknown</v>
      </c>
    </row>
    <row r="676" spans="1:15" x14ac:dyDescent="0.2">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f t="array" ref="O676">_xlfn.IFS(orders[[#This Row],[Customer Gender]]="M","Male", orders[[#This Row],[Customer Gender]]="F","Female", orders[[#This Row],[Customer Gender]]="O","Other", TRUE,"Unknown")</f>
        <v>Female</v>
      </c>
    </row>
    <row r="677" spans="1:15" x14ac:dyDescent="0.2">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f t="array" ref="O677">_xlfn.IFS(orders[[#This Row],[Customer Gender]]="M","Male", orders[[#This Row],[Customer Gender]]="F","Female", orders[[#This Row],[Customer Gender]]="O","Other", TRUE,"Unknown")</f>
        <v>Female</v>
      </c>
    </row>
    <row r="678" spans="1:15" x14ac:dyDescent="0.2">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f t="array" ref="O678">_xlfn.IFS(orders[[#This Row],[Customer Gender]]="M","Male", orders[[#This Row],[Customer Gender]]="F","Female", orders[[#This Row],[Customer Gender]]="O","Other", TRUE,"Unknown")</f>
        <v>Male</v>
      </c>
    </row>
    <row r="679" spans="1:15" x14ac:dyDescent="0.2">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f t="array" ref="O679">_xlfn.IFS(orders[[#This Row],[Customer Gender]]="M","Male", orders[[#This Row],[Customer Gender]]="F","Female", orders[[#This Row],[Customer Gender]]="O","Other", TRUE,"Unknown")</f>
        <v>Female</v>
      </c>
    </row>
    <row r="680" spans="1:15" x14ac:dyDescent="0.2">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f t="array" ref="O680">_xlfn.IFS(orders[[#This Row],[Customer Gender]]="M","Male", orders[[#This Row],[Customer Gender]]="F","Female", orders[[#This Row],[Customer Gender]]="O","Other", TRUE,"Unknown")</f>
        <v>Female</v>
      </c>
    </row>
    <row r="681" spans="1:15" x14ac:dyDescent="0.2">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f t="array" ref="O681">_xlfn.IFS(orders[[#This Row],[Customer Gender]]="M","Male", orders[[#This Row],[Customer Gender]]="F","Female", orders[[#This Row],[Customer Gender]]="O","Other", TRUE,"Unknown")</f>
        <v>Female</v>
      </c>
    </row>
    <row r="682" spans="1:15" x14ac:dyDescent="0.2">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f t="array" ref="O682">_xlfn.IFS(orders[[#This Row],[Customer Gender]]="M","Male", orders[[#This Row],[Customer Gender]]="F","Female", orders[[#This Row],[Customer Gender]]="O","Other", TRUE,"Unknown")</f>
        <v>Female</v>
      </c>
    </row>
    <row r="683" spans="1:15" x14ac:dyDescent="0.2">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f t="array" ref="O683">_xlfn.IFS(orders[[#This Row],[Customer Gender]]="M","Male", orders[[#This Row],[Customer Gender]]="F","Female", orders[[#This Row],[Customer Gender]]="O","Other", TRUE,"Unknown")</f>
        <v>Female</v>
      </c>
    </row>
    <row r="684" spans="1:15" x14ac:dyDescent="0.2">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f t="array" ref="O684">_xlfn.IFS(orders[[#This Row],[Customer Gender]]="M","Male", orders[[#This Row],[Customer Gender]]="F","Female", orders[[#This Row],[Customer Gender]]="O","Other", TRUE,"Unknown")</f>
        <v>Male</v>
      </c>
    </row>
    <row r="685" spans="1:15" x14ac:dyDescent="0.2">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f t="array" ref="O685">_xlfn.IFS(orders[[#This Row],[Customer Gender]]="M","Male", orders[[#This Row],[Customer Gender]]="F","Female", orders[[#This Row],[Customer Gender]]="O","Other", TRUE,"Unknown")</f>
        <v>Male</v>
      </c>
    </row>
    <row r="686" spans="1:15" x14ac:dyDescent="0.2">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f t="array" ref="O686">_xlfn.IFS(orders[[#This Row],[Customer Gender]]="M","Male", orders[[#This Row],[Customer Gender]]="F","Female", orders[[#This Row],[Customer Gender]]="O","Other", TRUE,"Unknown")</f>
        <v>Male</v>
      </c>
    </row>
    <row r="687" spans="1:15" x14ac:dyDescent="0.2">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f t="array" ref="O687">_xlfn.IFS(orders[[#This Row],[Customer Gender]]="M","Male", orders[[#This Row],[Customer Gender]]="F","Female", orders[[#This Row],[Customer Gender]]="O","Other", TRUE,"Unknown")</f>
        <v>Female</v>
      </c>
    </row>
    <row r="688" spans="1:15" x14ac:dyDescent="0.2">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f t="array" ref="O688">_xlfn.IFS(orders[[#This Row],[Customer Gender]]="M","Male", orders[[#This Row],[Customer Gender]]="F","Female", orders[[#This Row],[Customer Gender]]="O","Other", TRUE,"Unknown")</f>
        <v>Female</v>
      </c>
    </row>
    <row r="689" spans="1:15" x14ac:dyDescent="0.2">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f t="array" ref="O689">_xlfn.IFS(orders[[#This Row],[Customer Gender]]="M","Male", orders[[#This Row],[Customer Gender]]="F","Female", orders[[#This Row],[Customer Gender]]="O","Other", TRUE,"Unknown")</f>
        <v>Female</v>
      </c>
    </row>
    <row r="690" spans="1:15" x14ac:dyDescent="0.2">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f t="array" ref="O690">_xlfn.IFS(orders[[#This Row],[Customer Gender]]="M","Male", orders[[#This Row],[Customer Gender]]="F","Female", orders[[#This Row],[Customer Gender]]="O","Other", TRUE,"Unknown")</f>
        <v>Female</v>
      </c>
    </row>
    <row r="691" spans="1:15" x14ac:dyDescent="0.2">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f t="array" ref="O691">_xlfn.IFS(orders[[#This Row],[Customer Gender]]="M","Male", orders[[#This Row],[Customer Gender]]="F","Female", orders[[#This Row],[Customer Gender]]="O","Other", TRUE,"Unknown")</f>
        <v>Unknown</v>
      </c>
    </row>
    <row r="692" spans="1:15" x14ac:dyDescent="0.2">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f t="array" ref="O692">_xlfn.IFS(orders[[#This Row],[Customer Gender]]="M","Male", orders[[#This Row],[Customer Gender]]="F","Female", orders[[#This Row],[Customer Gender]]="O","Other", TRUE,"Unknown")</f>
        <v>Male</v>
      </c>
    </row>
    <row r="693" spans="1:15" x14ac:dyDescent="0.2">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f t="array" ref="O693">_xlfn.IFS(orders[[#This Row],[Customer Gender]]="M","Male", orders[[#This Row],[Customer Gender]]="F","Female", orders[[#This Row],[Customer Gender]]="O","Other", TRUE,"Unknown")</f>
        <v>Female</v>
      </c>
    </row>
    <row r="694" spans="1:15" x14ac:dyDescent="0.2">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f t="array" ref="O694">_xlfn.IFS(orders[[#This Row],[Customer Gender]]="M","Male", orders[[#This Row],[Customer Gender]]="F","Female", orders[[#This Row],[Customer Gender]]="O","Other", TRUE,"Unknown")</f>
        <v>Male</v>
      </c>
    </row>
    <row r="695" spans="1:15" x14ac:dyDescent="0.2">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f t="array" ref="O695">_xlfn.IFS(orders[[#This Row],[Customer Gender]]="M","Male", orders[[#This Row],[Customer Gender]]="F","Female", orders[[#This Row],[Customer Gender]]="O","Other", TRUE,"Unknown")</f>
        <v>Male</v>
      </c>
    </row>
    <row r="696" spans="1:15" x14ac:dyDescent="0.2">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f t="array" ref="O696">_xlfn.IFS(orders[[#This Row],[Customer Gender]]="M","Male", orders[[#This Row],[Customer Gender]]="F","Female", orders[[#This Row],[Customer Gender]]="O","Other", TRUE,"Unknown")</f>
        <v>Male</v>
      </c>
    </row>
    <row r="697" spans="1:15" x14ac:dyDescent="0.2">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f t="array" ref="O697">_xlfn.IFS(orders[[#This Row],[Customer Gender]]="M","Male", orders[[#This Row],[Customer Gender]]="F","Female", orders[[#This Row],[Customer Gender]]="O","Other", TRUE,"Unknown")</f>
        <v>Female</v>
      </c>
    </row>
    <row r="698" spans="1:15" x14ac:dyDescent="0.2">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f t="array" ref="O698">_xlfn.IFS(orders[[#This Row],[Customer Gender]]="M","Male", orders[[#This Row],[Customer Gender]]="F","Female", orders[[#This Row],[Customer Gender]]="O","Other", TRUE,"Unknown")</f>
        <v>Female</v>
      </c>
    </row>
    <row r="699" spans="1:15" x14ac:dyDescent="0.2">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f t="array" ref="O699">_xlfn.IFS(orders[[#This Row],[Customer Gender]]="M","Male", orders[[#This Row],[Customer Gender]]="F","Female", orders[[#This Row],[Customer Gender]]="O","Other", TRUE,"Unknown")</f>
        <v>Male</v>
      </c>
    </row>
    <row r="700" spans="1:15" x14ac:dyDescent="0.2">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f t="array" ref="O700">_xlfn.IFS(orders[[#This Row],[Customer Gender]]="M","Male", orders[[#This Row],[Customer Gender]]="F","Female", orders[[#This Row],[Customer Gender]]="O","Other", TRUE,"Unknown")</f>
        <v>Unknown</v>
      </c>
    </row>
    <row r="701" spans="1:15" x14ac:dyDescent="0.2">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f t="array" ref="O701">_xlfn.IFS(orders[[#This Row],[Customer Gender]]="M","Male", orders[[#This Row],[Customer Gender]]="F","Female", orders[[#This Row],[Customer Gender]]="O","Other", TRUE,"Unknown")</f>
        <v>Male</v>
      </c>
    </row>
    <row r="702" spans="1:15" x14ac:dyDescent="0.2">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f t="array" ref="O702">_xlfn.IFS(orders[[#This Row],[Customer Gender]]="M","Male", orders[[#This Row],[Customer Gender]]="F","Female", orders[[#This Row],[Customer Gender]]="O","Other", TRUE,"Unknown")</f>
        <v>Female</v>
      </c>
    </row>
    <row r="703" spans="1:15" x14ac:dyDescent="0.2">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f t="array" ref="O703">_xlfn.IFS(orders[[#This Row],[Customer Gender]]="M","Male", orders[[#This Row],[Customer Gender]]="F","Female", orders[[#This Row],[Customer Gender]]="O","Other", TRUE,"Unknown")</f>
        <v>Male</v>
      </c>
    </row>
    <row r="704" spans="1:15" x14ac:dyDescent="0.2">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f t="array" ref="O704">_xlfn.IFS(orders[[#This Row],[Customer Gender]]="M","Male", orders[[#This Row],[Customer Gender]]="F","Female", orders[[#This Row],[Customer Gender]]="O","Other", TRUE,"Unknown")</f>
        <v>Male</v>
      </c>
    </row>
    <row r="705" spans="1:15" x14ac:dyDescent="0.2">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f t="array" ref="O705">_xlfn.IFS(orders[[#This Row],[Customer Gender]]="M","Male", orders[[#This Row],[Customer Gender]]="F","Female", orders[[#This Row],[Customer Gender]]="O","Other", TRUE,"Unknown")</f>
        <v>Male</v>
      </c>
    </row>
    <row r="706" spans="1:15" x14ac:dyDescent="0.2">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f t="array" ref="O706">_xlfn.IFS(orders[[#This Row],[Customer Gender]]="M","Male", orders[[#This Row],[Customer Gender]]="F","Female", orders[[#This Row],[Customer Gender]]="O","Other", TRUE,"Unknown")</f>
        <v>Male</v>
      </c>
    </row>
    <row r="707" spans="1:15" x14ac:dyDescent="0.2">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f t="array" ref="O707">_xlfn.IFS(orders[[#This Row],[Customer Gender]]="M","Male", orders[[#This Row],[Customer Gender]]="F","Female", orders[[#This Row],[Customer Gender]]="O","Other", TRUE,"Unknown")</f>
        <v>Female</v>
      </c>
    </row>
    <row r="708" spans="1:15" x14ac:dyDescent="0.2">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f t="array" ref="O708">_xlfn.IFS(orders[[#This Row],[Customer Gender]]="M","Male", orders[[#This Row],[Customer Gender]]="F","Female", orders[[#This Row],[Customer Gender]]="O","Other", TRUE,"Unknown")</f>
        <v>Male</v>
      </c>
    </row>
    <row r="709" spans="1:15" x14ac:dyDescent="0.2">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f t="array" ref="O709">_xlfn.IFS(orders[[#This Row],[Customer Gender]]="M","Male", orders[[#This Row],[Customer Gender]]="F","Female", orders[[#This Row],[Customer Gender]]="O","Other", TRUE,"Unknown")</f>
        <v>Male</v>
      </c>
    </row>
    <row r="710" spans="1:15" x14ac:dyDescent="0.2">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f t="array" ref="O710">_xlfn.IFS(orders[[#This Row],[Customer Gender]]="M","Male", orders[[#This Row],[Customer Gender]]="F","Female", orders[[#This Row],[Customer Gender]]="O","Other", TRUE,"Unknown")</f>
        <v>Male</v>
      </c>
    </row>
    <row r="711" spans="1:15" x14ac:dyDescent="0.2">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f t="array" ref="O711">_xlfn.IFS(orders[[#This Row],[Customer Gender]]="M","Male", orders[[#This Row],[Customer Gender]]="F","Female", orders[[#This Row],[Customer Gender]]="O","Other", TRUE,"Unknown")</f>
        <v>Male</v>
      </c>
    </row>
    <row r="712" spans="1:15" x14ac:dyDescent="0.2">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f t="array" ref="O712">_xlfn.IFS(orders[[#This Row],[Customer Gender]]="M","Male", orders[[#This Row],[Customer Gender]]="F","Female", orders[[#This Row],[Customer Gender]]="O","Other", TRUE,"Unknown")</f>
        <v>Unknown</v>
      </c>
    </row>
    <row r="713" spans="1:15" x14ac:dyDescent="0.2">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f t="array" ref="O713">_xlfn.IFS(orders[[#This Row],[Customer Gender]]="M","Male", orders[[#This Row],[Customer Gender]]="F","Female", orders[[#This Row],[Customer Gender]]="O","Other", TRUE,"Unknown")</f>
        <v>Female</v>
      </c>
    </row>
    <row r="714" spans="1:15" x14ac:dyDescent="0.2">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f t="array" ref="O714">_xlfn.IFS(orders[[#This Row],[Customer Gender]]="M","Male", orders[[#This Row],[Customer Gender]]="F","Female", orders[[#This Row],[Customer Gender]]="O","Other", TRUE,"Unknown")</f>
        <v>Male</v>
      </c>
    </row>
    <row r="715" spans="1:15" x14ac:dyDescent="0.2">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f t="array" ref="O715">_xlfn.IFS(orders[[#This Row],[Customer Gender]]="M","Male", orders[[#This Row],[Customer Gender]]="F","Female", orders[[#This Row],[Customer Gender]]="O","Other", TRUE,"Unknown")</f>
        <v>Female</v>
      </c>
    </row>
    <row r="716" spans="1:15" x14ac:dyDescent="0.2">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f t="array" ref="O716">_xlfn.IFS(orders[[#This Row],[Customer Gender]]="M","Male", orders[[#This Row],[Customer Gender]]="F","Female", orders[[#This Row],[Customer Gender]]="O","Other", TRUE,"Unknown")</f>
        <v>Male</v>
      </c>
    </row>
    <row r="717" spans="1:15" x14ac:dyDescent="0.2">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f t="array" ref="O717">_xlfn.IFS(orders[[#This Row],[Customer Gender]]="M","Male", orders[[#This Row],[Customer Gender]]="F","Female", orders[[#This Row],[Customer Gender]]="O","Other", TRUE,"Unknown")</f>
        <v>Male</v>
      </c>
    </row>
    <row r="718" spans="1:15" x14ac:dyDescent="0.2">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f t="array" ref="O718">_xlfn.IFS(orders[[#This Row],[Customer Gender]]="M","Male", orders[[#This Row],[Customer Gender]]="F","Female", orders[[#This Row],[Customer Gender]]="O","Other", TRUE,"Unknown")</f>
        <v>Female</v>
      </c>
    </row>
    <row r="719" spans="1:15" x14ac:dyDescent="0.2">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f t="array" ref="O719">_xlfn.IFS(orders[[#This Row],[Customer Gender]]="M","Male", orders[[#This Row],[Customer Gender]]="F","Female", orders[[#This Row],[Customer Gender]]="O","Other", TRUE,"Unknown")</f>
        <v>Male</v>
      </c>
    </row>
    <row r="720" spans="1:15" x14ac:dyDescent="0.2">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f t="array" ref="O720">_xlfn.IFS(orders[[#This Row],[Customer Gender]]="M","Male", orders[[#This Row],[Customer Gender]]="F","Female", orders[[#This Row],[Customer Gender]]="O","Other", TRUE,"Unknown")</f>
        <v>Female</v>
      </c>
    </row>
    <row r="721" spans="1:15" x14ac:dyDescent="0.2">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f t="array" ref="O721">_xlfn.IFS(orders[[#This Row],[Customer Gender]]="M","Male", orders[[#This Row],[Customer Gender]]="F","Female", orders[[#This Row],[Customer Gender]]="O","Other", TRUE,"Unknown")</f>
        <v>Male</v>
      </c>
    </row>
    <row r="722" spans="1:15" x14ac:dyDescent="0.2">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f t="array" ref="O722">_xlfn.IFS(orders[[#This Row],[Customer Gender]]="M","Male", orders[[#This Row],[Customer Gender]]="F","Female", orders[[#This Row],[Customer Gender]]="O","Other", TRUE,"Unknown")</f>
        <v>Male</v>
      </c>
    </row>
    <row r="723" spans="1:15" x14ac:dyDescent="0.2">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f t="array" ref="O723">_xlfn.IFS(orders[[#This Row],[Customer Gender]]="M","Male", orders[[#This Row],[Customer Gender]]="F","Female", orders[[#This Row],[Customer Gender]]="O","Other", TRUE,"Unknown")</f>
        <v>Female</v>
      </c>
    </row>
    <row r="724" spans="1:15" x14ac:dyDescent="0.2">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f t="array" ref="O724">_xlfn.IFS(orders[[#This Row],[Customer Gender]]="M","Male", orders[[#This Row],[Customer Gender]]="F","Female", orders[[#This Row],[Customer Gender]]="O","Other", TRUE,"Unknown")</f>
        <v>Male</v>
      </c>
    </row>
    <row r="725" spans="1:15" x14ac:dyDescent="0.2">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f t="array" ref="O725">_xlfn.IFS(orders[[#This Row],[Customer Gender]]="M","Male", orders[[#This Row],[Customer Gender]]="F","Female", orders[[#This Row],[Customer Gender]]="O","Other", TRUE,"Unknown")</f>
        <v>Male</v>
      </c>
    </row>
    <row r="726" spans="1:15" x14ac:dyDescent="0.2">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f t="array" ref="O726">_xlfn.IFS(orders[[#This Row],[Customer Gender]]="M","Male", orders[[#This Row],[Customer Gender]]="F","Female", orders[[#This Row],[Customer Gender]]="O","Other", TRUE,"Unknown")</f>
        <v>Male</v>
      </c>
    </row>
    <row r="727" spans="1:15" x14ac:dyDescent="0.2">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f t="array" ref="O727">_xlfn.IFS(orders[[#This Row],[Customer Gender]]="M","Male", orders[[#This Row],[Customer Gender]]="F","Female", orders[[#This Row],[Customer Gender]]="O","Other", TRUE,"Unknown")</f>
        <v>Female</v>
      </c>
    </row>
    <row r="728" spans="1:15" x14ac:dyDescent="0.2">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f t="array" ref="O728">_xlfn.IFS(orders[[#This Row],[Customer Gender]]="M","Male", orders[[#This Row],[Customer Gender]]="F","Female", orders[[#This Row],[Customer Gender]]="O","Other", TRUE,"Unknown")</f>
        <v>Other</v>
      </c>
    </row>
    <row r="729" spans="1:15" x14ac:dyDescent="0.2">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f t="array" ref="O729">_xlfn.IFS(orders[[#This Row],[Customer Gender]]="M","Male", orders[[#This Row],[Customer Gender]]="F","Female", orders[[#This Row],[Customer Gender]]="O","Other", TRUE,"Unknown")</f>
        <v>Female</v>
      </c>
    </row>
    <row r="730" spans="1:15" x14ac:dyDescent="0.2">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f t="array" ref="O730">_xlfn.IFS(orders[[#This Row],[Customer Gender]]="M","Male", orders[[#This Row],[Customer Gender]]="F","Female", orders[[#This Row],[Customer Gender]]="O","Other", TRUE,"Unknown")</f>
        <v>Female</v>
      </c>
    </row>
    <row r="731" spans="1:15" x14ac:dyDescent="0.2">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f t="array" ref="O731">_xlfn.IFS(orders[[#This Row],[Customer Gender]]="M","Male", orders[[#This Row],[Customer Gender]]="F","Female", orders[[#This Row],[Customer Gender]]="O","Other", TRUE,"Unknown")</f>
        <v>Female</v>
      </c>
    </row>
    <row r="732" spans="1:15" x14ac:dyDescent="0.2">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f t="array" ref="O732">_xlfn.IFS(orders[[#This Row],[Customer Gender]]="M","Male", orders[[#This Row],[Customer Gender]]="F","Female", orders[[#This Row],[Customer Gender]]="O","Other", TRUE,"Unknown")</f>
        <v>Female</v>
      </c>
    </row>
    <row r="733" spans="1:15" x14ac:dyDescent="0.2">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f t="array" ref="O733">_xlfn.IFS(orders[[#This Row],[Customer Gender]]="M","Male", orders[[#This Row],[Customer Gender]]="F","Female", orders[[#This Row],[Customer Gender]]="O","Other", TRUE,"Unknown")</f>
        <v>Other</v>
      </c>
    </row>
    <row r="734" spans="1:15" x14ac:dyDescent="0.2">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f t="array" ref="O734">_xlfn.IFS(orders[[#This Row],[Customer Gender]]="M","Male", orders[[#This Row],[Customer Gender]]="F","Female", orders[[#This Row],[Customer Gender]]="O","Other", TRUE,"Unknown")</f>
        <v>Female</v>
      </c>
    </row>
    <row r="735" spans="1:15" x14ac:dyDescent="0.2">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f t="array" ref="O735">_xlfn.IFS(orders[[#This Row],[Customer Gender]]="M","Male", orders[[#This Row],[Customer Gender]]="F","Female", orders[[#This Row],[Customer Gender]]="O","Other", TRUE,"Unknown")</f>
        <v>Female</v>
      </c>
    </row>
    <row r="736" spans="1:15" x14ac:dyDescent="0.2">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f t="array" ref="O736">_xlfn.IFS(orders[[#This Row],[Customer Gender]]="M","Male", orders[[#This Row],[Customer Gender]]="F","Female", orders[[#This Row],[Customer Gender]]="O","Other", TRUE,"Unknown")</f>
        <v>Female</v>
      </c>
    </row>
    <row r="737" spans="1:15" x14ac:dyDescent="0.2">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f t="array" ref="O737">_xlfn.IFS(orders[[#This Row],[Customer Gender]]="M","Male", orders[[#This Row],[Customer Gender]]="F","Female", orders[[#This Row],[Customer Gender]]="O","Other", TRUE,"Unknown")</f>
        <v>Unknown</v>
      </c>
    </row>
    <row r="738" spans="1:15" x14ac:dyDescent="0.2">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f t="array" ref="O738">_xlfn.IFS(orders[[#This Row],[Customer Gender]]="M","Male", orders[[#This Row],[Customer Gender]]="F","Female", orders[[#This Row],[Customer Gender]]="O","Other", TRUE,"Unknown")</f>
        <v>Female</v>
      </c>
    </row>
    <row r="739" spans="1:15" x14ac:dyDescent="0.2">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f t="array" ref="O739">_xlfn.IFS(orders[[#This Row],[Customer Gender]]="M","Male", orders[[#This Row],[Customer Gender]]="F","Female", orders[[#This Row],[Customer Gender]]="O","Other", TRUE,"Unknown")</f>
        <v>Unknown</v>
      </c>
    </row>
    <row r="740" spans="1:15" x14ac:dyDescent="0.2">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f t="array" ref="O740">_xlfn.IFS(orders[[#This Row],[Customer Gender]]="M","Male", orders[[#This Row],[Customer Gender]]="F","Female", orders[[#This Row],[Customer Gender]]="O","Other", TRUE,"Unknown")</f>
        <v>Female</v>
      </c>
    </row>
    <row r="741" spans="1:15" x14ac:dyDescent="0.2">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f t="array" ref="O741">_xlfn.IFS(orders[[#This Row],[Customer Gender]]="M","Male", orders[[#This Row],[Customer Gender]]="F","Female", orders[[#This Row],[Customer Gender]]="O","Other", TRUE,"Unknown")</f>
        <v>Female</v>
      </c>
    </row>
    <row r="742" spans="1:15" x14ac:dyDescent="0.2">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f t="array" ref="O742">_xlfn.IFS(orders[[#This Row],[Customer Gender]]="M","Male", orders[[#This Row],[Customer Gender]]="F","Female", orders[[#This Row],[Customer Gender]]="O","Other", TRUE,"Unknown")</f>
        <v>Female</v>
      </c>
    </row>
    <row r="743" spans="1:15" x14ac:dyDescent="0.2">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f t="array" ref="O743">_xlfn.IFS(orders[[#This Row],[Customer Gender]]="M","Male", orders[[#This Row],[Customer Gender]]="F","Female", orders[[#This Row],[Customer Gender]]="O","Other", TRUE,"Unknown")</f>
        <v>Male</v>
      </c>
    </row>
    <row r="744" spans="1:15" x14ac:dyDescent="0.2">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f t="array" ref="O744">_xlfn.IFS(orders[[#This Row],[Customer Gender]]="M","Male", orders[[#This Row],[Customer Gender]]="F","Female", orders[[#This Row],[Customer Gender]]="O","Other", TRUE,"Unknown")</f>
        <v>Female</v>
      </c>
    </row>
    <row r="745" spans="1:15" x14ac:dyDescent="0.2">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f t="array" ref="O745">_xlfn.IFS(orders[[#This Row],[Customer Gender]]="M","Male", orders[[#This Row],[Customer Gender]]="F","Female", orders[[#This Row],[Customer Gender]]="O","Other", TRUE,"Unknown")</f>
        <v>Unknown</v>
      </c>
    </row>
    <row r="746" spans="1:15" x14ac:dyDescent="0.2">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f t="array" ref="O746">_xlfn.IFS(orders[[#This Row],[Customer Gender]]="M","Male", orders[[#This Row],[Customer Gender]]="F","Female", orders[[#This Row],[Customer Gender]]="O","Other", TRUE,"Unknown")</f>
        <v>Female</v>
      </c>
    </row>
    <row r="747" spans="1:15" x14ac:dyDescent="0.2">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f t="array" ref="O747">_xlfn.IFS(orders[[#This Row],[Customer Gender]]="M","Male", orders[[#This Row],[Customer Gender]]="F","Female", orders[[#This Row],[Customer Gender]]="O","Other", TRUE,"Unknown")</f>
        <v>Female</v>
      </c>
    </row>
    <row r="748" spans="1:15" x14ac:dyDescent="0.2">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f t="array" ref="O748">_xlfn.IFS(orders[[#This Row],[Customer Gender]]="M","Male", orders[[#This Row],[Customer Gender]]="F","Female", orders[[#This Row],[Customer Gender]]="O","Other", TRUE,"Unknown")</f>
        <v>Male</v>
      </c>
    </row>
    <row r="749" spans="1:15" x14ac:dyDescent="0.2">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f t="array" ref="O749">_xlfn.IFS(orders[[#This Row],[Customer Gender]]="M","Male", orders[[#This Row],[Customer Gender]]="F","Female", orders[[#This Row],[Customer Gender]]="O","Other", TRUE,"Unknown")</f>
        <v>Female</v>
      </c>
    </row>
    <row r="750" spans="1:15" x14ac:dyDescent="0.2">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f t="array" ref="O750">_xlfn.IFS(orders[[#This Row],[Customer Gender]]="M","Male", orders[[#This Row],[Customer Gender]]="F","Female", orders[[#This Row],[Customer Gender]]="O","Other", TRUE,"Unknown")</f>
        <v>Male</v>
      </c>
    </row>
    <row r="751" spans="1:15" x14ac:dyDescent="0.2">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f t="array" ref="O751">_xlfn.IFS(orders[[#This Row],[Customer Gender]]="M","Male", orders[[#This Row],[Customer Gender]]="F","Female", orders[[#This Row],[Customer Gender]]="O","Other", TRUE,"Unknown")</f>
        <v>Unknown</v>
      </c>
    </row>
    <row r="752" spans="1:15" x14ac:dyDescent="0.2">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f t="array" ref="O752">_xlfn.IFS(orders[[#This Row],[Customer Gender]]="M","Male", orders[[#This Row],[Customer Gender]]="F","Female", orders[[#This Row],[Customer Gender]]="O","Other", TRUE,"Unknown")</f>
        <v>Male</v>
      </c>
    </row>
    <row r="753" spans="1:15" x14ac:dyDescent="0.2">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f t="array" ref="O753">_xlfn.IFS(orders[[#This Row],[Customer Gender]]="M","Male", orders[[#This Row],[Customer Gender]]="F","Female", orders[[#This Row],[Customer Gender]]="O","Other", TRUE,"Unknown")</f>
        <v>Female</v>
      </c>
    </row>
    <row r="754" spans="1:15" x14ac:dyDescent="0.2">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f t="array" ref="O754">_xlfn.IFS(orders[[#This Row],[Customer Gender]]="M","Male", orders[[#This Row],[Customer Gender]]="F","Female", orders[[#This Row],[Customer Gender]]="O","Other", TRUE,"Unknown")</f>
        <v>Male</v>
      </c>
    </row>
    <row r="755" spans="1:15" x14ac:dyDescent="0.2">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f t="array" ref="O755">_xlfn.IFS(orders[[#This Row],[Customer Gender]]="M","Male", orders[[#This Row],[Customer Gender]]="F","Female", orders[[#This Row],[Customer Gender]]="O","Other", TRUE,"Unknown")</f>
        <v>Male</v>
      </c>
    </row>
    <row r="756" spans="1:15" x14ac:dyDescent="0.2">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f t="array" ref="O756">_xlfn.IFS(orders[[#This Row],[Customer Gender]]="M","Male", orders[[#This Row],[Customer Gender]]="F","Female", orders[[#This Row],[Customer Gender]]="O","Other", TRUE,"Unknown")</f>
        <v>Female</v>
      </c>
    </row>
    <row r="757" spans="1:15" x14ac:dyDescent="0.2">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f t="array" ref="O757">_xlfn.IFS(orders[[#This Row],[Customer Gender]]="M","Male", orders[[#This Row],[Customer Gender]]="F","Female", orders[[#This Row],[Customer Gender]]="O","Other", TRUE,"Unknown")</f>
        <v>Male</v>
      </c>
    </row>
    <row r="758" spans="1:15" x14ac:dyDescent="0.2">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f t="array" ref="O758">_xlfn.IFS(orders[[#This Row],[Customer Gender]]="M","Male", orders[[#This Row],[Customer Gender]]="F","Female", orders[[#This Row],[Customer Gender]]="O","Other", TRUE,"Unknown")</f>
        <v>Female</v>
      </c>
    </row>
    <row r="759" spans="1:15" x14ac:dyDescent="0.2">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f t="array" ref="O759">_xlfn.IFS(orders[[#This Row],[Customer Gender]]="M","Male", orders[[#This Row],[Customer Gender]]="F","Female", orders[[#This Row],[Customer Gender]]="O","Other", TRUE,"Unknown")</f>
        <v>Female</v>
      </c>
    </row>
    <row r="760" spans="1:15" x14ac:dyDescent="0.2">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f t="array" ref="O760">_xlfn.IFS(orders[[#This Row],[Customer Gender]]="M","Male", orders[[#This Row],[Customer Gender]]="F","Female", orders[[#This Row],[Customer Gender]]="O","Other", TRUE,"Unknown")</f>
        <v>Female</v>
      </c>
    </row>
    <row r="761" spans="1:15" x14ac:dyDescent="0.2">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f t="array" ref="O761">_xlfn.IFS(orders[[#This Row],[Customer Gender]]="M","Male", orders[[#This Row],[Customer Gender]]="F","Female", orders[[#This Row],[Customer Gender]]="O","Other", TRUE,"Unknown")</f>
        <v>Male</v>
      </c>
    </row>
    <row r="762" spans="1:15" x14ac:dyDescent="0.2">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f t="array" ref="O762">_xlfn.IFS(orders[[#This Row],[Customer Gender]]="M","Male", orders[[#This Row],[Customer Gender]]="F","Female", orders[[#This Row],[Customer Gender]]="O","Other", TRUE,"Unknown")</f>
        <v>Female</v>
      </c>
    </row>
    <row r="763" spans="1:15" x14ac:dyDescent="0.2">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f t="array" ref="O763">_xlfn.IFS(orders[[#This Row],[Customer Gender]]="M","Male", orders[[#This Row],[Customer Gender]]="F","Female", orders[[#This Row],[Customer Gender]]="O","Other", TRUE,"Unknown")</f>
        <v>Male</v>
      </c>
    </row>
    <row r="764" spans="1:15" x14ac:dyDescent="0.2">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f t="array" ref="O764">_xlfn.IFS(orders[[#This Row],[Customer Gender]]="M","Male", orders[[#This Row],[Customer Gender]]="F","Female", orders[[#This Row],[Customer Gender]]="O","Other", TRUE,"Unknown")</f>
        <v>Male</v>
      </c>
    </row>
    <row r="765" spans="1:15" x14ac:dyDescent="0.2">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f t="array" ref="O765">_xlfn.IFS(orders[[#This Row],[Customer Gender]]="M","Male", orders[[#This Row],[Customer Gender]]="F","Female", orders[[#This Row],[Customer Gender]]="O","Other", TRUE,"Unknown")</f>
        <v>Female</v>
      </c>
    </row>
    <row r="766" spans="1:15" x14ac:dyDescent="0.2">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f t="array" ref="O766">_xlfn.IFS(orders[[#This Row],[Customer Gender]]="M","Male", orders[[#This Row],[Customer Gender]]="F","Female", orders[[#This Row],[Customer Gender]]="O","Other", TRUE,"Unknown")</f>
        <v>Female</v>
      </c>
    </row>
    <row r="767" spans="1:15" x14ac:dyDescent="0.2">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f t="array" ref="O767">_xlfn.IFS(orders[[#This Row],[Customer Gender]]="M","Male", orders[[#This Row],[Customer Gender]]="F","Female", orders[[#This Row],[Customer Gender]]="O","Other", TRUE,"Unknown")</f>
        <v>Male</v>
      </c>
    </row>
    <row r="768" spans="1:15" x14ac:dyDescent="0.2">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f t="array" ref="O768">_xlfn.IFS(orders[[#This Row],[Customer Gender]]="M","Male", orders[[#This Row],[Customer Gender]]="F","Female", orders[[#This Row],[Customer Gender]]="O","Other", TRUE,"Unknown")</f>
        <v>Male</v>
      </c>
    </row>
    <row r="769" spans="1:15" x14ac:dyDescent="0.2">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f t="array" ref="O769">_xlfn.IFS(orders[[#This Row],[Customer Gender]]="M","Male", orders[[#This Row],[Customer Gender]]="F","Female", orders[[#This Row],[Customer Gender]]="O","Other", TRUE,"Unknown")</f>
        <v>Male</v>
      </c>
    </row>
    <row r="770" spans="1:15" x14ac:dyDescent="0.2">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f t="array" ref="O770">_xlfn.IFS(orders[[#This Row],[Customer Gender]]="M","Male", orders[[#This Row],[Customer Gender]]="F","Female", orders[[#This Row],[Customer Gender]]="O","Other", TRUE,"Unknown")</f>
        <v>Female</v>
      </c>
    </row>
    <row r="771" spans="1:15" x14ac:dyDescent="0.2">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f t="array" ref="O771">_xlfn.IFS(orders[[#This Row],[Customer Gender]]="M","Male", orders[[#This Row],[Customer Gender]]="F","Female", orders[[#This Row],[Customer Gender]]="O","Other", TRUE,"Unknown")</f>
        <v>Female</v>
      </c>
    </row>
    <row r="772" spans="1:15" x14ac:dyDescent="0.2">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f t="array" ref="O772">_xlfn.IFS(orders[[#This Row],[Customer Gender]]="M","Male", orders[[#This Row],[Customer Gender]]="F","Female", orders[[#This Row],[Customer Gender]]="O","Other", TRUE,"Unknown")</f>
        <v>Female</v>
      </c>
    </row>
    <row r="773" spans="1:15" x14ac:dyDescent="0.2">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f t="array" ref="O773">_xlfn.IFS(orders[[#This Row],[Customer Gender]]="M","Male", orders[[#This Row],[Customer Gender]]="F","Female", orders[[#This Row],[Customer Gender]]="O","Other", TRUE,"Unknown")</f>
        <v>Male</v>
      </c>
    </row>
    <row r="774" spans="1:15" x14ac:dyDescent="0.2">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f t="array" ref="O774">_xlfn.IFS(orders[[#This Row],[Customer Gender]]="M","Male", orders[[#This Row],[Customer Gender]]="F","Female", orders[[#This Row],[Customer Gender]]="O","Other", TRUE,"Unknown")</f>
        <v>Male</v>
      </c>
    </row>
    <row r="775" spans="1:15" x14ac:dyDescent="0.2">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f t="array" ref="O775">_xlfn.IFS(orders[[#This Row],[Customer Gender]]="M","Male", orders[[#This Row],[Customer Gender]]="F","Female", orders[[#This Row],[Customer Gender]]="O","Other", TRUE,"Unknown")</f>
        <v>Female</v>
      </c>
    </row>
    <row r="776" spans="1:15" x14ac:dyDescent="0.2">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f t="array" ref="O776">_xlfn.IFS(orders[[#This Row],[Customer Gender]]="M","Male", orders[[#This Row],[Customer Gender]]="F","Female", orders[[#This Row],[Customer Gender]]="O","Other", TRUE,"Unknown")</f>
        <v>Male</v>
      </c>
    </row>
    <row r="777" spans="1:15" x14ac:dyDescent="0.2">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f t="array" ref="O777">_xlfn.IFS(orders[[#This Row],[Customer Gender]]="M","Male", orders[[#This Row],[Customer Gender]]="F","Female", orders[[#This Row],[Customer Gender]]="O","Other", TRUE,"Unknown")</f>
        <v>Female</v>
      </c>
    </row>
    <row r="778" spans="1:15" x14ac:dyDescent="0.2">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f t="array" ref="O778">_xlfn.IFS(orders[[#This Row],[Customer Gender]]="M","Male", orders[[#This Row],[Customer Gender]]="F","Female", orders[[#This Row],[Customer Gender]]="O","Other", TRUE,"Unknown")</f>
        <v>Unknown</v>
      </c>
    </row>
    <row r="779" spans="1:15" x14ac:dyDescent="0.2">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f t="array" ref="O779">_xlfn.IFS(orders[[#This Row],[Customer Gender]]="M","Male", orders[[#This Row],[Customer Gender]]="F","Female", orders[[#This Row],[Customer Gender]]="O","Other", TRUE,"Unknown")</f>
        <v>Female</v>
      </c>
    </row>
    <row r="780" spans="1:15" x14ac:dyDescent="0.2">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f t="array" ref="O780">_xlfn.IFS(orders[[#This Row],[Customer Gender]]="M","Male", orders[[#This Row],[Customer Gender]]="F","Female", orders[[#This Row],[Customer Gender]]="O","Other", TRUE,"Unknown")</f>
        <v>Other</v>
      </c>
    </row>
    <row r="781" spans="1:15" x14ac:dyDescent="0.2">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f t="array" ref="O781">_xlfn.IFS(orders[[#This Row],[Customer Gender]]="M","Male", orders[[#This Row],[Customer Gender]]="F","Female", orders[[#This Row],[Customer Gender]]="O","Other", TRUE,"Unknown")</f>
        <v>Female</v>
      </c>
    </row>
    <row r="782" spans="1:15" x14ac:dyDescent="0.2">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f t="array" ref="O782">_xlfn.IFS(orders[[#This Row],[Customer Gender]]="M","Male", orders[[#This Row],[Customer Gender]]="F","Female", orders[[#This Row],[Customer Gender]]="O","Other", TRUE,"Unknown")</f>
        <v>Female</v>
      </c>
    </row>
    <row r="783" spans="1:15" x14ac:dyDescent="0.2">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f t="array" ref="O783">_xlfn.IFS(orders[[#This Row],[Customer Gender]]="M","Male", orders[[#This Row],[Customer Gender]]="F","Female", orders[[#This Row],[Customer Gender]]="O","Other", TRUE,"Unknown")</f>
        <v>Female</v>
      </c>
    </row>
    <row r="784" spans="1:15" x14ac:dyDescent="0.2">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f t="array" ref="O784">_xlfn.IFS(orders[[#This Row],[Customer Gender]]="M","Male", orders[[#This Row],[Customer Gender]]="F","Female", orders[[#This Row],[Customer Gender]]="O","Other", TRUE,"Unknown")</f>
        <v>Male</v>
      </c>
    </row>
    <row r="785" spans="1:15" x14ac:dyDescent="0.2">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f t="array" ref="O785">_xlfn.IFS(orders[[#This Row],[Customer Gender]]="M","Male", orders[[#This Row],[Customer Gender]]="F","Female", orders[[#This Row],[Customer Gender]]="O","Other", TRUE,"Unknown")</f>
        <v>Female</v>
      </c>
    </row>
    <row r="786" spans="1:15" x14ac:dyDescent="0.2">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f t="array" ref="O786">_xlfn.IFS(orders[[#This Row],[Customer Gender]]="M","Male", orders[[#This Row],[Customer Gender]]="F","Female", orders[[#This Row],[Customer Gender]]="O","Other", TRUE,"Unknown")</f>
        <v>Female</v>
      </c>
    </row>
    <row r="787" spans="1:15" x14ac:dyDescent="0.2">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f t="array" ref="O787">_xlfn.IFS(orders[[#This Row],[Customer Gender]]="M","Male", orders[[#This Row],[Customer Gender]]="F","Female", orders[[#This Row],[Customer Gender]]="O","Other", TRUE,"Unknown")</f>
        <v>Female</v>
      </c>
    </row>
    <row r="788" spans="1:15" x14ac:dyDescent="0.2">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f t="array" ref="O788">_xlfn.IFS(orders[[#This Row],[Customer Gender]]="M","Male", orders[[#This Row],[Customer Gender]]="F","Female", orders[[#This Row],[Customer Gender]]="O","Other", TRUE,"Unknown")</f>
        <v>Female</v>
      </c>
    </row>
    <row r="789" spans="1:15" x14ac:dyDescent="0.2">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f t="array" ref="O789">_xlfn.IFS(orders[[#This Row],[Customer Gender]]="M","Male", orders[[#This Row],[Customer Gender]]="F","Female", orders[[#This Row],[Customer Gender]]="O","Other", TRUE,"Unknown")</f>
        <v>Female</v>
      </c>
    </row>
    <row r="790" spans="1:15" x14ac:dyDescent="0.2">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f t="array" ref="O790">_xlfn.IFS(orders[[#This Row],[Customer Gender]]="M","Male", orders[[#This Row],[Customer Gender]]="F","Female", orders[[#This Row],[Customer Gender]]="O","Other", TRUE,"Unknown")</f>
        <v>Male</v>
      </c>
    </row>
    <row r="791" spans="1:15" x14ac:dyDescent="0.2">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f t="array" ref="O791">_xlfn.IFS(orders[[#This Row],[Customer Gender]]="M","Male", orders[[#This Row],[Customer Gender]]="F","Female", orders[[#This Row],[Customer Gender]]="O","Other", TRUE,"Unknown")</f>
        <v>Female</v>
      </c>
    </row>
    <row r="792" spans="1:15" x14ac:dyDescent="0.2">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f t="array" ref="O792">_xlfn.IFS(orders[[#This Row],[Customer Gender]]="M","Male", orders[[#This Row],[Customer Gender]]="F","Female", orders[[#This Row],[Customer Gender]]="O","Other", TRUE,"Unknown")</f>
        <v>Male</v>
      </c>
    </row>
    <row r="793" spans="1:15" x14ac:dyDescent="0.2">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f t="array" ref="O793">_xlfn.IFS(orders[[#This Row],[Customer Gender]]="M","Male", orders[[#This Row],[Customer Gender]]="F","Female", orders[[#This Row],[Customer Gender]]="O","Other", TRUE,"Unknown")</f>
        <v>Male</v>
      </c>
    </row>
    <row r="794" spans="1:15" x14ac:dyDescent="0.2">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f t="array" ref="O794">_xlfn.IFS(orders[[#This Row],[Customer Gender]]="M","Male", orders[[#This Row],[Customer Gender]]="F","Female", orders[[#This Row],[Customer Gender]]="O","Other", TRUE,"Unknown")</f>
        <v>Male</v>
      </c>
    </row>
    <row r="795" spans="1:15" x14ac:dyDescent="0.2">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f t="array" ref="O795">_xlfn.IFS(orders[[#This Row],[Customer Gender]]="M","Male", orders[[#This Row],[Customer Gender]]="F","Female", orders[[#This Row],[Customer Gender]]="O","Other", TRUE,"Unknown")</f>
        <v>Female</v>
      </c>
    </row>
    <row r="796" spans="1:15" x14ac:dyDescent="0.2">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f t="array" ref="O796">_xlfn.IFS(orders[[#This Row],[Customer Gender]]="M","Male", orders[[#This Row],[Customer Gender]]="F","Female", orders[[#This Row],[Customer Gender]]="O","Other", TRUE,"Unknown")</f>
        <v>Male</v>
      </c>
    </row>
    <row r="797" spans="1:15" x14ac:dyDescent="0.2">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f t="array" ref="O797">_xlfn.IFS(orders[[#This Row],[Customer Gender]]="M","Male", orders[[#This Row],[Customer Gender]]="F","Female", orders[[#This Row],[Customer Gender]]="O","Other", TRUE,"Unknown")</f>
        <v>Female</v>
      </c>
    </row>
    <row r="798" spans="1:15" x14ac:dyDescent="0.2">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f t="array" ref="O798">_xlfn.IFS(orders[[#This Row],[Customer Gender]]="M","Male", orders[[#This Row],[Customer Gender]]="F","Female", orders[[#This Row],[Customer Gender]]="O","Other", TRUE,"Unknown")</f>
        <v>Male</v>
      </c>
    </row>
    <row r="799" spans="1:15" x14ac:dyDescent="0.2">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f t="array" ref="O799">_xlfn.IFS(orders[[#This Row],[Customer Gender]]="M","Male", orders[[#This Row],[Customer Gender]]="F","Female", orders[[#This Row],[Customer Gender]]="O","Other", TRUE,"Unknown")</f>
        <v>Female</v>
      </c>
    </row>
    <row r="800" spans="1:15" x14ac:dyDescent="0.2">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f t="array" ref="O800">_xlfn.IFS(orders[[#This Row],[Customer Gender]]="M","Male", orders[[#This Row],[Customer Gender]]="F","Female", orders[[#This Row],[Customer Gender]]="O","Other", TRUE,"Unknown")</f>
        <v>Female</v>
      </c>
    </row>
    <row r="801" spans="1:15" x14ac:dyDescent="0.2">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f t="array" ref="O801">_xlfn.IFS(orders[[#This Row],[Customer Gender]]="M","Male", orders[[#This Row],[Customer Gender]]="F","Female", orders[[#This Row],[Customer Gender]]="O","Other", TRUE,"Unknown")</f>
        <v>Female</v>
      </c>
    </row>
    <row r="802" spans="1:15" x14ac:dyDescent="0.2">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f t="array" ref="O802">_xlfn.IFS(orders[[#This Row],[Customer Gender]]="M","Male", orders[[#This Row],[Customer Gender]]="F","Female", orders[[#This Row],[Customer Gender]]="O","Other", TRUE,"Unknown")</f>
        <v>Male</v>
      </c>
    </row>
    <row r="803" spans="1:15" x14ac:dyDescent="0.2">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f t="array" ref="O803">_xlfn.IFS(orders[[#This Row],[Customer Gender]]="M","Male", orders[[#This Row],[Customer Gender]]="F","Female", orders[[#This Row],[Customer Gender]]="O","Other", TRUE,"Unknown")</f>
        <v>Male</v>
      </c>
    </row>
    <row r="804" spans="1:15" x14ac:dyDescent="0.2">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f t="array" ref="O804">_xlfn.IFS(orders[[#This Row],[Customer Gender]]="M","Male", orders[[#This Row],[Customer Gender]]="F","Female", orders[[#This Row],[Customer Gender]]="O","Other", TRUE,"Unknown")</f>
        <v>Female</v>
      </c>
    </row>
    <row r="805" spans="1:15" x14ac:dyDescent="0.2">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f t="array" ref="O805">_xlfn.IFS(orders[[#This Row],[Customer Gender]]="M","Male", orders[[#This Row],[Customer Gender]]="F","Female", orders[[#This Row],[Customer Gender]]="O","Other", TRUE,"Unknown")</f>
        <v>Male</v>
      </c>
    </row>
    <row r="806" spans="1:15" x14ac:dyDescent="0.2">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f t="array" ref="O806">_xlfn.IFS(orders[[#This Row],[Customer Gender]]="M","Male", orders[[#This Row],[Customer Gender]]="F","Female", orders[[#This Row],[Customer Gender]]="O","Other", TRUE,"Unknown")</f>
        <v>Female</v>
      </c>
    </row>
    <row r="807" spans="1:15" x14ac:dyDescent="0.2">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f t="array" ref="O807">_xlfn.IFS(orders[[#This Row],[Customer Gender]]="M","Male", orders[[#This Row],[Customer Gender]]="F","Female", orders[[#This Row],[Customer Gender]]="O","Other", TRUE,"Unknown")</f>
        <v>Female</v>
      </c>
    </row>
    <row r="808" spans="1:15" x14ac:dyDescent="0.2">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f t="array" ref="O808">_xlfn.IFS(orders[[#This Row],[Customer Gender]]="M","Male", orders[[#This Row],[Customer Gender]]="F","Female", orders[[#This Row],[Customer Gender]]="O","Other", TRUE,"Unknown")</f>
        <v>Female</v>
      </c>
    </row>
    <row r="809" spans="1:15" x14ac:dyDescent="0.2">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f t="array" ref="O809">_xlfn.IFS(orders[[#This Row],[Customer Gender]]="M","Male", orders[[#This Row],[Customer Gender]]="F","Female", orders[[#This Row],[Customer Gender]]="O","Other", TRUE,"Unknown")</f>
        <v>Male</v>
      </c>
    </row>
    <row r="810" spans="1:15" x14ac:dyDescent="0.2">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f t="array" ref="O810">_xlfn.IFS(orders[[#This Row],[Customer Gender]]="M","Male", orders[[#This Row],[Customer Gender]]="F","Female", orders[[#This Row],[Customer Gender]]="O","Other", TRUE,"Unknown")</f>
        <v>Female</v>
      </c>
    </row>
    <row r="811" spans="1:15" x14ac:dyDescent="0.2">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f t="array" ref="O811">_xlfn.IFS(orders[[#This Row],[Customer Gender]]="M","Male", orders[[#This Row],[Customer Gender]]="F","Female", orders[[#This Row],[Customer Gender]]="O","Other", TRUE,"Unknown")</f>
        <v>Unknown</v>
      </c>
    </row>
    <row r="812" spans="1:15" x14ac:dyDescent="0.2">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f t="array" ref="O812">_xlfn.IFS(orders[[#This Row],[Customer Gender]]="M","Male", orders[[#This Row],[Customer Gender]]="F","Female", orders[[#This Row],[Customer Gender]]="O","Other", TRUE,"Unknown")</f>
        <v>Female</v>
      </c>
    </row>
    <row r="813" spans="1:15" x14ac:dyDescent="0.2">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f t="array" ref="O813">_xlfn.IFS(orders[[#This Row],[Customer Gender]]="M","Male", orders[[#This Row],[Customer Gender]]="F","Female", orders[[#This Row],[Customer Gender]]="O","Other", TRUE,"Unknown")</f>
        <v>Female</v>
      </c>
    </row>
    <row r="814" spans="1:15" x14ac:dyDescent="0.2">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f t="array" ref="O814">_xlfn.IFS(orders[[#This Row],[Customer Gender]]="M","Male", orders[[#This Row],[Customer Gender]]="F","Female", orders[[#This Row],[Customer Gender]]="O","Other", TRUE,"Unknown")</f>
        <v>Female</v>
      </c>
    </row>
    <row r="815" spans="1:15" x14ac:dyDescent="0.2">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f t="array" ref="O815">_xlfn.IFS(orders[[#This Row],[Customer Gender]]="M","Male", orders[[#This Row],[Customer Gender]]="F","Female", orders[[#This Row],[Customer Gender]]="O","Other", TRUE,"Unknown")</f>
        <v>Female</v>
      </c>
    </row>
    <row r="816" spans="1:15" x14ac:dyDescent="0.2">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f t="array" ref="O816">_xlfn.IFS(orders[[#This Row],[Customer Gender]]="M","Male", orders[[#This Row],[Customer Gender]]="F","Female", orders[[#This Row],[Customer Gender]]="O","Other", TRUE,"Unknown")</f>
        <v>Male</v>
      </c>
    </row>
    <row r="817" spans="1:15" x14ac:dyDescent="0.2">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f t="array" ref="O817">_xlfn.IFS(orders[[#This Row],[Customer Gender]]="M","Male", orders[[#This Row],[Customer Gender]]="F","Female", orders[[#This Row],[Customer Gender]]="O","Other", TRUE,"Unknown")</f>
        <v>Female</v>
      </c>
    </row>
    <row r="818" spans="1:15" x14ac:dyDescent="0.2">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f t="array" ref="O818">_xlfn.IFS(orders[[#This Row],[Customer Gender]]="M","Male", orders[[#This Row],[Customer Gender]]="F","Female", orders[[#This Row],[Customer Gender]]="O","Other", TRUE,"Unknown")</f>
        <v>Female</v>
      </c>
    </row>
    <row r="819" spans="1:15" x14ac:dyDescent="0.2">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f t="array" ref="O819">_xlfn.IFS(orders[[#This Row],[Customer Gender]]="M","Male", orders[[#This Row],[Customer Gender]]="F","Female", orders[[#This Row],[Customer Gender]]="O","Other", TRUE,"Unknown")</f>
        <v>Female</v>
      </c>
    </row>
    <row r="820" spans="1:15" x14ac:dyDescent="0.2">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f t="array" ref="O820">_xlfn.IFS(orders[[#This Row],[Customer Gender]]="M","Male", orders[[#This Row],[Customer Gender]]="F","Female", orders[[#This Row],[Customer Gender]]="O","Other", TRUE,"Unknown")</f>
        <v>Other</v>
      </c>
    </row>
    <row r="821" spans="1:15" x14ac:dyDescent="0.2">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f t="array" ref="O821">_xlfn.IFS(orders[[#This Row],[Customer Gender]]="M","Male", orders[[#This Row],[Customer Gender]]="F","Female", orders[[#This Row],[Customer Gender]]="O","Other", TRUE,"Unknown")</f>
        <v>Female</v>
      </c>
    </row>
    <row r="822" spans="1:15" x14ac:dyDescent="0.2">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f t="array" ref="O822">_xlfn.IFS(orders[[#This Row],[Customer Gender]]="M","Male", orders[[#This Row],[Customer Gender]]="F","Female", orders[[#This Row],[Customer Gender]]="O","Other", TRUE,"Unknown")</f>
        <v>Female</v>
      </c>
    </row>
    <row r="823" spans="1:15" x14ac:dyDescent="0.2">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f t="array" ref="O823">_xlfn.IFS(orders[[#This Row],[Customer Gender]]="M","Male", orders[[#This Row],[Customer Gender]]="F","Female", orders[[#This Row],[Customer Gender]]="O","Other", TRUE,"Unknown")</f>
        <v>Female</v>
      </c>
    </row>
    <row r="824" spans="1:15" x14ac:dyDescent="0.2">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f t="array" ref="O824">_xlfn.IFS(orders[[#This Row],[Customer Gender]]="M","Male", orders[[#This Row],[Customer Gender]]="F","Female", orders[[#This Row],[Customer Gender]]="O","Other", TRUE,"Unknown")</f>
        <v>Female</v>
      </c>
    </row>
    <row r="825" spans="1:15" x14ac:dyDescent="0.2">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f t="array" ref="O825">_xlfn.IFS(orders[[#This Row],[Customer Gender]]="M","Male", orders[[#This Row],[Customer Gender]]="F","Female", orders[[#This Row],[Customer Gender]]="O","Other", TRUE,"Unknown")</f>
        <v>Female</v>
      </c>
    </row>
    <row r="826" spans="1:15" x14ac:dyDescent="0.2">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f t="array" ref="O826">_xlfn.IFS(orders[[#This Row],[Customer Gender]]="M","Male", orders[[#This Row],[Customer Gender]]="F","Female", orders[[#This Row],[Customer Gender]]="O","Other", TRUE,"Unknown")</f>
        <v>Male</v>
      </c>
    </row>
    <row r="827" spans="1:15" x14ac:dyDescent="0.2">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f t="array" ref="O827">_xlfn.IFS(orders[[#This Row],[Customer Gender]]="M","Male", orders[[#This Row],[Customer Gender]]="F","Female", orders[[#This Row],[Customer Gender]]="O","Other", TRUE,"Unknown")</f>
        <v>Male</v>
      </c>
    </row>
    <row r="828" spans="1:15" x14ac:dyDescent="0.2">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f t="array" ref="O828">_xlfn.IFS(orders[[#This Row],[Customer Gender]]="M","Male", orders[[#This Row],[Customer Gender]]="F","Female", orders[[#This Row],[Customer Gender]]="O","Other", TRUE,"Unknown")</f>
        <v>Unknown</v>
      </c>
    </row>
    <row r="829" spans="1:15" x14ac:dyDescent="0.2">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f t="array" ref="O829">_xlfn.IFS(orders[[#This Row],[Customer Gender]]="M","Male", orders[[#This Row],[Customer Gender]]="F","Female", orders[[#This Row],[Customer Gender]]="O","Other", TRUE,"Unknown")</f>
        <v>Male</v>
      </c>
    </row>
    <row r="830" spans="1:15" x14ac:dyDescent="0.2">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f t="array" ref="O830">_xlfn.IFS(orders[[#This Row],[Customer Gender]]="M","Male", orders[[#This Row],[Customer Gender]]="F","Female", orders[[#This Row],[Customer Gender]]="O","Other", TRUE,"Unknown")</f>
        <v>Female</v>
      </c>
    </row>
    <row r="831" spans="1:15" x14ac:dyDescent="0.2">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f t="array" ref="O831">_xlfn.IFS(orders[[#This Row],[Customer Gender]]="M","Male", orders[[#This Row],[Customer Gender]]="F","Female", orders[[#This Row],[Customer Gender]]="O","Other", TRUE,"Unknown")</f>
        <v>Male</v>
      </c>
    </row>
    <row r="832" spans="1:15" x14ac:dyDescent="0.2">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f t="array" ref="O832">_xlfn.IFS(orders[[#This Row],[Customer Gender]]="M","Male", orders[[#This Row],[Customer Gender]]="F","Female", orders[[#This Row],[Customer Gender]]="O","Other", TRUE,"Unknown")</f>
        <v>Female</v>
      </c>
    </row>
    <row r="833" spans="1:15" x14ac:dyDescent="0.2">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f t="array" ref="O833">_xlfn.IFS(orders[[#This Row],[Customer Gender]]="M","Male", orders[[#This Row],[Customer Gender]]="F","Female", orders[[#This Row],[Customer Gender]]="O","Other", TRUE,"Unknown")</f>
        <v>Unknown</v>
      </c>
    </row>
    <row r="834" spans="1:15" x14ac:dyDescent="0.2">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f t="array" ref="O834">_xlfn.IFS(orders[[#This Row],[Customer Gender]]="M","Male", orders[[#This Row],[Customer Gender]]="F","Female", orders[[#This Row],[Customer Gender]]="O","Other", TRUE,"Unknown")</f>
        <v>Female</v>
      </c>
    </row>
    <row r="835" spans="1:15" x14ac:dyDescent="0.2">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f t="array" ref="O835">_xlfn.IFS(orders[[#This Row],[Customer Gender]]="M","Male", orders[[#This Row],[Customer Gender]]="F","Female", orders[[#This Row],[Customer Gender]]="O","Other", TRUE,"Unknown")</f>
        <v>Female</v>
      </c>
    </row>
    <row r="836" spans="1:15" x14ac:dyDescent="0.2">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f t="array" ref="O836">_xlfn.IFS(orders[[#This Row],[Customer Gender]]="M","Male", orders[[#This Row],[Customer Gender]]="F","Female", orders[[#This Row],[Customer Gender]]="O","Other", TRUE,"Unknown")</f>
        <v>Male</v>
      </c>
    </row>
    <row r="837" spans="1:15" x14ac:dyDescent="0.2">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f t="array" ref="O837">_xlfn.IFS(orders[[#This Row],[Customer Gender]]="M","Male", orders[[#This Row],[Customer Gender]]="F","Female", orders[[#This Row],[Customer Gender]]="O","Other", TRUE,"Unknown")</f>
        <v>Male</v>
      </c>
    </row>
    <row r="838" spans="1:15" x14ac:dyDescent="0.2">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f t="array" ref="O838">_xlfn.IFS(orders[[#This Row],[Customer Gender]]="M","Male", orders[[#This Row],[Customer Gender]]="F","Female", orders[[#This Row],[Customer Gender]]="O","Other", TRUE,"Unknown")</f>
        <v>Unknown</v>
      </c>
    </row>
    <row r="839" spans="1:15" x14ac:dyDescent="0.2">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f t="array" ref="O839">_xlfn.IFS(orders[[#This Row],[Customer Gender]]="M","Male", orders[[#This Row],[Customer Gender]]="F","Female", orders[[#This Row],[Customer Gender]]="O","Other", TRUE,"Unknown")</f>
        <v>Female</v>
      </c>
    </row>
    <row r="840" spans="1:15" x14ac:dyDescent="0.2">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f t="array" ref="O840">_xlfn.IFS(orders[[#This Row],[Customer Gender]]="M","Male", orders[[#This Row],[Customer Gender]]="F","Female", orders[[#This Row],[Customer Gender]]="O","Other", TRUE,"Unknown")</f>
        <v>Female</v>
      </c>
    </row>
    <row r="841" spans="1:15" x14ac:dyDescent="0.2">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f t="array" ref="O841">_xlfn.IFS(orders[[#This Row],[Customer Gender]]="M","Male", orders[[#This Row],[Customer Gender]]="F","Female", orders[[#This Row],[Customer Gender]]="O","Other", TRUE,"Unknown")</f>
        <v>Female</v>
      </c>
    </row>
    <row r="842" spans="1:15" x14ac:dyDescent="0.2">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f t="array" ref="O842">_xlfn.IFS(orders[[#This Row],[Customer Gender]]="M","Male", orders[[#This Row],[Customer Gender]]="F","Female", orders[[#This Row],[Customer Gender]]="O","Other", TRUE,"Unknown")</f>
        <v>Female</v>
      </c>
    </row>
    <row r="843" spans="1:15" x14ac:dyDescent="0.2">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f t="array" ref="O843">_xlfn.IFS(orders[[#This Row],[Customer Gender]]="M","Male", orders[[#This Row],[Customer Gender]]="F","Female", orders[[#This Row],[Customer Gender]]="O","Other", TRUE,"Unknown")</f>
        <v>Female</v>
      </c>
    </row>
    <row r="844" spans="1:15" x14ac:dyDescent="0.2">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f t="array" ref="O844">_xlfn.IFS(orders[[#This Row],[Customer Gender]]="M","Male", orders[[#This Row],[Customer Gender]]="F","Female", orders[[#This Row],[Customer Gender]]="O","Other", TRUE,"Unknown")</f>
        <v>Female</v>
      </c>
    </row>
    <row r="845" spans="1:15" x14ac:dyDescent="0.2">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f t="array" ref="O845">_xlfn.IFS(orders[[#This Row],[Customer Gender]]="M","Male", orders[[#This Row],[Customer Gender]]="F","Female", orders[[#This Row],[Customer Gender]]="O","Other", TRUE,"Unknown")</f>
        <v>Female</v>
      </c>
    </row>
    <row r="846" spans="1:15" x14ac:dyDescent="0.2">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f t="array" ref="O846">_xlfn.IFS(orders[[#This Row],[Customer Gender]]="M","Male", orders[[#This Row],[Customer Gender]]="F","Female", orders[[#This Row],[Customer Gender]]="O","Other", TRUE,"Unknown")</f>
        <v>Female</v>
      </c>
    </row>
    <row r="847" spans="1:15" x14ac:dyDescent="0.2">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f t="array" ref="O847">_xlfn.IFS(orders[[#This Row],[Customer Gender]]="M","Male", orders[[#This Row],[Customer Gender]]="F","Female", orders[[#This Row],[Customer Gender]]="O","Other", TRUE,"Unknown")</f>
        <v>Female</v>
      </c>
    </row>
    <row r="848" spans="1:15" x14ac:dyDescent="0.2">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f t="array" ref="O848">_xlfn.IFS(orders[[#This Row],[Customer Gender]]="M","Male", orders[[#This Row],[Customer Gender]]="F","Female", orders[[#This Row],[Customer Gender]]="O","Other", TRUE,"Unknown")</f>
        <v>Male</v>
      </c>
    </row>
    <row r="849" spans="1:15" x14ac:dyDescent="0.2">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f t="array" ref="O849">_xlfn.IFS(orders[[#This Row],[Customer Gender]]="M","Male", orders[[#This Row],[Customer Gender]]="F","Female", orders[[#This Row],[Customer Gender]]="O","Other", TRUE,"Unknown")</f>
        <v>Female</v>
      </c>
    </row>
    <row r="850" spans="1:15" x14ac:dyDescent="0.2">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f t="array" ref="O850">_xlfn.IFS(orders[[#This Row],[Customer Gender]]="M","Male", orders[[#This Row],[Customer Gender]]="F","Female", orders[[#This Row],[Customer Gender]]="O","Other", TRUE,"Unknown")</f>
        <v>Male</v>
      </c>
    </row>
    <row r="851" spans="1:15" x14ac:dyDescent="0.2">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f t="array" ref="O851">_xlfn.IFS(orders[[#This Row],[Customer Gender]]="M","Male", orders[[#This Row],[Customer Gender]]="F","Female", orders[[#This Row],[Customer Gender]]="O","Other", TRUE,"Unknown")</f>
        <v>Female</v>
      </c>
    </row>
    <row r="852" spans="1:15" x14ac:dyDescent="0.2">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f t="array" ref="O852">_xlfn.IFS(orders[[#This Row],[Customer Gender]]="M","Male", orders[[#This Row],[Customer Gender]]="F","Female", orders[[#This Row],[Customer Gender]]="O","Other", TRUE,"Unknown")</f>
        <v>Male</v>
      </c>
    </row>
    <row r="853" spans="1:15" x14ac:dyDescent="0.2">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f t="array" ref="O853">_xlfn.IFS(orders[[#This Row],[Customer Gender]]="M","Male", orders[[#This Row],[Customer Gender]]="F","Female", orders[[#This Row],[Customer Gender]]="O","Other", TRUE,"Unknown")</f>
        <v>Female</v>
      </c>
    </row>
    <row r="854" spans="1:15" x14ac:dyDescent="0.2">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f t="array" ref="O854">_xlfn.IFS(orders[[#This Row],[Customer Gender]]="M","Male", orders[[#This Row],[Customer Gender]]="F","Female", orders[[#This Row],[Customer Gender]]="O","Other", TRUE,"Unknown")</f>
        <v>Male</v>
      </c>
    </row>
    <row r="855" spans="1:15" x14ac:dyDescent="0.2">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f t="array" ref="O855">_xlfn.IFS(orders[[#This Row],[Customer Gender]]="M","Male", orders[[#This Row],[Customer Gender]]="F","Female", orders[[#This Row],[Customer Gender]]="O","Other", TRUE,"Unknown")</f>
        <v>Female</v>
      </c>
    </row>
    <row r="856" spans="1:15" x14ac:dyDescent="0.2">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f t="array" ref="O856">_xlfn.IFS(orders[[#This Row],[Customer Gender]]="M","Male", orders[[#This Row],[Customer Gender]]="F","Female", orders[[#This Row],[Customer Gender]]="O","Other", TRUE,"Unknown")</f>
        <v>Male</v>
      </c>
    </row>
    <row r="857" spans="1:15" x14ac:dyDescent="0.2">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f t="array" ref="O857">_xlfn.IFS(orders[[#This Row],[Customer Gender]]="M","Male", orders[[#This Row],[Customer Gender]]="F","Female", orders[[#This Row],[Customer Gender]]="O","Other", TRUE,"Unknown")</f>
        <v>Unknown</v>
      </c>
    </row>
    <row r="858" spans="1:15" x14ac:dyDescent="0.2">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f t="array" ref="O858">_xlfn.IFS(orders[[#This Row],[Customer Gender]]="M","Male", orders[[#This Row],[Customer Gender]]="F","Female", orders[[#This Row],[Customer Gender]]="O","Other", TRUE,"Unknown")</f>
        <v>Female</v>
      </c>
    </row>
    <row r="859" spans="1:15" x14ac:dyDescent="0.2">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f t="array" ref="O859">_xlfn.IFS(orders[[#This Row],[Customer Gender]]="M","Male", orders[[#This Row],[Customer Gender]]="F","Female", orders[[#This Row],[Customer Gender]]="O","Other", TRUE,"Unknown")</f>
        <v>Female</v>
      </c>
    </row>
    <row r="860" spans="1:15" x14ac:dyDescent="0.2">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f t="array" ref="O860">_xlfn.IFS(orders[[#This Row],[Customer Gender]]="M","Male", orders[[#This Row],[Customer Gender]]="F","Female", orders[[#This Row],[Customer Gender]]="O","Other", TRUE,"Unknown")</f>
        <v>Male</v>
      </c>
    </row>
    <row r="861" spans="1:15" x14ac:dyDescent="0.2">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f t="array" ref="O861">_xlfn.IFS(orders[[#This Row],[Customer Gender]]="M","Male", orders[[#This Row],[Customer Gender]]="F","Female", orders[[#This Row],[Customer Gender]]="O","Other", TRUE,"Unknown")</f>
        <v>Female</v>
      </c>
    </row>
    <row r="862" spans="1:15" x14ac:dyDescent="0.2">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f t="array" ref="O862">_xlfn.IFS(orders[[#This Row],[Customer Gender]]="M","Male", orders[[#This Row],[Customer Gender]]="F","Female", orders[[#This Row],[Customer Gender]]="O","Other", TRUE,"Unknown")</f>
        <v>Unknown</v>
      </c>
    </row>
    <row r="863" spans="1:15" x14ac:dyDescent="0.2">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f t="array" ref="O863">_xlfn.IFS(orders[[#This Row],[Customer Gender]]="M","Male", orders[[#This Row],[Customer Gender]]="F","Female", orders[[#This Row],[Customer Gender]]="O","Other", TRUE,"Unknown")</f>
        <v>Male</v>
      </c>
    </row>
    <row r="864" spans="1:15" x14ac:dyDescent="0.2">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f t="array" ref="O864">_xlfn.IFS(orders[[#This Row],[Customer Gender]]="M","Male", orders[[#This Row],[Customer Gender]]="F","Female", orders[[#This Row],[Customer Gender]]="O","Other", TRUE,"Unknown")</f>
        <v>Male</v>
      </c>
    </row>
    <row r="865" spans="1:15" x14ac:dyDescent="0.2">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f t="array" ref="O865">_xlfn.IFS(orders[[#This Row],[Customer Gender]]="M","Male", orders[[#This Row],[Customer Gender]]="F","Female", orders[[#This Row],[Customer Gender]]="O","Other", TRUE,"Unknown")</f>
        <v>Female</v>
      </c>
    </row>
    <row r="866" spans="1:15" x14ac:dyDescent="0.2">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f t="array" ref="O866">_xlfn.IFS(orders[[#This Row],[Customer Gender]]="M","Male", orders[[#This Row],[Customer Gender]]="F","Female", orders[[#This Row],[Customer Gender]]="O","Other", TRUE,"Unknown")</f>
        <v>Female</v>
      </c>
    </row>
    <row r="867" spans="1:15" x14ac:dyDescent="0.2">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f t="array" ref="O867">_xlfn.IFS(orders[[#This Row],[Customer Gender]]="M","Male", orders[[#This Row],[Customer Gender]]="F","Female", orders[[#This Row],[Customer Gender]]="O","Other", TRUE,"Unknown")</f>
        <v>Female</v>
      </c>
    </row>
    <row r="868" spans="1:15" x14ac:dyDescent="0.2">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f t="array" ref="O868">_xlfn.IFS(orders[[#This Row],[Customer Gender]]="M","Male", orders[[#This Row],[Customer Gender]]="F","Female", orders[[#This Row],[Customer Gender]]="O","Other", TRUE,"Unknown")</f>
        <v>Male</v>
      </c>
    </row>
    <row r="869" spans="1:15" x14ac:dyDescent="0.2">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f t="array" ref="O869">_xlfn.IFS(orders[[#This Row],[Customer Gender]]="M","Male", orders[[#This Row],[Customer Gender]]="F","Female", orders[[#This Row],[Customer Gender]]="O","Other", TRUE,"Unknown")</f>
        <v>Female</v>
      </c>
    </row>
    <row r="870" spans="1:15" x14ac:dyDescent="0.2">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f t="array" ref="O870">_xlfn.IFS(orders[[#This Row],[Customer Gender]]="M","Male", orders[[#This Row],[Customer Gender]]="F","Female", orders[[#This Row],[Customer Gender]]="O","Other", TRUE,"Unknown")</f>
        <v>Male</v>
      </c>
    </row>
    <row r="871" spans="1:15" x14ac:dyDescent="0.2">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f t="array" ref="O871">_xlfn.IFS(orders[[#This Row],[Customer Gender]]="M","Male", orders[[#This Row],[Customer Gender]]="F","Female", orders[[#This Row],[Customer Gender]]="O","Other", TRUE,"Unknown")</f>
        <v>Female</v>
      </c>
    </row>
    <row r="872" spans="1:15" x14ac:dyDescent="0.2">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f t="array" ref="O872">_xlfn.IFS(orders[[#This Row],[Customer Gender]]="M","Male", orders[[#This Row],[Customer Gender]]="F","Female", orders[[#This Row],[Customer Gender]]="O","Other", TRUE,"Unknown")</f>
        <v>Male</v>
      </c>
    </row>
    <row r="873" spans="1:15" x14ac:dyDescent="0.2">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f t="array" ref="O873">_xlfn.IFS(orders[[#This Row],[Customer Gender]]="M","Male", orders[[#This Row],[Customer Gender]]="F","Female", orders[[#This Row],[Customer Gender]]="O","Other", TRUE,"Unknown")</f>
        <v>Female</v>
      </c>
    </row>
    <row r="874" spans="1:15" x14ac:dyDescent="0.2">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f t="array" ref="O874">_xlfn.IFS(orders[[#This Row],[Customer Gender]]="M","Male", orders[[#This Row],[Customer Gender]]="F","Female", orders[[#This Row],[Customer Gender]]="O","Other", TRUE,"Unknown")</f>
        <v>Female</v>
      </c>
    </row>
    <row r="875" spans="1:15" x14ac:dyDescent="0.2">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f t="array" ref="O875">_xlfn.IFS(orders[[#This Row],[Customer Gender]]="M","Male", orders[[#This Row],[Customer Gender]]="F","Female", orders[[#This Row],[Customer Gender]]="O","Other", TRUE,"Unknown")</f>
        <v>Female</v>
      </c>
    </row>
    <row r="876" spans="1:15" x14ac:dyDescent="0.2">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f t="array" ref="O876">_xlfn.IFS(orders[[#This Row],[Customer Gender]]="M","Male", orders[[#This Row],[Customer Gender]]="F","Female", orders[[#This Row],[Customer Gender]]="O","Other", TRUE,"Unknown")</f>
        <v>Female</v>
      </c>
    </row>
    <row r="877" spans="1:15" x14ac:dyDescent="0.2">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f t="array" ref="O877">_xlfn.IFS(orders[[#This Row],[Customer Gender]]="M","Male", orders[[#This Row],[Customer Gender]]="F","Female", orders[[#This Row],[Customer Gender]]="O","Other", TRUE,"Unknown")</f>
        <v>Female</v>
      </c>
    </row>
    <row r="878" spans="1:15" x14ac:dyDescent="0.2">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f t="array" ref="O878">_xlfn.IFS(orders[[#This Row],[Customer Gender]]="M","Male", orders[[#This Row],[Customer Gender]]="F","Female", orders[[#This Row],[Customer Gender]]="O","Other", TRUE,"Unknown")</f>
        <v>Male</v>
      </c>
    </row>
    <row r="879" spans="1:15" x14ac:dyDescent="0.2">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f t="array" ref="O879">_xlfn.IFS(orders[[#This Row],[Customer Gender]]="M","Male", orders[[#This Row],[Customer Gender]]="F","Female", orders[[#This Row],[Customer Gender]]="O","Other", TRUE,"Unknown")</f>
        <v>Female</v>
      </c>
    </row>
    <row r="880" spans="1:15" x14ac:dyDescent="0.2">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f t="array" ref="O880">_xlfn.IFS(orders[[#This Row],[Customer Gender]]="M","Male", orders[[#This Row],[Customer Gender]]="F","Female", orders[[#This Row],[Customer Gender]]="O","Other", TRUE,"Unknown")</f>
        <v>Male</v>
      </c>
    </row>
    <row r="881" spans="1:15" x14ac:dyDescent="0.2">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f t="array" ref="O881">_xlfn.IFS(orders[[#This Row],[Customer Gender]]="M","Male", orders[[#This Row],[Customer Gender]]="F","Female", orders[[#This Row],[Customer Gender]]="O","Other", TRUE,"Unknown")</f>
        <v>Female</v>
      </c>
    </row>
    <row r="882" spans="1:15" x14ac:dyDescent="0.2">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f t="array" ref="O882">_xlfn.IFS(orders[[#This Row],[Customer Gender]]="M","Male", orders[[#This Row],[Customer Gender]]="F","Female", orders[[#This Row],[Customer Gender]]="O","Other", TRUE,"Unknown")</f>
        <v>Female</v>
      </c>
    </row>
    <row r="883" spans="1:15" x14ac:dyDescent="0.2">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f t="array" ref="O883">_xlfn.IFS(orders[[#This Row],[Customer Gender]]="M","Male", orders[[#This Row],[Customer Gender]]="F","Female", orders[[#This Row],[Customer Gender]]="O","Other", TRUE,"Unknown")</f>
        <v>Female</v>
      </c>
    </row>
    <row r="884" spans="1:15" x14ac:dyDescent="0.2">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f t="array" ref="O884">_xlfn.IFS(orders[[#This Row],[Customer Gender]]="M","Male", orders[[#This Row],[Customer Gender]]="F","Female", orders[[#This Row],[Customer Gender]]="O","Other", TRUE,"Unknown")</f>
        <v>Female</v>
      </c>
    </row>
    <row r="885" spans="1:15" x14ac:dyDescent="0.2">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f t="array" ref="O885">_xlfn.IFS(orders[[#This Row],[Customer Gender]]="M","Male", orders[[#This Row],[Customer Gender]]="F","Female", orders[[#This Row],[Customer Gender]]="O","Other", TRUE,"Unknown")</f>
        <v>Male</v>
      </c>
    </row>
    <row r="886" spans="1:15" x14ac:dyDescent="0.2">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f t="array" ref="O886">_xlfn.IFS(orders[[#This Row],[Customer Gender]]="M","Male", orders[[#This Row],[Customer Gender]]="F","Female", orders[[#This Row],[Customer Gender]]="O","Other", TRUE,"Unknown")</f>
        <v>Female</v>
      </c>
    </row>
    <row r="887" spans="1:15" x14ac:dyDescent="0.2">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f t="array" ref="O887">_xlfn.IFS(orders[[#This Row],[Customer Gender]]="M","Male", orders[[#This Row],[Customer Gender]]="F","Female", orders[[#This Row],[Customer Gender]]="O","Other", TRUE,"Unknown")</f>
        <v>Male</v>
      </c>
    </row>
    <row r="888" spans="1:15" x14ac:dyDescent="0.2">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f t="array" ref="O888">_xlfn.IFS(orders[[#This Row],[Customer Gender]]="M","Male", orders[[#This Row],[Customer Gender]]="F","Female", orders[[#This Row],[Customer Gender]]="O","Other", TRUE,"Unknown")</f>
        <v>Male</v>
      </c>
    </row>
    <row r="889" spans="1:15" x14ac:dyDescent="0.2">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f t="array" ref="O889">_xlfn.IFS(orders[[#This Row],[Customer Gender]]="M","Male", orders[[#This Row],[Customer Gender]]="F","Female", orders[[#This Row],[Customer Gender]]="O","Other", TRUE,"Unknown")</f>
        <v>Female</v>
      </c>
    </row>
    <row r="890" spans="1:15" x14ac:dyDescent="0.2">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f t="array" ref="O890">_xlfn.IFS(orders[[#This Row],[Customer Gender]]="M","Male", orders[[#This Row],[Customer Gender]]="F","Female", orders[[#This Row],[Customer Gender]]="O","Other", TRUE,"Unknown")</f>
        <v>Female</v>
      </c>
    </row>
    <row r="891" spans="1:15" x14ac:dyDescent="0.2">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f t="array" ref="O891">_xlfn.IFS(orders[[#This Row],[Customer Gender]]="M","Male", orders[[#This Row],[Customer Gender]]="F","Female", orders[[#This Row],[Customer Gender]]="O","Other", TRUE,"Unknown")</f>
        <v>Female</v>
      </c>
    </row>
    <row r="892" spans="1:15" x14ac:dyDescent="0.2">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f t="array" ref="O892">_xlfn.IFS(orders[[#This Row],[Customer Gender]]="M","Male", orders[[#This Row],[Customer Gender]]="F","Female", orders[[#This Row],[Customer Gender]]="O","Other", TRUE,"Unknown")</f>
        <v>Female</v>
      </c>
    </row>
    <row r="893" spans="1:15" x14ac:dyDescent="0.2">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f t="array" ref="O893">_xlfn.IFS(orders[[#This Row],[Customer Gender]]="M","Male", orders[[#This Row],[Customer Gender]]="F","Female", orders[[#This Row],[Customer Gender]]="O","Other", TRUE,"Unknown")</f>
        <v>Male</v>
      </c>
    </row>
    <row r="894" spans="1:15" x14ac:dyDescent="0.2">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f t="array" ref="O894">_xlfn.IFS(orders[[#This Row],[Customer Gender]]="M","Male", orders[[#This Row],[Customer Gender]]="F","Female", orders[[#This Row],[Customer Gender]]="O","Other", TRUE,"Unknown")</f>
        <v>Male</v>
      </c>
    </row>
    <row r="895" spans="1:15" x14ac:dyDescent="0.2">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f t="array" ref="O895">_xlfn.IFS(orders[[#This Row],[Customer Gender]]="M","Male", orders[[#This Row],[Customer Gender]]="F","Female", orders[[#This Row],[Customer Gender]]="O","Other", TRUE,"Unknown")</f>
        <v>Female</v>
      </c>
    </row>
    <row r="896" spans="1:15" x14ac:dyDescent="0.2">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f t="array" ref="O896">_xlfn.IFS(orders[[#This Row],[Customer Gender]]="M","Male", orders[[#This Row],[Customer Gender]]="F","Female", orders[[#This Row],[Customer Gender]]="O","Other", TRUE,"Unknown")</f>
        <v>Female</v>
      </c>
    </row>
    <row r="897" spans="1:15" x14ac:dyDescent="0.2">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f t="array" ref="O897">_xlfn.IFS(orders[[#This Row],[Customer Gender]]="M","Male", orders[[#This Row],[Customer Gender]]="F","Female", orders[[#This Row],[Customer Gender]]="O","Other", TRUE,"Unknown")</f>
        <v>Female</v>
      </c>
    </row>
    <row r="898" spans="1:15" x14ac:dyDescent="0.2">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f t="array" ref="O898">_xlfn.IFS(orders[[#This Row],[Customer Gender]]="M","Male", orders[[#This Row],[Customer Gender]]="F","Female", orders[[#This Row],[Customer Gender]]="O","Other", TRUE,"Unknown")</f>
        <v>Female</v>
      </c>
    </row>
    <row r="899" spans="1:15" x14ac:dyDescent="0.2">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f t="array" ref="O899">_xlfn.IFS(orders[[#This Row],[Customer Gender]]="M","Male", orders[[#This Row],[Customer Gender]]="F","Female", orders[[#This Row],[Customer Gender]]="O","Other", TRUE,"Unknown")</f>
        <v>Female</v>
      </c>
    </row>
    <row r="900" spans="1:15" x14ac:dyDescent="0.2">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f t="array" ref="O900">_xlfn.IFS(orders[[#This Row],[Customer Gender]]="M","Male", orders[[#This Row],[Customer Gender]]="F","Female", orders[[#This Row],[Customer Gender]]="O","Other", TRUE,"Unknown")</f>
        <v>Female</v>
      </c>
    </row>
    <row r="901" spans="1:15" x14ac:dyDescent="0.2">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f t="array" ref="O901">_xlfn.IFS(orders[[#This Row],[Customer Gender]]="M","Male", orders[[#This Row],[Customer Gender]]="F","Female", orders[[#This Row],[Customer Gender]]="O","Other", TRUE,"Unknown")</f>
        <v>Unknown</v>
      </c>
    </row>
    <row r="902" spans="1:15" x14ac:dyDescent="0.2">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f t="array" ref="O902">_xlfn.IFS(orders[[#This Row],[Customer Gender]]="M","Male", orders[[#This Row],[Customer Gender]]="F","Female", orders[[#This Row],[Customer Gender]]="O","Other", TRUE,"Unknown")</f>
        <v>Female</v>
      </c>
    </row>
    <row r="903" spans="1:15" x14ac:dyDescent="0.2">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f t="array" ref="O903">_xlfn.IFS(orders[[#This Row],[Customer Gender]]="M","Male", orders[[#This Row],[Customer Gender]]="F","Female", orders[[#This Row],[Customer Gender]]="O","Other", TRUE,"Unknown")</f>
        <v>Female</v>
      </c>
    </row>
    <row r="904" spans="1:15" x14ac:dyDescent="0.2">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f t="array" ref="O904">_xlfn.IFS(orders[[#This Row],[Customer Gender]]="M","Male", orders[[#This Row],[Customer Gender]]="F","Female", orders[[#This Row],[Customer Gender]]="O","Other", TRUE,"Unknown")</f>
        <v>Male</v>
      </c>
    </row>
    <row r="905" spans="1:15" x14ac:dyDescent="0.2">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f t="array" ref="O905">_xlfn.IFS(orders[[#This Row],[Customer Gender]]="M","Male", orders[[#This Row],[Customer Gender]]="F","Female", orders[[#This Row],[Customer Gender]]="O","Other", TRUE,"Unknown")</f>
        <v>Female</v>
      </c>
    </row>
    <row r="906" spans="1:15" x14ac:dyDescent="0.2">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f t="array" ref="O906">_xlfn.IFS(orders[[#This Row],[Customer Gender]]="M","Male", orders[[#This Row],[Customer Gender]]="F","Female", orders[[#This Row],[Customer Gender]]="O","Other", TRUE,"Unknown")</f>
        <v>Other</v>
      </c>
    </row>
    <row r="907" spans="1:15" x14ac:dyDescent="0.2">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f t="array" ref="O907">_xlfn.IFS(orders[[#This Row],[Customer Gender]]="M","Male", orders[[#This Row],[Customer Gender]]="F","Female", orders[[#This Row],[Customer Gender]]="O","Other", TRUE,"Unknown")</f>
        <v>Unknown</v>
      </c>
    </row>
    <row r="908" spans="1:15" x14ac:dyDescent="0.2">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f t="array" ref="O908">_xlfn.IFS(orders[[#This Row],[Customer Gender]]="M","Male", orders[[#This Row],[Customer Gender]]="F","Female", orders[[#This Row],[Customer Gender]]="O","Other", TRUE,"Unknown")</f>
        <v>Female</v>
      </c>
    </row>
    <row r="909" spans="1:15" x14ac:dyDescent="0.2">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f t="array" ref="O909">_xlfn.IFS(orders[[#This Row],[Customer Gender]]="M","Male", orders[[#This Row],[Customer Gender]]="F","Female", orders[[#This Row],[Customer Gender]]="O","Other", TRUE,"Unknown")</f>
        <v>Male</v>
      </c>
    </row>
    <row r="910" spans="1:15" x14ac:dyDescent="0.2">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f t="array" ref="O910">_xlfn.IFS(orders[[#This Row],[Customer Gender]]="M","Male", orders[[#This Row],[Customer Gender]]="F","Female", orders[[#This Row],[Customer Gender]]="O","Other", TRUE,"Unknown")</f>
        <v>Male</v>
      </c>
    </row>
    <row r="911" spans="1:15" x14ac:dyDescent="0.2">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f t="array" ref="O911">_xlfn.IFS(orders[[#This Row],[Customer Gender]]="M","Male", orders[[#This Row],[Customer Gender]]="F","Female", orders[[#This Row],[Customer Gender]]="O","Other", TRUE,"Unknown")</f>
        <v>Unknown</v>
      </c>
    </row>
    <row r="912" spans="1:15" x14ac:dyDescent="0.2">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f t="array" ref="O912">_xlfn.IFS(orders[[#This Row],[Customer Gender]]="M","Male", orders[[#This Row],[Customer Gender]]="F","Female", orders[[#This Row],[Customer Gender]]="O","Other", TRUE,"Unknown")</f>
        <v>Male</v>
      </c>
    </row>
    <row r="913" spans="1:15" x14ac:dyDescent="0.2">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f t="array" ref="O913">_xlfn.IFS(orders[[#This Row],[Customer Gender]]="M","Male", orders[[#This Row],[Customer Gender]]="F","Female", orders[[#This Row],[Customer Gender]]="O","Other", TRUE,"Unknown")</f>
        <v>Male</v>
      </c>
    </row>
    <row r="914" spans="1:15" x14ac:dyDescent="0.2">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f t="array" ref="O914">_xlfn.IFS(orders[[#This Row],[Customer Gender]]="M","Male", orders[[#This Row],[Customer Gender]]="F","Female", orders[[#This Row],[Customer Gender]]="O","Other", TRUE,"Unknown")</f>
        <v>Male</v>
      </c>
    </row>
    <row r="915" spans="1:15" x14ac:dyDescent="0.2">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f t="array" ref="O915">_xlfn.IFS(orders[[#This Row],[Customer Gender]]="M","Male", orders[[#This Row],[Customer Gender]]="F","Female", orders[[#This Row],[Customer Gender]]="O","Other", TRUE,"Unknown")</f>
        <v>Unknown</v>
      </c>
    </row>
    <row r="916" spans="1:15" x14ac:dyDescent="0.2">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f t="array" ref="O916">_xlfn.IFS(orders[[#This Row],[Customer Gender]]="M","Male", orders[[#This Row],[Customer Gender]]="F","Female", orders[[#This Row],[Customer Gender]]="O","Other", TRUE,"Unknown")</f>
        <v>Female</v>
      </c>
    </row>
    <row r="917" spans="1:15" x14ac:dyDescent="0.2">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f t="array" ref="O917">_xlfn.IFS(orders[[#This Row],[Customer Gender]]="M","Male", orders[[#This Row],[Customer Gender]]="F","Female", orders[[#This Row],[Customer Gender]]="O","Other", TRUE,"Unknown")</f>
        <v>Female</v>
      </c>
    </row>
    <row r="918" spans="1:15" x14ac:dyDescent="0.2">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f t="array" ref="O918">_xlfn.IFS(orders[[#This Row],[Customer Gender]]="M","Male", orders[[#This Row],[Customer Gender]]="F","Female", orders[[#This Row],[Customer Gender]]="O","Other", TRUE,"Unknown")</f>
        <v>Male</v>
      </c>
    </row>
    <row r="919" spans="1:15" x14ac:dyDescent="0.2">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f t="array" ref="O919">_xlfn.IFS(orders[[#This Row],[Customer Gender]]="M","Male", orders[[#This Row],[Customer Gender]]="F","Female", orders[[#This Row],[Customer Gender]]="O","Other", TRUE,"Unknown")</f>
        <v>Female</v>
      </c>
    </row>
    <row r="920" spans="1:15" x14ac:dyDescent="0.2">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f t="array" ref="O920">_xlfn.IFS(orders[[#This Row],[Customer Gender]]="M","Male", orders[[#This Row],[Customer Gender]]="F","Female", orders[[#This Row],[Customer Gender]]="O","Other", TRUE,"Unknown")</f>
        <v>Male</v>
      </c>
    </row>
    <row r="921" spans="1:15" x14ac:dyDescent="0.2">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f t="array" ref="O921">_xlfn.IFS(orders[[#This Row],[Customer Gender]]="M","Male", orders[[#This Row],[Customer Gender]]="F","Female", orders[[#This Row],[Customer Gender]]="O","Other", TRUE,"Unknown")</f>
        <v>Female</v>
      </c>
    </row>
    <row r="922" spans="1:15" x14ac:dyDescent="0.2">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f t="array" ref="O922">_xlfn.IFS(orders[[#This Row],[Customer Gender]]="M","Male", orders[[#This Row],[Customer Gender]]="F","Female", orders[[#This Row],[Customer Gender]]="O","Other", TRUE,"Unknown")</f>
        <v>Unknown</v>
      </c>
    </row>
    <row r="923" spans="1:15" x14ac:dyDescent="0.2">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f t="array" ref="O923">_xlfn.IFS(orders[[#This Row],[Customer Gender]]="M","Male", orders[[#This Row],[Customer Gender]]="F","Female", orders[[#This Row],[Customer Gender]]="O","Other", TRUE,"Unknown")</f>
        <v>Other</v>
      </c>
    </row>
    <row r="924" spans="1:15" x14ac:dyDescent="0.2">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f t="array" ref="O924">_xlfn.IFS(orders[[#This Row],[Customer Gender]]="M","Male", orders[[#This Row],[Customer Gender]]="F","Female", orders[[#This Row],[Customer Gender]]="O","Other", TRUE,"Unknown")</f>
        <v>Female</v>
      </c>
    </row>
    <row r="925" spans="1:15" x14ac:dyDescent="0.2">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f t="array" ref="O925">_xlfn.IFS(orders[[#This Row],[Customer Gender]]="M","Male", orders[[#This Row],[Customer Gender]]="F","Female", orders[[#This Row],[Customer Gender]]="O","Other", TRUE,"Unknown")</f>
        <v>Female</v>
      </c>
    </row>
    <row r="926" spans="1:15" x14ac:dyDescent="0.2">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f t="array" ref="O926">_xlfn.IFS(orders[[#This Row],[Customer Gender]]="M","Male", orders[[#This Row],[Customer Gender]]="F","Female", orders[[#This Row],[Customer Gender]]="O","Other", TRUE,"Unknown")</f>
        <v>Male</v>
      </c>
    </row>
    <row r="927" spans="1:15" x14ac:dyDescent="0.2">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f t="array" ref="O927">_xlfn.IFS(orders[[#This Row],[Customer Gender]]="M","Male", orders[[#This Row],[Customer Gender]]="F","Female", orders[[#This Row],[Customer Gender]]="O","Other", TRUE,"Unknown")</f>
        <v>Unknown</v>
      </c>
    </row>
    <row r="928" spans="1:15" x14ac:dyDescent="0.2">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f t="array" ref="O928">_xlfn.IFS(orders[[#This Row],[Customer Gender]]="M","Male", orders[[#This Row],[Customer Gender]]="F","Female", orders[[#This Row],[Customer Gender]]="O","Other", TRUE,"Unknown")</f>
        <v>Female</v>
      </c>
    </row>
    <row r="929" spans="1:15" x14ac:dyDescent="0.2">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f t="array" ref="O929">_xlfn.IFS(orders[[#This Row],[Customer Gender]]="M","Male", orders[[#This Row],[Customer Gender]]="F","Female", orders[[#This Row],[Customer Gender]]="O","Other", TRUE,"Unknown")</f>
        <v>Female</v>
      </c>
    </row>
    <row r="930" spans="1:15" x14ac:dyDescent="0.2">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f t="array" ref="O930">_xlfn.IFS(orders[[#This Row],[Customer Gender]]="M","Male", orders[[#This Row],[Customer Gender]]="F","Female", orders[[#This Row],[Customer Gender]]="O","Other", TRUE,"Unknown")</f>
        <v>Female</v>
      </c>
    </row>
    <row r="931" spans="1:15" x14ac:dyDescent="0.2">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f t="array" ref="O931">_xlfn.IFS(orders[[#This Row],[Customer Gender]]="M","Male", orders[[#This Row],[Customer Gender]]="F","Female", orders[[#This Row],[Customer Gender]]="O","Other", TRUE,"Unknown")</f>
        <v>Female</v>
      </c>
    </row>
    <row r="932" spans="1:15" x14ac:dyDescent="0.2">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f t="array" ref="O932">_xlfn.IFS(orders[[#This Row],[Customer Gender]]="M","Male", orders[[#This Row],[Customer Gender]]="F","Female", orders[[#This Row],[Customer Gender]]="O","Other", TRUE,"Unknown")</f>
        <v>Female</v>
      </c>
    </row>
    <row r="933" spans="1:15" x14ac:dyDescent="0.2">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f t="array" ref="O933">_xlfn.IFS(orders[[#This Row],[Customer Gender]]="M","Male", orders[[#This Row],[Customer Gender]]="F","Female", orders[[#This Row],[Customer Gender]]="O","Other", TRUE,"Unknown")</f>
        <v>Male</v>
      </c>
    </row>
    <row r="934" spans="1:15" x14ac:dyDescent="0.2">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f t="array" ref="O934">_xlfn.IFS(orders[[#This Row],[Customer Gender]]="M","Male", orders[[#This Row],[Customer Gender]]="F","Female", orders[[#This Row],[Customer Gender]]="O","Other", TRUE,"Unknown")</f>
        <v>Female</v>
      </c>
    </row>
    <row r="935" spans="1:15" x14ac:dyDescent="0.2">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f t="array" ref="O935">_xlfn.IFS(orders[[#This Row],[Customer Gender]]="M","Male", orders[[#This Row],[Customer Gender]]="F","Female", orders[[#This Row],[Customer Gender]]="O","Other", TRUE,"Unknown")</f>
        <v>Female</v>
      </c>
    </row>
    <row r="936" spans="1:15" x14ac:dyDescent="0.2">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f t="array" ref="O936">_xlfn.IFS(orders[[#This Row],[Customer Gender]]="M","Male", orders[[#This Row],[Customer Gender]]="F","Female", orders[[#This Row],[Customer Gender]]="O","Other", TRUE,"Unknown")</f>
        <v>Male</v>
      </c>
    </row>
    <row r="937" spans="1:15" x14ac:dyDescent="0.2">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f t="array" ref="O937">_xlfn.IFS(orders[[#This Row],[Customer Gender]]="M","Male", orders[[#This Row],[Customer Gender]]="F","Female", orders[[#This Row],[Customer Gender]]="O","Other", TRUE,"Unknown")</f>
        <v>Female</v>
      </c>
    </row>
    <row r="938" spans="1:15" x14ac:dyDescent="0.2">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f t="array" ref="O938">_xlfn.IFS(orders[[#This Row],[Customer Gender]]="M","Male", orders[[#This Row],[Customer Gender]]="F","Female", orders[[#This Row],[Customer Gender]]="O","Other", TRUE,"Unknown")</f>
        <v>Male</v>
      </c>
    </row>
    <row r="939" spans="1:15" x14ac:dyDescent="0.2">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f t="array" ref="O939">_xlfn.IFS(orders[[#This Row],[Customer Gender]]="M","Male", orders[[#This Row],[Customer Gender]]="F","Female", orders[[#This Row],[Customer Gender]]="O","Other", TRUE,"Unknown")</f>
        <v>Male</v>
      </c>
    </row>
    <row r="940" spans="1:15" x14ac:dyDescent="0.2">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f t="array" ref="O940">_xlfn.IFS(orders[[#This Row],[Customer Gender]]="M","Male", orders[[#This Row],[Customer Gender]]="F","Female", orders[[#This Row],[Customer Gender]]="O","Other", TRUE,"Unknown")</f>
        <v>Female</v>
      </c>
    </row>
    <row r="941" spans="1:15" x14ac:dyDescent="0.2">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f t="array" ref="O941">_xlfn.IFS(orders[[#This Row],[Customer Gender]]="M","Male", orders[[#This Row],[Customer Gender]]="F","Female", orders[[#This Row],[Customer Gender]]="O","Other", TRUE,"Unknown")</f>
        <v>Female</v>
      </c>
    </row>
    <row r="942" spans="1:15" x14ac:dyDescent="0.2">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f t="array" ref="O942">_xlfn.IFS(orders[[#This Row],[Customer Gender]]="M","Male", orders[[#This Row],[Customer Gender]]="F","Female", orders[[#This Row],[Customer Gender]]="O","Other", TRUE,"Unknown")</f>
        <v>Male</v>
      </c>
    </row>
    <row r="943" spans="1:15" x14ac:dyDescent="0.2">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f t="array" ref="O943">_xlfn.IFS(orders[[#This Row],[Customer Gender]]="M","Male", orders[[#This Row],[Customer Gender]]="F","Female", orders[[#This Row],[Customer Gender]]="O","Other", TRUE,"Unknown")</f>
        <v>Male</v>
      </c>
    </row>
    <row r="944" spans="1:15" x14ac:dyDescent="0.2">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f t="array" ref="O944">_xlfn.IFS(orders[[#This Row],[Customer Gender]]="M","Male", orders[[#This Row],[Customer Gender]]="F","Female", orders[[#This Row],[Customer Gender]]="O","Other", TRUE,"Unknown")</f>
        <v>Unknown</v>
      </c>
    </row>
    <row r="945" spans="1:15" x14ac:dyDescent="0.2">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f t="array" ref="O945">_xlfn.IFS(orders[[#This Row],[Customer Gender]]="M","Male", orders[[#This Row],[Customer Gender]]="F","Female", orders[[#This Row],[Customer Gender]]="O","Other", TRUE,"Unknown")</f>
        <v>Male</v>
      </c>
    </row>
    <row r="946" spans="1:15" x14ac:dyDescent="0.2">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f t="array" ref="O946">_xlfn.IFS(orders[[#This Row],[Customer Gender]]="M","Male", orders[[#This Row],[Customer Gender]]="F","Female", orders[[#This Row],[Customer Gender]]="O","Other", TRUE,"Unknown")</f>
        <v>Male</v>
      </c>
    </row>
    <row r="947" spans="1:15" x14ac:dyDescent="0.2">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f t="array" ref="O947">_xlfn.IFS(orders[[#This Row],[Customer Gender]]="M","Male", orders[[#This Row],[Customer Gender]]="F","Female", orders[[#This Row],[Customer Gender]]="O","Other", TRUE,"Unknown")</f>
        <v>Female</v>
      </c>
    </row>
    <row r="948" spans="1:15" x14ac:dyDescent="0.2">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f t="array" ref="O948">_xlfn.IFS(orders[[#This Row],[Customer Gender]]="M","Male", orders[[#This Row],[Customer Gender]]="F","Female", orders[[#This Row],[Customer Gender]]="O","Other", TRUE,"Unknown")</f>
        <v>Female</v>
      </c>
    </row>
    <row r="949" spans="1:15" x14ac:dyDescent="0.2">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f t="array" ref="O949">_xlfn.IFS(orders[[#This Row],[Customer Gender]]="M","Male", orders[[#This Row],[Customer Gender]]="F","Female", orders[[#This Row],[Customer Gender]]="O","Other", TRUE,"Unknown")</f>
        <v>Female</v>
      </c>
    </row>
    <row r="950" spans="1:15" x14ac:dyDescent="0.2">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f t="array" ref="O950">_xlfn.IFS(orders[[#This Row],[Customer Gender]]="M","Male", orders[[#This Row],[Customer Gender]]="F","Female", orders[[#This Row],[Customer Gender]]="O","Other", TRUE,"Unknown")</f>
        <v>Female</v>
      </c>
    </row>
    <row r="951" spans="1:15" x14ac:dyDescent="0.2">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f t="array" ref="O951">_xlfn.IFS(orders[[#This Row],[Customer Gender]]="M","Male", orders[[#This Row],[Customer Gender]]="F","Female", orders[[#This Row],[Customer Gender]]="O","Other", TRUE,"Unknown")</f>
        <v>Female</v>
      </c>
    </row>
    <row r="952" spans="1:15" x14ac:dyDescent="0.2">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f t="array" ref="O952">_xlfn.IFS(orders[[#This Row],[Customer Gender]]="M","Male", orders[[#This Row],[Customer Gender]]="F","Female", orders[[#This Row],[Customer Gender]]="O","Other", TRUE,"Unknown")</f>
        <v>Male</v>
      </c>
    </row>
    <row r="953" spans="1:15" x14ac:dyDescent="0.2">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f t="array" ref="O953">_xlfn.IFS(orders[[#This Row],[Customer Gender]]="M","Male", orders[[#This Row],[Customer Gender]]="F","Female", orders[[#This Row],[Customer Gender]]="O","Other", TRUE,"Unknown")</f>
        <v>Female</v>
      </c>
    </row>
    <row r="954" spans="1:15" x14ac:dyDescent="0.2">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f t="array" ref="O954">_xlfn.IFS(orders[[#This Row],[Customer Gender]]="M","Male", orders[[#This Row],[Customer Gender]]="F","Female", orders[[#This Row],[Customer Gender]]="O","Other", TRUE,"Unknown")</f>
        <v>Male</v>
      </c>
    </row>
    <row r="955" spans="1:15" x14ac:dyDescent="0.2">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f t="array" ref="O955">_xlfn.IFS(orders[[#This Row],[Customer Gender]]="M","Male", orders[[#This Row],[Customer Gender]]="F","Female", orders[[#This Row],[Customer Gender]]="O","Other", TRUE,"Unknown")</f>
        <v>Male</v>
      </c>
    </row>
    <row r="956" spans="1:15" x14ac:dyDescent="0.2">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f t="array" ref="O956">_xlfn.IFS(orders[[#This Row],[Customer Gender]]="M","Male", orders[[#This Row],[Customer Gender]]="F","Female", orders[[#This Row],[Customer Gender]]="O","Other", TRUE,"Unknown")</f>
        <v>Male</v>
      </c>
    </row>
    <row r="957" spans="1:15" x14ac:dyDescent="0.2">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f t="array" ref="O957">_xlfn.IFS(orders[[#This Row],[Customer Gender]]="M","Male", orders[[#This Row],[Customer Gender]]="F","Female", orders[[#This Row],[Customer Gender]]="O","Other", TRUE,"Unknown")</f>
        <v>Male</v>
      </c>
    </row>
    <row r="958" spans="1:15" x14ac:dyDescent="0.2">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f t="array" ref="O958">_xlfn.IFS(orders[[#This Row],[Customer Gender]]="M","Male", orders[[#This Row],[Customer Gender]]="F","Female", orders[[#This Row],[Customer Gender]]="O","Other", TRUE,"Unknown")</f>
        <v>Male</v>
      </c>
    </row>
    <row r="959" spans="1:15" x14ac:dyDescent="0.2">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f t="array" ref="O959">_xlfn.IFS(orders[[#This Row],[Customer Gender]]="M","Male", orders[[#This Row],[Customer Gender]]="F","Female", orders[[#This Row],[Customer Gender]]="O","Other", TRUE,"Unknown")</f>
        <v>Male</v>
      </c>
    </row>
    <row r="960" spans="1:15" x14ac:dyDescent="0.2">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f t="array" ref="O960">_xlfn.IFS(orders[[#This Row],[Customer Gender]]="M","Male", orders[[#This Row],[Customer Gender]]="F","Female", orders[[#This Row],[Customer Gender]]="O","Other", TRUE,"Unknown")</f>
        <v>Female</v>
      </c>
    </row>
    <row r="961" spans="1:15" x14ac:dyDescent="0.2">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f t="array" ref="O961">_xlfn.IFS(orders[[#This Row],[Customer Gender]]="M","Male", orders[[#This Row],[Customer Gender]]="F","Female", orders[[#This Row],[Customer Gender]]="O","Other", TRUE,"Unknown")</f>
        <v>Female</v>
      </c>
    </row>
    <row r="962" spans="1:15" x14ac:dyDescent="0.2">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f t="array" ref="O962">_xlfn.IFS(orders[[#This Row],[Customer Gender]]="M","Male", orders[[#This Row],[Customer Gender]]="F","Female", orders[[#This Row],[Customer Gender]]="O","Other", TRUE,"Unknown")</f>
        <v>Female</v>
      </c>
    </row>
    <row r="963" spans="1:15" x14ac:dyDescent="0.2">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f t="array" ref="O963">_xlfn.IFS(orders[[#This Row],[Customer Gender]]="M","Male", orders[[#This Row],[Customer Gender]]="F","Female", orders[[#This Row],[Customer Gender]]="O","Other", TRUE,"Unknown")</f>
        <v>Male</v>
      </c>
    </row>
    <row r="964" spans="1:15" x14ac:dyDescent="0.2">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f t="array" ref="O964">_xlfn.IFS(orders[[#This Row],[Customer Gender]]="M","Male", orders[[#This Row],[Customer Gender]]="F","Female", orders[[#This Row],[Customer Gender]]="O","Other", TRUE,"Unknown")</f>
        <v>Female</v>
      </c>
    </row>
    <row r="965" spans="1:15" x14ac:dyDescent="0.2">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f t="array" ref="O965">_xlfn.IFS(orders[[#This Row],[Customer Gender]]="M","Male", orders[[#This Row],[Customer Gender]]="F","Female", orders[[#This Row],[Customer Gender]]="O","Other", TRUE,"Unknown")</f>
        <v>Female</v>
      </c>
    </row>
    <row r="966" spans="1:15" x14ac:dyDescent="0.2">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f t="array" ref="O966">_xlfn.IFS(orders[[#This Row],[Customer Gender]]="M","Male", orders[[#This Row],[Customer Gender]]="F","Female", orders[[#This Row],[Customer Gender]]="O","Other", TRUE,"Unknown")</f>
        <v>Female</v>
      </c>
    </row>
    <row r="967" spans="1:15" x14ac:dyDescent="0.2">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f t="array" ref="O967">_xlfn.IFS(orders[[#This Row],[Customer Gender]]="M","Male", orders[[#This Row],[Customer Gender]]="F","Female", orders[[#This Row],[Customer Gender]]="O","Other", TRUE,"Unknown")</f>
        <v>Male</v>
      </c>
    </row>
    <row r="968" spans="1:15" x14ac:dyDescent="0.2">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f t="array" ref="O968">_xlfn.IFS(orders[[#This Row],[Customer Gender]]="M","Male", orders[[#This Row],[Customer Gender]]="F","Female", orders[[#This Row],[Customer Gender]]="O","Other", TRUE,"Unknown")</f>
        <v>Male</v>
      </c>
    </row>
    <row r="969" spans="1:15" x14ac:dyDescent="0.2">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f t="array" ref="O969">_xlfn.IFS(orders[[#This Row],[Customer Gender]]="M","Male", orders[[#This Row],[Customer Gender]]="F","Female", orders[[#This Row],[Customer Gender]]="O","Other", TRUE,"Unknown")</f>
        <v>Female</v>
      </c>
    </row>
    <row r="970" spans="1:15" x14ac:dyDescent="0.2">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f t="array" ref="O970">_xlfn.IFS(orders[[#This Row],[Customer Gender]]="M","Male", orders[[#This Row],[Customer Gender]]="F","Female", orders[[#This Row],[Customer Gender]]="O","Other", TRUE,"Unknown")</f>
        <v>Male</v>
      </c>
    </row>
    <row r="971" spans="1:15" x14ac:dyDescent="0.2">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f t="array" ref="O971">_xlfn.IFS(orders[[#This Row],[Customer Gender]]="M","Male", orders[[#This Row],[Customer Gender]]="F","Female", orders[[#This Row],[Customer Gender]]="O","Other", TRUE,"Unknown")</f>
        <v>Female</v>
      </c>
    </row>
    <row r="972" spans="1:15" x14ac:dyDescent="0.2">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f t="array" ref="O972">_xlfn.IFS(orders[[#This Row],[Customer Gender]]="M","Male", orders[[#This Row],[Customer Gender]]="F","Female", orders[[#This Row],[Customer Gender]]="O","Other", TRUE,"Unknown")</f>
        <v>Female</v>
      </c>
    </row>
    <row r="973" spans="1:15" x14ac:dyDescent="0.2">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f t="array" ref="O973">_xlfn.IFS(orders[[#This Row],[Customer Gender]]="M","Male", orders[[#This Row],[Customer Gender]]="F","Female", orders[[#This Row],[Customer Gender]]="O","Other", TRUE,"Unknown")</f>
        <v>Male</v>
      </c>
    </row>
    <row r="974" spans="1:15" x14ac:dyDescent="0.2">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f t="array" ref="O974">_xlfn.IFS(orders[[#This Row],[Customer Gender]]="M","Male", orders[[#This Row],[Customer Gender]]="F","Female", orders[[#This Row],[Customer Gender]]="O","Other", TRUE,"Unknown")</f>
        <v>Female</v>
      </c>
    </row>
    <row r="975" spans="1:15" x14ac:dyDescent="0.2">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f t="array" ref="O975">_xlfn.IFS(orders[[#This Row],[Customer Gender]]="M","Male", orders[[#This Row],[Customer Gender]]="F","Female", orders[[#This Row],[Customer Gender]]="O","Other", TRUE,"Unknown")</f>
        <v>Male</v>
      </c>
    </row>
    <row r="976" spans="1:15" x14ac:dyDescent="0.2">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f t="array" ref="O976">_xlfn.IFS(orders[[#This Row],[Customer Gender]]="M","Male", orders[[#This Row],[Customer Gender]]="F","Female", orders[[#This Row],[Customer Gender]]="O","Other", TRUE,"Unknown")</f>
        <v>Female</v>
      </c>
    </row>
    <row r="977" spans="1:15" x14ac:dyDescent="0.2">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f t="array" ref="O977">_xlfn.IFS(orders[[#This Row],[Customer Gender]]="M","Male", orders[[#This Row],[Customer Gender]]="F","Female", orders[[#This Row],[Customer Gender]]="O","Other", TRUE,"Unknown")</f>
        <v>Female</v>
      </c>
    </row>
    <row r="978" spans="1:15" x14ac:dyDescent="0.2">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f t="array" ref="O978">_xlfn.IFS(orders[[#This Row],[Customer Gender]]="M","Male", orders[[#This Row],[Customer Gender]]="F","Female", orders[[#This Row],[Customer Gender]]="O","Other", TRUE,"Unknown")</f>
        <v>Female</v>
      </c>
    </row>
    <row r="979" spans="1:15" x14ac:dyDescent="0.2">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f t="array" ref="O979">_xlfn.IFS(orders[[#This Row],[Customer Gender]]="M","Male", orders[[#This Row],[Customer Gender]]="F","Female", orders[[#This Row],[Customer Gender]]="O","Other", TRUE,"Unknown")</f>
        <v>Female</v>
      </c>
    </row>
    <row r="980" spans="1:15" x14ac:dyDescent="0.2">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f t="array" ref="O980">_xlfn.IFS(orders[[#This Row],[Customer Gender]]="M","Male", orders[[#This Row],[Customer Gender]]="F","Female", orders[[#This Row],[Customer Gender]]="O","Other", TRUE,"Unknown")</f>
        <v>Female</v>
      </c>
    </row>
    <row r="981" spans="1:15" x14ac:dyDescent="0.2">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f t="array" ref="O981">_xlfn.IFS(orders[[#This Row],[Customer Gender]]="M","Male", orders[[#This Row],[Customer Gender]]="F","Female", orders[[#This Row],[Customer Gender]]="O","Other", TRUE,"Unknown")</f>
        <v>Female</v>
      </c>
    </row>
    <row r="982" spans="1:15" x14ac:dyDescent="0.2">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f t="array" ref="O982">_xlfn.IFS(orders[[#This Row],[Customer Gender]]="M","Male", orders[[#This Row],[Customer Gender]]="F","Female", orders[[#This Row],[Customer Gender]]="O","Other", TRUE,"Unknown")</f>
        <v>Male</v>
      </c>
    </row>
    <row r="983" spans="1:15" x14ac:dyDescent="0.2">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f t="array" ref="O983">_xlfn.IFS(orders[[#This Row],[Customer Gender]]="M","Male", orders[[#This Row],[Customer Gender]]="F","Female", orders[[#This Row],[Customer Gender]]="O","Other", TRUE,"Unknown")</f>
        <v>Female</v>
      </c>
    </row>
    <row r="984" spans="1:15" x14ac:dyDescent="0.2">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f t="array" ref="O984">_xlfn.IFS(orders[[#This Row],[Customer Gender]]="M","Male", orders[[#This Row],[Customer Gender]]="F","Female", orders[[#This Row],[Customer Gender]]="O","Other", TRUE,"Unknown")</f>
        <v>Female</v>
      </c>
    </row>
    <row r="985" spans="1:15" x14ac:dyDescent="0.2">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f t="array" ref="O985">_xlfn.IFS(orders[[#This Row],[Customer Gender]]="M","Male", orders[[#This Row],[Customer Gender]]="F","Female", orders[[#This Row],[Customer Gender]]="O","Other", TRUE,"Unknown")</f>
        <v>Female</v>
      </c>
    </row>
    <row r="986" spans="1:15" x14ac:dyDescent="0.2">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f t="array" ref="O986">_xlfn.IFS(orders[[#This Row],[Customer Gender]]="M","Male", orders[[#This Row],[Customer Gender]]="F","Female", orders[[#This Row],[Customer Gender]]="O","Other", TRUE,"Unknown")</f>
        <v>Male</v>
      </c>
    </row>
    <row r="987" spans="1:15" x14ac:dyDescent="0.2">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f t="array" ref="O987">_xlfn.IFS(orders[[#This Row],[Customer Gender]]="M","Male", orders[[#This Row],[Customer Gender]]="F","Female", orders[[#This Row],[Customer Gender]]="O","Other", TRUE,"Unknown")</f>
        <v>Male</v>
      </c>
    </row>
    <row r="988" spans="1:15" x14ac:dyDescent="0.2">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f t="array" ref="O988">_xlfn.IFS(orders[[#This Row],[Customer Gender]]="M","Male", orders[[#This Row],[Customer Gender]]="F","Female", orders[[#This Row],[Customer Gender]]="O","Other", TRUE,"Unknown")</f>
        <v>Unknown</v>
      </c>
    </row>
    <row r="989" spans="1:15" x14ac:dyDescent="0.2">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f t="array" ref="O989">_xlfn.IFS(orders[[#This Row],[Customer Gender]]="M","Male", orders[[#This Row],[Customer Gender]]="F","Female", orders[[#This Row],[Customer Gender]]="O","Other", TRUE,"Unknown")</f>
        <v>Male</v>
      </c>
    </row>
    <row r="990" spans="1:15" x14ac:dyDescent="0.2">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f t="array" ref="O990">_xlfn.IFS(orders[[#This Row],[Customer Gender]]="M","Male", orders[[#This Row],[Customer Gender]]="F","Female", orders[[#This Row],[Customer Gender]]="O","Other", TRUE,"Unknown")</f>
        <v>Female</v>
      </c>
    </row>
    <row r="991" spans="1:15" x14ac:dyDescent="0.2">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f t="array" ref="O991">_xlfn.IFS(orders[[#This Row],[Customer Gender]]="M","Male", orders[[#This Row],[Customer Gender]]="F","Female", orders[[#This Row],[Customer Gender]]="O","Other", TRUE,"Unknown")</f>
        <v>Female</v>
      </c>
    </row>
    <row r="992" spans="1:15" x14ac:dyDescent="0.2">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f t="array" ref="O992">_xlfn.IFS(orders[[#This Row],[Customer Gender]]="M","Male", orders[[#This Row],[Customer Gender]]="F","Female", orders[[#This Row],[Customer Gender]]="O","Other", TRUE,"Unknown")</f>
        <v>Unknown</v>
      </c>
    </row>
    <row r="993" spans="1:15" x14ac:dyDescent="0.2">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f t="array" ref="O993">_xlfn.IFS(orders[[#This Row],[Customer Gender]]="M","Male", orders[[#This Row],[Customer Gender]]="F","Female", orders[[#This Row],[Customer Gender]]="O","Other", TRUE,"Unknown")</f>
        <v>Female</v>
      </c>
    </row>
    <row r="994" spans="1:15" x14ac:dyDescent="0.2">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f t="array" ref="O994">_xlfn.IFS(orders[[#This Row],[Customer Gender]]="M","Male", orders[[#This Row],[Customer Gender]]="F","Female", orders[[#This Row],[Customer Gender]]="O","Other", TRUE,"Unknown")</f>
        <v>Other</v>
      </c>
    </row>
    <row r="995" spans="1:15" x14ac:dyDescent="0.2">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f t="array" ref="O995">_xlfn.IFS(orders[[#This Row],[Customer Gender]]="M","Male", orders[[#This Row],[Customer Gender]]="F","Female", orders[[#This Row],[Customer Gender]]="O","Other", TRUE,"Unknown")</f>
        <v>Female</v>
      </c>
    </row>
    <row r="996" spans="1:15" x14ac:dyDescent="0.2">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f t="array" ref="O996">_xlfn.IFS(orders[[#This Row],[Customer Gender]]="M","Male", orders[[#This Row],[Customer Gender]]="F","Female", orders[[#This Row],[Customer Gender]]="O","Other", TRUE,"Unknown")</f>
        <v>Female</v>
      </c>
    </row>
    <row r="997" spans="1:15" x14ac:dyDescent="0.2">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f t="array" ref="O997">_xlfn.IFS(orders[[#This Row],[Customer Gender]]="M","Male", orders[[#This Row],[Customer Gender]]="F","Female", orders[[#This Row],[Customer Gender]]="O","Other", TRUE,"Unknown")</f>
        <v>Female</v>
      </c>
    </row>
    <row r="998" spans="1:15" x14ac:dyDescent="0.2">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f t="array" ref="O998">_xlfn.IFS(orders[[#This Row],[Customer Gender]]="M","Male", orders[[#This Row],[Customer Gender]]="F","Female", orders[[#This Row],[Customer Gender]]="O","Other", TRUE,"Unknown")</f>
        <v>Female</v>
      </c>
    </row>
    <row r="999" spans="1:15" x14ac:dyDescent="0.2">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f t="array" ref="O999">_xlfn.IFS(orders[[#This Row],[Customer Gender]]="M","Male", orders[[#This Row],[Customer Gender]]="F","Female", orders[[#This Row],[Customer Gender]]="O","Other", TRUE,"Unknown")</f>
        <v>Female</v>
      </c>
    </row>
    <row r="1000" spans="1:15" x14ac:dyDescent="0.2">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f t="array" ref="O1000">_xlfn.IFS(orders[[#This Row],[Customer Gender]]="M","Male", orders[[#This Row],[Customer Gender]]="F","Female", orders[[#This Row],[Customer Gender]]="O","Other", TRUE,"Unknown")</f>
        <v>Female</v>
      </c>
    </row>
    <row r="1001" spans="1:15" x14ac:dyDescent="0.2">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f t="array" ref="O1001">_xlfn.IFS(orders[[#This Row],[Customer Gender]]="M","Male", orders[[#This Row],[Customer Gender]]="F","Female", orders[[#This Row],[Customer Gender]]="O","Other", TRUE,"Unknown")</f>
        <v>Female</v>
      </c>
    </row>
    <row r="1002" spans="1:15" x14ac:dyDescent="0.2">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f t="array" ref="O1002">_xlfn.IFS(orders[[#This Row],[Customer Gender]]="M","Male", orders[[#This Row],[Customer Gender]]="F","Female", orders[[#This Row],[Customer Gender]]="O","Other", TRUE,"Unknown")</f>
        <v>Female</v>
      </c>
    </row>
    <row r="1003" spans="1:15" x14ac:dyDescent="0.2">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f t="array" ref="O1003">_xlfn.IFS(orders[[#This Row],[Customer Gender]]="M","Male", orders[[#This Row],[Customer Gender]]="F","Female", orders[[#This Row],[Customer Gender]]="O","Other", TRUE,"Unknown")</f>
        <v>Female</v>
      </c>
    </row>
    <row r="1004" spans="1:15" x14ac:dyDescent="0.2">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f t="array" ref="O1004">_xlfn.IFS(orders[[#This Row],[Customer Gender]]="M","Male", orders[[#This Row],[Customer Gender]]="F","Female", orders[[#This Row],[Customer Gender]]="O","Other", TRUE,"Unknown")</f>
        <v>Female</v>
      </c>
    </row>
    <row r="1005" spans="1:15" x14ac:dyDescent="0.2">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f t="array" ref="O1005">_xlfn.IFS(orders[[#This Row],[Customer Gender]]="M","Male", orders[[#This Row],[Customer Gender]]="F","Female", orders[[#This Row],[Customer Gender]]="O","Other", TRUE,"Unknown")</f>
        <v>Male</v>
      </c>
    </row>
    <row r="1006" spans="1:15" x14ac:dyDescent="0.2">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f t="array" ref="O1006">_xlfn.IFS(orders[[#This Row],[Customer Gender]]="M","Male", orders[[#This Row],[Customer Gender]]="F","Female", orders[[#This Row],[Customer Gender]]="O","Other", TRUE,"Unknown")</f>
        <v>Male</v>
      </c>
    </row>
    <row r="1007" spans="1:15" x14ac:dyDescent="0.2">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f t="array" ref="O1007">_xlfn.IFS(orders[[#This Row],[Customer Gender]]="M","Male", orders[[#This Row],[Customer Gender]]="F","Female", orders[[#This Row],[Customer Gender]]="O","Other", TRUE,"Unknown")</f>
        <v>Female</v>
      </c>
    </row>
    <row r="1008" spans="1:15" x14ac:dyDescent="0.2">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f t="array" ref="O1008">_xlfn.IFS(orders[[#This Row],[Customer Gender]]="M","Male", orders[[#This Row],[Customer Gender]]="F","Female", orders[[#This Row],[Customer Gender]]="O","Other", TRUE,"Unknown")</f>
        <v>Female</v>
      </c>
    </row>
    <row r="1009" spans="1:15" x14ac:dyDescent="0.2">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f t="array" ref="O1009">_xlfn.IFS(orders[[#This Row],[Customer Gender]]="M","Male", orders[[#This Row],[Customer Gender]]="F","Female", orders[[#This Row],[Customer Gender]]="O","Other", TRUE,"Unknown")</f>
        <v>Unknown</v>
      </c>
    </row>
    <row r="1010" spans="1:15" x14ac:dyDescent="0.2">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f t="array" ref="O1010">_xlfn.IFS(orders[[#This Row],[Customer Gender]]="M","Male", orders[[#This Row],[Customer Gender]]="F","Female", orders[[#This Row],[Customer Gender]]="O","Other", TRUE,"Unknown")</f>
        <v>Female</v>
      </c>
    </row>
    <row r="1011" spans="1:15" x14ac:dyDescent="0.2">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f t="array" ref="O1011">_xlfn.IFS(orders[[#This Row],[Customer Gender]]="M","Male", orders[[#This Row],[Customer Gender]]="F","Female", orders[[#This Row],[Customer Gender]]="O","Other", TRUE,"Unknown")</f>
        <v>Other</v>
      </c>
    </row>
    <row r="1012" spans="1:15" x14ac:dyDescent="0.2">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f t="array" ref="O1012">_xlfn.IFS(orders[[#This Row],[Customer Gender]]="M","Male", orders[[#This Row],[Customer Gender]]="F","Female", orders[[#This Row],[Customer Gender]]="O","Other", TRUE,"Unknown")</f>
        <v>Female</v>
      </c>
    </row>
    <row r="1013" spans="1:15" x14ac:dyDescent="0.2">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f t="array" ref="O1013">_xlfn.IFS(orders[[#This Row],[Customer Gender]]="M","Male", orders[[#This Row],[Customer Gender]]="F","Female", orders[[#This Row],[Customer Gender]]="O","Other", TRUE,"Unknown")</f>
        <v>Other</v>
      </c>
    </row>
    <row r="1014" spans="1:15" x14ac:dyDescent="0.2">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f t="array" ref="O1014">_xlfn.IFS(orders[[#This Row],[Customer Gender]]="M","Male", orders[[#This Row],[Customer Gender]]="F","Female", orders[[#This Row],[Customer Gender]]="O","Other", TRUE,"Unknown")</f>
        <v>Unknown</v>
      </c>
    </row>
    <row r="1015" spans="1:15" x14ac:dyDescent="0.2">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f t="array" ref="O1015">_xlfn.IFS(orders[[#This Row],[Customer Gender]]="M","Male", orders[[#This Row],[Customer Gender]]="F","Female", orders[[#This Row],[Customer Gender]]="O","Other", TRUE,"Unknown")</f>
        <v>Female</v>
      </c>
    </row>
    <row r="1016" spans="1:15" x14ac:dyDescent="0.2">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f t="array" ref="O1016">_xlfn.IFS(orders[[#This Row],[Customer Gender]]="M","Male", orders[[#This Row],[Customer Gender]]="F","Female", orders[[#This Row],[Customer Gender]]="O","Other", TRUE,"Unknown")</f>
        <v>Male</v>
      </c>
    </row>
    <row r="1017" spans="1:15" x14ac:dyDescent="0.2">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f t="array" ref="O1017">_xlfn.IFS(orders[[#This Row],[Customer Gender]]="M","Male", orders[[#This Row],[Customer Gender]]="F","Female", orders[[#This Row],[Customer Gender]]="O","Other", TRUE,"Unknown")</f>
        <v>Female</v>
      </c>
    </row>
    <row r="1018" spans="1:15" x14ac:dyDescent="0.2">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f t="array" ref="O1018">_xlfn.IFS(orders[[#This Row],[Customer Gender]]="M","Male", orders[[#This Row],[Customer Gender]]="F","Female", orders[[#This Row],[Customer Gender]]="O","Other", TRUE,"Unknown")</f>
        <v>Female</v>
      </c>
    </row>
    <row r="1019" spans="1:15" x14ac:dyDescent="0.2">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f t="array" ref="O1019">_xlfn.IFS(orders[[#This Row],[Customer Gender]]="M","Male", orders[[#This Row],[Customer Gender]]="F","Female", orders[[#This Row],[Customer Gender]]="O","Other", TRUE,"Unknown")</f>
        <v>Unknown</v>
      </c>
    </row>
    <row r="1020" spans="1:15" x14ac:dyDescent="0.2">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f t="array" ref="O1020">_xlfn.IFS(orders[[#This Row],[Customer Gender]]="M","Male", orders[[#This Row],[Customer Gender]]="F","Female", orders[[#This Row],[Customer Gender]]="O","Other", TRUE,"Unknown")</f>
        <v>Female</v>
      </c>
    </row>
    <row r="1021" spans="1:15" x14ac:dyDescent="0.2">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f t="array" ref="O1021">_xlfn.IFS(orders[[#This Row],[Customer Gender]]="M","Male", orders[[#This Row],[Customer Gender]]="F","Female", orders[[#This Row],[Customer Gender]]="O","Other", TRUE,"Unknown")</f>
        <v>Male</v>
      </c>
    </row>
    <row r="1022" spans="1:15" x14ac:dyDescent="0.2">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f t="array" ref="O1022">_xlfn.IFS(orders[[#This Row],[Customer Gender]]="M","Male", orders[[#This Row],[Customer Gender]]="F","Female", orders[[#This Row],[Customer Gender]]="O","Other", TRUE,"Unknown")</f>
        <v>Female</v>
      </c>
    </row>
    <row r="1023" spans="1:15" x14ac:dyDescent="0.2">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f t="array" ref="O1023">_xlfn.IFS(orders[[#This Row],[Customer Gender]]="M","Male", orders[[#This Row],[Customer Gender]]="F","Female", orders[[#This Row],[Customer Gender]]="O","Other", TRUE,"Unknown")</f>
        <v>Male</v>
      </c>
    </row>
    <row r="1024" spans="1:15" x14ac:dyDescent="0.2">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f t="array" ref="O1024">_xlfn.IFS(orders[[#This Row],[Customer Gender]]="M","Male", orders[[#This Row],[Customer Gender]]="F","Female", orders[[#This Row],[Customer Gender]]="O","Other", TRUE,"Unknown")</f>
        <v>Male</v>
      </c>
    </row>
    <row r="1025" spans="1:15" x14ac:dyDescent="0.2">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f t="array" ref="O1025">_xlfn.IFS(orders[[#This Row],[Customer Gender]]="M","Male", orders[[#This Row],[Customer Gender]]="F","Female", orders[[#This Row],[Customer Gender]]="O","Other", TRUE,"Unknown")</f>
        <v>Male</v>
      </c>
    </row>
    <row r="1026" spans="1:15" x14ac:dyDescent="0.2">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f t="array" ref="O1026">_xlfn.IFS(orders[[#This Row],[Customer Gender]]="M","Male", orders[[#This Row],[Customer Gender]]="F","Female", orders[[#This Row],[Customer Gender]]="O","Other", TRUE,"Unknown")</f>
        <v>Female</v>
      </c>
    </row>
    <row r="1027" spans="1:15" x14ac:dyDescent="0.2">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f t="array" ref="O1027">_xlfn.IFS(orders[[#This Row],[Customer Gender]]="M","Male", orders[[#This Row],[Customer Gender]]="F","Female", orders[[#This Row],[Customer Gender]]="O","Other", TRUE,"Unknown")</f>
        <v>Female</v>
      </c>
    </row>
    <row r="1028" spans="1:15" x14ac:dyDescent="0.2">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f t="array" ref="O1028">_xlfn.IFS(orders[[#This Row],[Customer Gender]]="M","Male", orders[[#This Row],[Customer Gender]]="F","Female", orders[[#This Row],[Customer Gender]]="O","Other", TRUE,"Unknown")</f>
        <v>Female</v>
      </c>
    </row>
    <row r="1029" spans="1:15" x14ac:dyDescent="0.2">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f t="array" ref="O1029">_xlfn.IFS(orders[[#This Row],[Customer Gender]]="M","Male", orders[[#This Row],[Customer Gender]]="F","Female", orders[[#This Row],[Customer Gender]]="O","Other", TRUE,"Unknown")</f>
        <v>Female</v>
      </c>
    </row>
    <row r="1030" spans="1:15" x14ac:dyDescent="0.2">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f t="array" ref="O1030">_xlfn.IFS(orders[[#This Row],[Customer Gender]]="M","Male", orders[[#This Row],[Customer Gender]]="F","Female", orders[[#This Row],[Customer Gender]]="O","Other", TRUE,"Unknown")</f>
        <v>Female</v>
      </c>
    </row>
    <row r="1031" spans="1:15" x14ac:dyDescent="0.2">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f t="array" ref="O1031">_xlfn.IFS(orders[[#This Row],[Customer Gender]]="M","Male", orders[[#This Row],[Customer Gender]]="F","Female", orders[[#This Row],[Customer Gender]]="O","Other", TRUE,"Unknown")</f>
        <v>Male</v>
      </c>
    </row>
    <row r="1032" spans="1:15" x14ac:dyDescent="0.2">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f t="array" ref="O1032">_xlfn.IFS(orders[[#This Row],[Customer Gender]]="M","Male", orders[[#This Row],[Customer Gender]]="F","Female", orders[[#This Row],[Customer Gender]]="O","Other", TRUE,"Unknown")</f>
        <v>Female</v>
      </c>
    </row>
    <row r="1033" spans="1:15" x14ac:dyDescent="0.2">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f t="array" ref="O1033">_xlfn.IFS(orders[[#This Row],[Customer Gender]]="M","Male", orders[[#This Row],[Customer Gender]]="F","Female", orders[[#This Row],[Customer Gender]]="O","Other", TRUE,"Unknown")</f>
        <v>Male</v>
      </c>
    </row>
    <row r="1034" spans="1:15" x14ac:dyDescent="0.2">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f t="array" ref="O1034">_xlfn.IFS(orders[[#This Row],[Customer Gender]]="M","Male", orders[[#This Row],[Customer Gender]]="F","Female", orders[[#This Row],[Customer Gender]]="O","Other", TRUE,"Unknown")</f>
        <v>Female</v>
      </c>
    </row>
    <row r="1035" spans="1:15" x14ac:dyDescent="0.2">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f t="array" ref="O1035">_xlfn.IFS(orders[[#This Row],[Customer Gender]]="M","Male", orders[[#This Row],[Customer Gender]]="F","Female", orders[[#This Row],[Customer Gender]]="O","Other", TRUE,"Unknown")</f>
        <v>Unknown</v>
      </c>
    </row>
    <row r="1036" spans="1:15" x14ac:dyDescent="0.2">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f t="array" ref="O1036">_xlfn.IFS(orders[[#This Row],[Customer Gender]]="M","Male", orders[[#This Row],[Customer Gender]]="F","Female", orders[[#This Row],[Customer Gender]]="O","Other", TRUE,"Unknown")</f>
        <v>Female</v>
      </c>
    </row>
    <row r="1037" spans="1:15" x14ac:dyDescent="0.2">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f t="array" ref="O1037">_xlfn.IFS(orders[[#This Row],[Customer Gender]]="M","Male", orders[[#This Row],[Customer Gender]]="F","Female", orders[[#This Row],[Customer Gender]]="O","Other", TRUE,"Unknown")</f>
        <v>Male</v>
      </c>
    </row>
    <row r="1038" spans="1:15" x14ac:dyDescent="0.2">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f t="array" ref="O1038">_xlfn.IFS(orders[[#This Row],[Customer Gender]]="M","Male", orders[[#This Row],[Customer Gender]]="F","Female", orders[[#This Row],[Customer Gender]]="O","Other", TRUE,"Unknown")</f>
        <v>Male</v>
      </c>
    </row>
    <row r="1039" spans="1:15" x14ac:dyDescent="0.2">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f t="array" ref="O1039">_xlfn.IFS(orders[[#This Row],[Customer Gender]]="M","Male", orders[[#This Row],[Customer Gender]]="F","Female", orders[[#This Row],[Customer Gender]]="O","Other", TRUE,"Unknown")</f>
        <v>Female</v>
      </c>
    </row>
    <row r="1040" spans="1:15" x14ac:dyDescent="0.2">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f t="array" ref="O1040">_xlfn.IFS(orders[[#This Row],[Customer Gender]]="M","Male", orders[[#This Row],[Customer Gender]]="F","Female", orders[[#This Row],[Customer Gender]]="O","Other", TRUE,"Unknown")</f>
        <v>Female</v>
      </c>
    </row>
    <row r="1041" spans="1:15" x14ac:dyDescent="0.2">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f t="array" ref="O1041">_xlfn.IFS(orders[[#This Row],[Customer Gender]]="M","Male", orders[[#This Row],[Customer Gender]]="F","Female", orders[[#This Row],[Customer Gender]]="O","Other", TRUE,"Unknown")</f>
        <v>Male</v>
      </c>
    </row>
    <row r="1042" spans="1:15" x14ac:dyDescent="0.2">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f t="array" ref="O1042">_xlfn.IFS(orders[[#This Row],[Customer Gender]]="M","Male", orders[[#This Row],[Customer Gender]]="F","Female", orders[[#This Row],[Customer Gender]]="O","Other", TRUE,"Unknown")</f>
        <v>Unknown</v>
      </c>
    </row>
    <row r="1043" spans="1:15" x14ac:dyDescent="0.2">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f t="array" ref="O1043">_xlfn.IFS(orders[[#This Row],[Customer Gender]]="M","Male", orders[[#This Row],[Customer Gender]]="F","Female", orders[[#This Row],[Customer Gender]]="O","Other", TRUE,"Unknown")</f>
        <v>Female</v>
      </c>
    </row>
    <row r="1044" spans="1:15" x14ac:dyDescent="0.2">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f t="array" ref="O1044">_xlfn.IFS(orders[[#This Row],[Customer Gender]]="M","Male", orders[[#This Row],[Customer Gender]]="F","Female", orders[[#This Row],[Customer Gender]]="O","Other", TRUE,"Unknown")</f>
        <v>Male</v>
      </c>
    </row>
    <row r="1045" spans="1:15" x14ac:dyDescent="0.2">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f t="array" ref="O1045">_xlfn.IFS(orders[[#This Row],[Customer Gender]]="M","Male", orders[[#This Row],[Customer Gender]]="F","Female", orders[[#This Row],[Customer Gender]]="O","Other", TRUE,"Unknown")</f>
        <v>Female</v>
      </c>
    </row>
    <row r="1046" spans="1:15" x14ac:dyDescent="0.2">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f t="array" ref="O1046">_xlfn.IFS(orders[[#This Row],[Customer Gender]]="M","Male", orders[[#This Row],[Customer Gender]]="F","Female", orders[[#This Row],[Customer Gender]]="O","Other", TRUE,"Unknown")</f>
        <v>Male</v>
      </c>
    </row>
    <row r="1047" spans="1:15" x14ac:dyDescent="0.2">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f t="array" ref="O1047">_xlfn.IFS(orders[[#This Row],[Customer Gender]]="M","Male", orders[[#This Row],[Customer Gender]]="F","Female", orders[[#This Row],[Customer Gender]]="O","Other", TRUE,"Unknown")</f>
        <v>Female</v>
      </c>
    </row>
    <row r="1048" spans="1:15" x14ac:dyDescent="0.2">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f t="array" ref="O1048">_xlfn.IFS(orders[[#This Row],[Customer Gender]]="M","Male", orders[[#This Row],[Customer Gender]]="F","Female", orders[[#This Row],[Customer Gender]]="O","Other", TRUE,"Unknown")</f>
        <v>Female</v>
      </c>
    </row>
    <row r="1049" spans="1:15" x14ac:dyDescent="0.2">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f t="array" ref="O1049">_xlfn.IFS(orders[[#This Row],[Customer Gender]]="M","Male", orders[[#This Row],[Customer Gender]]="F","Female", orders[[#This Row],[Customer Gender]]="O","Other", TRUE,"Unknown")</f>
        <v>Female</v>
      </c>
    </row>
    <row r="1050" spans="1:15" x14ac:dyDescent="0.2">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f t="array" ref="O1050">_xlfn.IFS(orders[[#This Row],[Customer Gender]]="M","Male", orders[[#This Row],[Customer Gender]]="F","Female", orders[[#This Row],[Customer Gender]]="O","Other", TRUE,"Unknown")</f>
        <v>Female</v>
      </c>
    </row>
    <row r="1051" spans="1:15" x14ac:dyDescent="0.2">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f t="array" ref="O1051">_xlfn.IFS(orders[[#This Row],[Customer Gender]]="M","Male", orders[[#This Row],[Customer Gender]]="F","Female", orders[[#This Row],[Customer Gender]]="O","Other", TRUE,"Unknown")</f>
        <v>Male</v>
      </c>
    </row>
    <row r="1052" spans="1:15" x14ac:dyDescent="0.2">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f t="array" ref="O1052">_xlfn.IFS(orders[[#This Row],[Customer Gender]]="M","Male", orders[[#This Row],[Customer Gender]]="F","Female", orders[[#This Row],[Customer Gender]]="O","Other", TRUE,"Unknown")</f>
        <v>Male</v>
      </c>
    </row>
    <row r="1053" spans="1:15" x14ac:dyDescent="0.2">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f t="array" ref="O1053">_xlfn.IFS(orders[[#This Row],[Customer Gender]]="M","Male", orders[[#This Row],[Customer Gender]]="F","Female", orders[[#This Row],[Customer Gender]]="O","Other", TRUE,"Unknown")</f>
        <v>Female</v>
      </c>
    </row>
    <row r="1054" spans="1:15" x14ac:dyDescent="0.2">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f t="array" ref="O1054">_xlfn.IFS(orders[[#This Row],[Customer Gender]]="M","Male", orders[[#This Row],[Customer Gender]]="F","Female", orders[[#This Row],[Customer Gender]]="O","Other", TRUE,"Unknown")</f>
        <v>Male</v>
      </c>
    </row>
    <row r="1055" spans="1:15" x14ac:dyDescent="0.2">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f t="array" ref="O1055">_xlfn.IFS(orders[[#This Row],[Customer Gender]]="M","Male", orders[[#This Row],[Customer Gender]]="F","Female", orders[[#This Row],[Customer Gender]]="O","Other", TRUE,"Unknown")</f>
        <v>Female</v>
      </c>
    </row>
    <row r="1056" spans="1:15" x14ac:dyDescent="0.2">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f t="array" ref="O1056">_xlfn.IFS(orders[[#This Row],[Customer Gender]]="M","Male", orders[[#This Row],[Customer Gender]]="F","Female", orders[[#This Row],[Customer Gender]]="O","Other", TRUE,"Unknown")</f>
        <v>Male</v>
      </c>
    </row>
    <row r="1057" spans="1:15" x14ac:dyDescent="0.2">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f t="array" ref="O1057">_xlfn.IFS(orders[[#This Row],[Customer Gender]]="M","Male", orders[[#This Row],[Customer Gender]]="F","Female", orders[[#This Row],[Customer Gender]]="O","Other", TRUE,"Unknown")</f>
        <v>Male</v>
      </c>
    </row>
    <row r="1058" spans="1:15" x14ac:dyDescent="0.2">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f t="array" ref="O1058">_xlfn.IFS(orders[[#This Row],[Customer Gender]]="M","Male", orders[[#This Row],[Customer Gender]]="F","Female", orders[[#This Row],[Customer Gender]]="O","Other", TRUE,"Unknown")</f>
        <v>Female</v>
      </c>
    </row>
    <row r="1059" spans="1:15" x14ac:dyDescent="0.2">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f t="array" ref="O1059">_xlfn.IFS(orders[[#This Row],[Customer Gender]]="M","Male", orders[[#This Row],[Customer Gender]]="F","Female", orders[[#This Row],[Customer Gender]]="O","Other", TRUE,"Unknown")</f>
        <v>Female</v>
      </c>
    </row>
    <row r="1060" spans="1:15" x14ac:dyDescent="0.2">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f t="array" ref="O1060">_xlfn.IFS(orders[[#This Row],[Customer Gender]]="M","Male", orders[[#This Row],[Customer Gender]]="F","Female", orders[[#This Row],[Customer Gender]]="O","Other", TRUE,"Unknown")</f>
        <v>Female</v>
      </c>
    </row>
    <row r="1061" spans="1:15" x14ac:dyDescent="0.2">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f t="array" ref="O1061">_xlfn.IFS(orders[[#This Row],[Customer Gender]]="M","Male", orders[[#This Row],[Customer Gender]]="F","Female", orders[[#This Row],[Customer Gender]]="O","Other", TRUE,"Unknown")</f>
        <v>Male</v>
      </c>
    </row>
    <row r="1062" spans="1:15" x14ac:dyDescent="0.2">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f t="array" ref="O1062">_xlfn.IFS(orders[[#This Row],[Customer Gender]]="M","Male", orders[[#This Row],[Customer Gender]]="F","Female", orders[[#This Row],[Customer Gender]]="O","Other", TRUE,"Unknown")</f>
        <v>Unknown</v>
      </c>
    </row>
    <row r="1063" spans="1:15" x14ac:dyDescent="0.2">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f t="array" ref="O1063">_xlfn.IFS(orders[[#This Row],[Customer Gender]]="M","Male", orders[[#This Row],[Customer Gender]]="F","Female", orders[[#This Row],[Customer Gender]]="O","Other", TRUE,"Unknown")</f>
        <v>Male</v>
      </c>
    </row>
    <row r="1064" spans="1:15" x14ac:dyDescent="0.2">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f t="array" ref="O1064">_xlfn.IFS(orders[[#This Row],[Customer Gender]]="M","Male", orders[[#This Row],[Customer Gender]]="F","Female", orders[[#This Row],[Customer Gender]]="O","Other", TRUE,"Unknown")</f>
        <v>Male</v>
      </c>
    </row>
    <row r="1065" spans="1:15" x14ac:dyDescent="0.2">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f t="array" ref="O1065">_xlfn.IFS(orders[[#This Row],[Customer Gender]]="M","Male", orders[[#This Row],[Customer Gender]]="F","Female", orders[[#This Row],[Customer Gender]]="O","Other", TRUE,"Unknown")</f>
        <v>Female</v>
      </c>
    </row>
    <row r="1066" spans="1:15" x14ac:dyDescent="0.2">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f t="array" ref="O1066">_xlfn.IFS(orders[[#This Row],[Customer Gender]]="M","Male", orders[[#This Row],[Customer Gender]]="F","Female", orders[[#This Row],[Customer Gender]]="O","Other", TRUE,"Unknown")</f>
        <v>Male</v>
      </c>
    </row>
    <row r="1067" spans="1:15" x14ac:dyDescent="0.2">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f t="array" ref="O1067">_xlfn.IFS(orders[[#This Row],[Customer Gender]]="M","Male", orders[[#This Row],[Customer Gender]]="F","Female", orders[[#This Row],[Customer Gender]]="O","Other", TRUE,"Unknown")</f>
        <v>Male</v>
      </c>
    </row>
    <row r="1068" spans="1:15" x14ac:dyDescent="0.2">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f t="array" ref="O1068">_xlfn.IFS(orders[[#This Row],[Customer Gender]]="M","Male", orders[[#This Row],[Customer Gender]]="F","Female", orders[[#This Row],[Customer Gender]]="O","Other", TRUE,"Unknown")</f>
        <v>Female</v>
      </c>
    </row>
    <row r="1069" spans="1:15" x14ac:dyDescent="0.2">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f t="array" ref="O1069">_xlfn.IFS(orders[[#This Row],[Customer Gender]]="M","Male", orders[[#This Row],[Customer Gender]]="F","Female", orders[[#This Row],[Customer Gender]]="O","Other", TRUE,"Unknown")</f>
        <v>Male</v>
      </c>
    </row>
    <row r="1070" spans="1:15" x14ac:dyDescent="0.2">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f t="array" ref="O1070">_xlfn.IFS(orders[[#This Row],[Customer Gender]]="M","Male", orders[[#This Row],[Customer Gender]]="F","Female", orders[[#This Row],[Customer Gender]]="O","Other", TRUE,"Unknown")</f>
        <v>Female</v>
      </c>
    </row>
    <row r="1071" spans="1:15" x14ac:dyDescent="0.2">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f t="array" ref="O1071">_xlfn.IFS(orders[[#This Row],[Customer Gender]]="M","Male", orders[[#This Row],[Customer Gender]]="F","Female", orders[[#This Row],[Customer Gender]]="O","Other", TRUE,"Unknown")</f>
        <v>Female</v>
      </c>
    </row>
    <row r="1072" spans="1:15" x14ac:dyDescent="0.2">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f t="array" ref="O1072">_xlfn.IFS(orders[[#This Row],[Customer Gender]]="M","Male", orders[[#This Row],[Customer Gender]]="F","Female", orders[[#This Row],[Customer Gender]]="O","Other", TRUE,"Unknown")</f>
        <v>Male</v>
      </c>
    </row>
    <row r="1073" spans="1:15" x14ac:dyDescent="0.2">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f t="array" ref="O1073">_xlfn.IFS(orders[[#This Row],[Customer Gender]]="M","Male", orders[[#This Row],[Customer Gender]]="F","Female", orders[[#This Row],[Customer Gender]]="O","Other", TRUE,"Unknown")</f>
        <v>Female</v>
      </c>
    </row>
    <row r="1074" spans="1:15" x14ac:dyDescent="0.2">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f t="array" ref="O1074">_xlfn.IFS(orders[[#This Row],[Customer Gender]]="M","Male", orders[[#This Row],[Customer Gender]]="F","Female", orders[[#This Row],[Customer Gender]]="O","Other", TRUE,"Unknown")</f>
        <v>Male</v>
      </c>
    </row>
    <row r="1075" spans="1:15" x14ac:dyDescent="0.2">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f t="array" ref="O1075">_xlfn.IFS(orders[[#This Row],[Customer Gender]]="M","Male", orders[[#This Row],[Customer Gender]]="F","Female", orders[[#This Row],[Customer Gender]]="O","Other", TRUE,"Unknown")</f>
        <v>Male</v>
      </c>
    </row>
    <row r="1076" spans="1:15" x14ac:dyDescent="0.2">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f t="array" ref="O1076">_xlfn.IFS(orders[[#This Row],[Customer Gender]]="M","Male", orders[[#This Row],[Customer Gender]]="F","Female", orders[[#This Row],[Customer Gender]]="O","Other", TRUE,"Unknown")</f>
        <v>Male</v>
      </c>
    </row>
    <row r="1077" spans="1:15" x14ac:dyDescent="0.2">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f t="array" ref="O1077">_xlfn.IFS(orders[[#This Row],[Customer Gender]]="M","Male", orders[[#This Row],[Customer Gender]]="F","Female", orders[[#This Row],[Customer Gender]]="O","Other", TRUE,"Unknown")</f>
        <v>Male</v>
      </c>
    </row>
    <row r="1078" spans="1:15" x14ac:dyDescent="0.2">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f t="array" ref="O1078">_xlfn.IFS(orders[[#This Row],[Customer Gender]]="M","Male", orders[[#This Row],[Customer Gender]]="F","Female", orders[[#This Row],[Customer Gender]]="O","Other", TRUE,"Unknown")</f>
        <v>Male</v>
      </c>
    </row>
    <row r="1079" spans="1:15" x14ac:dyDescent="0.2">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f t="array" ref="O1079">_xlfn.IFS(orders[[#This Row],[Customer Gender]]="M","Male", orders[[#This Row],[Customer Gender]]="F","Female", orders[[#This Row],[Customer Gender]]="O","Other", TRUE,"Unknown")</f>
        <v>Male</v>
      </c>
    </row>
    <row r="1080" spans="1:15" x14ac:dyDescent="0.2">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f t="array" ref="O1080">_xlfn.IFS(orders[[#This Row],[Customer Gender]]="M","Male", orders[[#This Row],[Customer Gender]]="F","Female", orders[[#This Row],[Customer Gender]]="O","Other", TRUE,"Unknown")</f>
        <v>Male</v>
      </c>
    </row>
    <row r="1081" spans="1:15" x14ac:dyDescent="0.2">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f t="array" ref="O1081">_xlfn.IFS(orders[[#This Row],[Customer Gender]]="M","Male", orders[[#This Row],[Customer Gender]]="F","Female", orders[[#This Row],[Customer Gender]]="O","Other", TRUE,"Unknown")</f>
        <v>Male</v>
      </c>
    </row>
    <row r="1082" spans="1:15" x14ac:dyDescent="0.2">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f t="array" ref="O1082">_xlfn.IFS(orders[[#This Row],[Customer Gender]]="M","Male", orders[[#This Row],[Customer Gender]]="F","Female", orders[[#This Row],[Customer Gender]]="O","Other", TRUE,"Unknown")</f>
        <v>Female</v>
      </c>
    </row>
    <row r="1083" spans="1:15" x14ac:dyDescent="0.2">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f t="array" ref="O1083">_xlfn.IFS(orders[[#This Row],[Customer Gender]]="M","Male", orders[[#This Row],[Customer Gender]]="F","Female", orders[[#This Row],[Customer Gender]]="O","Other", TRUE,"Unknown")</f>
        <v>Female</v>
      </c>
    </row>
    <row r="1084" spans="1:15" x14ac:dyDescent="0.2">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f t="array" ref="O1084">_xlfn.IFS(orders[[#This Row],[Customer Gender]]="M","Male", orders[[#This Row],[Customer Gender]]="F","Female", orders[[#This Row],[Customer Gender]]="O","Other", TRUE,"Unknown")</f>
        <v>Female</v>
      </c>
    </row>
    <row r="1085" spans="1:15" x14ac:dyDescent="0.2">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f t="array" ref="O1085">_xlfn.IFS(orders[[#This Row],[Customer Gender]]="M","Male", orders[[#This Row],[Customer Gender]]="F","Female", orders[[#This Row],[Customer Gender]]="O","Other", TRUE,"Unknown")</f>
        <v>Female</v>
      </c>
    </row>
    <row r="1086" spans="1:15" x14ac:dyDescent="0.2">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f t="array" ref="O1086">_xlfn.IFS(orders[[#This Row],[Customer Gender]]="M","Male", orders[[#This Row],[Customer Gender]]="F","Female", orders[[#This Row],[Customer Gender]]="O","Other", TRUE,"Unknown")</f>
        <v>Female</v>
      </c>
    </row>
    <row r="1087" spans="1:15" x14ac:dyDescent="0.2">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f t="array" ref="O1087">_xlfn.IFS(orders[[#This Row],[Customer Gender]]="M","Male", orders[[#This Row],[Customer Gender]]="F","Female", orders[[#This Row],[Customer Gender]]="O","Other", TRUE,"Unknown")</f>
        <v>Female</v>
      </c>
    </row>
    <row r="1088" spans="1:15" x14ac:dyDescent="0.2">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f t="array" ref="O1088">_xlfn.IFS(orders[[#This Row],[Customer Gender]]="M","Male", orders[[#This Row],[Customer Gender]]="F","Female", orders[[#This Row],[Customer Gender]]="O","Other", TRUE,"Unknown")</f>
        <v>Female</v>
      </c>
    </row>
    <row r="1089" spans="1:15" x14ac:dyDescent="0.2">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f t="array" ref="O1089">_xlfn.IFS(orders[[#This Row],[Customer Gender]]="M","Male", orders[[#This Row],[Customer Gender]]="F","Female", orders[[#This Row],[Customer Gender]]="O","Other", TRUE,"Unknown")</f>
        <v>Male</v>
      </c>
    </row>
    <row r="1090" spans="1:15" x14ac:dyDescent="0.2">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f t="array" ref="O1090">_xlfn.IFS(orders[[#This Row],[Customer Gender]]="M","Male", orders[[#This Row],[Customer Gender]]="F","Female", orders[[#This Row],[Customer Gender]]="O","Other", TRUE,"Unknown")</f>
        <v>Female</v>
      </c>
    </row>
    <row r="1091" spans="1:15" x14ac:dyDescent="0.2">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f t="array" ref="O1091">_xlfn.IFS(orders[[#This Row],[Customer Gender]]="M","Male", orders[[#This Row],[Customer Gender]]="F","Female", orders[[#This Row],[Customer Gender]]="O","Other", TRUE,"Unknown")</f>
        <v>Male</v>
      </c>
    </row>
    <row r="1092" spans="1:15" x14ac:dyDescent="0.2">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f t="array" ref="O1092">_xlfn.IFS(orders[[#This Row],[Customer Gender]]="M","Male", orders[[#This Row],[Customer Gender]]="F","Female", orders[[#This Row],[Customer Gender]]="O","Other", TRUE,"Unknown")</f>
        <v>Unknown</v>
      </c>
    </row>
    <row r="1093" spans="1:15" x14ac:dyDescent="0.2">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f t="array" ref="O1093">_xlfn.IFS(orders[[#This Row],[Customer Gender]]="M","Male", orders[[#This Row],[Customer Gender]]="F","Female", orders[[#This Row],[Customer Gender]]="O","Other", TRUE,"Unknown")</f>
        <v>Female</v>
      </c>
    </row>
    <row r="1094" spans="1:15" x14ac:dyDescent="0.2">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f t="array" ref="O1094">_xlfn.IFS(orders[[#This Row],[Customer Gender]]="M","Male", orders[[#This Row],[Customer Gender]]="F","Female", orders[[#This Row],[Customer Gender]]="O","Other", TRUE,"Unknown")</f>
        <v>Female</v>
      </c>
    </row>
    <row r="1095" spans="1:15" x14ac:dyDescent="0.2">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f t="array" ref="O1095">_xlfn.IFS(orders[[#This Row],[Customer Gender]]="M","Male", orders[[#This Row],[Customer Gender]]="F","Female", orders[[#This Row],[Customer Gender]]="O","Other", TRUE,"Unknown")</f>
        <v>Male</v>
      </c>
    </row>
    <row r="1096" spans="1:15" x14ac:dyDescent="0.2">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f t="array" ref="O1096">_xlfn.IFS(orders[[#This Row],[Customer Gender]]="M","Male", orders[[#This Row],[Customer Gender]]="F","Female", orders[[#This Row],[Customer Gender]]="O","Other", TRUE,"Unknown")</f>
        <v>Female</v>
      </c>
    </row>
    <row r="1097" spans="1:15" x14ac:dyDescent="0.2">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f t="array" ref="O1097">_xlfn.IFS(orders[[#This Row],[Customer Gender]]="M","Male", orders[[#This Row],[Customer Gender]]="F","Female", orders[[#This Row],[Customer Gender]]="O","Other", TRUE,"Unknown")</f>
        <v>Female</v>
      </c>
    </row>
    <row r="1098" spans="1:15" x14ac:dyDescent="0.2">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f t="array" ref="O1098">_xlfn.IFS(orders[[#This Row],[Customer Gender]]="M","Male", orders[[#This Row],[Customer Gender]]="F","Female", orders[[#This Row],[Customer Gender]]="O","Other", TRUE,"Unknown")</f>
        <v>Female</v>
      </c>
    </row>
    <row r="1099" spans="1:15" x14ac:dyDescent="0.2">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f t="array" ref="O1099">_xlfn.IFS(orders[[#This Row],[Customer Gender]]="M","Male", orders[[#This Row],[Customer Gender]]="F","Female", orders[[#This Row],[Customer Gender]]="O","Other", TRUE,"Unknown")</f>
        <v>Male</v>
      </c>
    </row>
    <row r="1100" spans="1:15" x14ac:dyDescent="0.2">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f t="array" ref="O1100">_xlfn.IFS(orders[[#This Row],[Customer Gender]]="M","Male", orders[[#This Row],[Customer Gender]]="F","Female", orders[[#This Row],[Customer Gender]]="O","Other", TRUE,"Unknown")</f>
        <v>Female</v>
      </c>
    </row>
    <row r="1101" spans="1:15" x14ac:dyDescent="0.2">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f t="array" ref="O1101">_xlfn.IFS(orders[[#This Row],[Customer Gender]]="M","Male", orders[[#This Row],[Customer Gender]]="F","Female", orders[[#This Row],[Customer Gender]]="O","Other", TRUE,"Unknown")</f>
        <v>Female</v>
      </c>
    </row>
    <row r="1102" spans="1:15" x14ac:dyDescent="0.2">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f t="array" ref="O1102">_xlfn.IFS(orders[[#This Row],[Customer Gender]]="M","Male", orders[[#This Row],[Customer Gender]]="F","Female", orders[[#This Row],[Customer Gender]]="O","Other", TRUE,"Unknown")</f>
        <v>Female</v>
      </c>
    </row>
    <row r="1103" spans="1:15" x14ac:dyDescent="0.2">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f t="array" ref="O1103">_xlfn.IFS(orders[[#This Row],[Customer Gender]]="M","Male", orders[[#This Row],[Customer Gender]]="F","Female", orders[[#This Row],[Customer Gender]]="O","Other", TRUE,"Unknown")</f>
        <v>Male</v>
      </c>
    </row>
    <row r="1104" spans="1:15" x14ac:dyDescent="0.2">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f t="array" ref="O1104">_xlfn.IFS(orders[[#This Row],[Customer Gender]]="M","Male", orders[[#This Row],[Customer Gender]]="F","Female", orders[[#This Row],[Customer Gender]]="O","Other", TRUE,"Unknown")</f>
        <v>Unknown</v>
      </c>
    </row>
    <row r="1105" spans="1:15" x14ac:dyDescent="0.2">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f t="array" ref="O1105">_xlfn.IFS(orders[[#This Row],[Customer Gender]]="M","Male", orders[[#This Row],[Customer Gender]]="F","Female", orders[[#This Row],[Customer Gender]]="O","Other", TRUE,"Unknown")</f>
        <v>Female</v>
      </c>
    </row>
    <row r="1106" spans="1:15" x14ac:dyDescent="0.2">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f t="array" ref="O1106">_xlfn.IFS(orders[[#This Row],[Customer Gender]]="M","Male", orders[[#This Row],[Customer Gender]]="F","Female", orders[[#This Row],[Customer Gender]]="O","Other", TRUE,"Unknown")</f>
        <v>Male</v>
      </c>
    </row>
    <row r="1107" spans="1:15" x14ac:dyDescent="0.2">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f t="array" ref="O1107">_xlfn.IFS(orders[[#This Row],[Customer Gender]]="M","Male", orders[[#This Row],[Customer Gender]]="F","Female", orders[[#This Row],[Customer Gender]]="O","Other", TRUE,"Unknown")</f>
        <v>Other</v>
      </c>
    </row>
    <row r="1108" spans="1:15" x14ac:dyDescent="0.2">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f t="array" ref="O1108">_xlfn.IFS(orders[[#This Row],[Customer Gender]]="M","Male", orders[[#This Row],[Customer Gender]]="F","Female", orders[[#This Row],[Customer Gender]]="O","Other", TRUE,"Unknown")</f>
        <v>Male</v>
      </c>
    </row>
    <row r="1109" spans="1:15" x14ac:dyDescent="0.2">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f t="array" ref="O1109">_xlfn.IFS(orders[[#This Row],[Customer Gender]]="M","Male", orders[[#This Row],[Customer Gender]]="F","Female", orders[[#This Row],[Customer Gender]]="O","Other", TRUE,"Unknown")</f>
        <v>Female</v>
      </c>
    </row>
    <row r="1110" spans="1:15" x14ac:dyDescent="0.2">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f t="array" ref="O1110">_xlfn.IFS(orders[[#This Row],[Customer Gender]]="M","Male", orders[[#This Row],[Customer Gender]]="F","Female", orders[[#This Row],[Customer Gender]]="O","Other", TRUE,"Unknown")</f>
        <v>Female</v>
      </c>
    </row>
    <row r="1111" spans="1:15" x14ac:dyDescent="0.2">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f t="array" ref="O1111">_xlfn.IFS(orders[[#This Row],[Customer Gender]]="M","Male", orders[[#This Row],[Customer Gender]]="F","Female", orders[[#This Row],[Customer Gender]]="O","Other", TRUE,"Unknown")</f>
        <v>Female</v>
      </c>
    </row>
    <row r="1112" spans="1:15" x14ac:dyDescent="0.2">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f t="array" ref="O1112">_xlfn.IFS(orders[[#This Row],[Customer Gender]]="M","Male", orders[[#This Row],[Customer Gender]]="F","Female", orders[[#This Row],[Customer Gender]]="O","Other", TRUE,"Unknown")</f>
        <v>Male</v>
      </c>
    </row>
    <row r="1113" spans="1:15" x14ac:dyDescent="0.2">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f t="array" ref="O1113">_xlfn.IFS(orders[[#This Row],[Customer Gender]]="M","Male", orders[[#This Row],[Customer Gender]]="F","Female", orders[[#This Row],[Customer Gender]]="O","Other", TRUE,"Unknown")</f>
        <v>Other</v>
      </c>
    </row>
    <row r="1114" spans="1:15" x14ac:dyDescent="0.2">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f t="array" ref="O1114">_xlfn.IFS(orders[[#This Row],[Customer Gender]]="M","Male", orders[[#This Row],[Customer Gender]]="F","Female", orders[[#This Row],[Customer Gender]]="O","Other", TRUE,"Unknown")</f>
        <v>Female</v>
      </c>
    </row>
    <row r="1115" spans="1:15" x14ac:dyDescent="0.2">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f t="array" ref="O1115">_xlfn.IFS(orders[[#This Row],[Customer Gender]]="M","Male", orders[[#This Row],[Customer Gender]]="F","Female", orders[[#This Row],[Customer Gender]]="O","Other", TRUE,"Unknown")</f>
        <v>Female</v>
      </c>
    </row>
    <row r="1116" spans="1:15" x14ac:dyDescent="0.2">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f t="array" ref="O1116">_xlfn.IFS(orders[[#This Row],[Customer Gender]]="M","Male", orders[[#This Row],[Customer Gender]]="F","Female", orders[[#This Row],[Customer Gender]]="O","Other", TRUE,"Unknown")</f>
        <v>Female</v>
      </c>
    </row>
    <row r="1117" spans="1:15" x14ac:dyDescent="0.2">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f t="array" ref="O1117">_xlfn.IFS(orders[[#This Row],[Customer Gender]]="M","Male", orders[[#This Row],[Customer Gender]]="F","Female", orders[[#This Row],[Customer Gender]]="O","Other", TRUE,"Unknown")</f>
        <v>Female</v>
      </c>
    </row>
    <row r="1118" spans="1:15" x14ac:dyDescent="0.2">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f t="array" ref="O1118">_xlfn.IFS(orders[[#This Row],[Customer Gender]]="M","Male", orders[[#This Row],[Customer Gender]]="F","Female", orders[[#This Row],[Customer Gender]]="O","Other", TRUE,"Unknown")</f>
        <v>Female</v>
      </c>
    </row>
    <row r="1119" spans="1:15" x14ac:dyDescent="0.2">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f t="array" ref="O1119">_xlfn.IFS(orders[[#This Row],[Customer Gender]]="M","Male", orders[[#This Row],[Customer Gender]]="F","Female", orders[[#This Row],[Customer Gender]]="O","Other", TRUE,"Unknown")</f>
        <v>Female</v>
      </c>
    </row>
    <row r="1120" spans="1:15" x14ac:dyDescent="0.2">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f t="array" ref="O1120">_xlfn.IFS(orders[[#This Row],[Customer Gender]]="M","Male", orders[[#This Row],[Customer Gender]]="F","Female", orders[[#This Row],[Customer Gender]]="O","Other", TRUE,"Unknown")</f>
        <v>Female</v>
      </c>
    </row>
    <row r="1121" spans="1:15" x14ac:dyDescent="0.2">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f t="array" ref="O1121">_xlfn.IFS(orders[[#This Row],[Customer Gender]]="M","Male", orders[[#This Row],[Customer Gender]]="F","Female", orders[[#This Row],[Customer Gender]]="O","Other", TRUE,"Unknown")</f>
        <v>Female</v>
      </c>
    </row>
    <row r="1122" spans="1:15" x14ac:dyDescent="0.2">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f t="array" ref="O1122">_xlfn.IFS(orders[[#This Row],[Customer Gender]]="M","Male", orders[[#This Row],[Customer Gender]]="F","Female", orders[[#This Row],[Customer Gender]]="O","Other", TRUE,"Unknown")</f>
        <v>Female</v>
      </c>
    </row>
    <row r="1123" spans="1:15" x14ac:dyDescent="0.2">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f t="array" ref="O1123">_xlfn.IFS(orders[[#This Row],[Customer Gender]]="M","Male", orders[[#This Row],[Customer Gender]]="F","Female", orders[[#This Row],[Customer Gender]]="O","Other", TRUE,"Unknown")</f>
        <v>Male</v>
      </c>
    </row>
    <row r="1124" spans="1:15" x14ac:dyDescent="0.2">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f t="array" ref="O1124">_xlfn.IFS(orders[[#This Row],[Customer Gender]]="M","Male", orders[[#This Row],[Customer Gender]]="F","Female", orders[[#This Row],[Customer Gender]]="O","Other", TRUE,"Unknown")</f>
        <v>Female</v>
      </c>
    </row>
    <row r="1125" spans="1:15" x14ac:dyDescent="0.2">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f t="array" ref="O1125">_xlfn.IFS(orders[[#This Row],[Customer Gender]]="M","Male", orders[[#This Row],[Customer Gender]]="F","Female", orders[[#This Row],[Customer Gender]]="O","Other", TRUE,"Unknown")</f>
        <v>Male</v>
      </c>
    </row>
    <row r="1126" spans="1:15" x14ac:dyDescent="0.2">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f t="array" ref="O1126">_xlfn.IFS(orders[[#This Row],[Customer Gender]]="M","Male", orders[[#This Row],[Customer Gender]]="F","Female", orders[[#This Row],[Customer Gender]]="O","Other", TRUE,"Unknown")</f>
        <v>Female</v>
      </c>
    </row>
    <row r="1127" spans="1:15" x14ac:dyDescent="0.2">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f t="array" ref="O1127">_xlfn.IFS(orders[[#This Row],[Customer Gender]]="M","Male", orders[[#This Row],[Customer Gender]]="F","Female", orders[[#This Row],[Customer Gender]]="O","Other", TRUE,"Unknown")</f>
        <v>Female</v>
      </c>
    </row>
    <row r="1128" spans="1:15" x14ac:dyDescent="0.2">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f t="array" ref="O1128">_xlfn.IFS(orders[[#This Row],[Customer Gender]]="M","Male", orders[[#This Row],[Customer Gender]]="F","Female", orders[[#This Row],[Customer Gender]]="O","Other", TRUE,"Unknown")</f>
        <v>Female</v>
      </c>
    </row>
    <row r="1129" spans="1:15" x14ac:dyDescent="0.2">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f t="array" ref="O1129">_xlfn.IFS(orders[[#This Row],[Customer Gender]]="M","Male", orders[[#This Row],[Customer Gender]]="F","Female", orders[[#This Row],[Customer Gender]]="O","Other", TRUE,"Unknown")</f>
        <v>Female</v>
      </c>
    </row>
    <row r="1130" spans="1:15" x14ac:dyDescent="0.2">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f t="array" ref="O1130">_xlfn.IFS(orders[[#This Row],[Customer Gender]]="M","Male", orders[[#This Row],[Customer Gender]]="F","Female", orders[[#This Row],[Customer Gender]]="O","Other", TRUE,"Unknown")</f>
        <v>Female</v>
      </c>
    </row>
    <row r="1131" spans="1:15" x14ac:dyDescent="0.2">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f t="array" ref="O1131">_xlfn.IFS(orders[[#This Row],[Customer Gender]]="M","Male", orders[[#This Row],[Customer Gender]]="F","Female", orders[[#This Row],[Customer Gender]]="O","Other", TRUE,"Unknown")</f>
        <v>Female</v>
      </c>
    </row>
    <row r="1132" spans="1:15" x14ac:dyDescent="0.2">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f t="array" ref="O1132">_xlfn.IFS(orders[[#This Row],[Customer Gender]]="M","Male", orders[[#This Row],[Customer Gender]]="F","Female", orders[[#This Row],[Customer Gender]]="O","Other", TRUE,"Unknown")</f>
        <v>Female</v>
      </c>
    </row>
    <row r="1133" spans="1:15" x14ac:dyDescent="0.2">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f t="array" ref="O1133">_xlfn.IFS(orders[[#This Row],[Customer Gender]]="M","Male", orders[[#This Row],[Customer Gender]]="F","Female", orders[[#This Row],[Customer Gender]]="O","Other", TRUE,"Unknown")</f>
        <v>Male</v>
      </c>
    </row>
    <row r="1134" spans="1:15" x14ac:dyDescent="0.2">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f t="array" ref="O1134">_xlfn.IFS(orders[[#This Row],[Customer Gender]]="M","Male", orders[[#This Row],[Customer Gender]]="F","Female", orders[[#This Row],[Customer Gender]]="O","Other", TRUE,"Unknown")</f>
        <v>Female</v>
      </c>
    </row>
    <row r="1135" spans="1:15" x14ac:dyDescent="0.2">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f t="array" ref="O1135">_xlfn.IFS(orders[[#This Row],[Customer Gender]]="M","Male", orders[[#This Row],[Customer Gender]]="F","Female", orders[[#This Row],[Customer Gender]]="O","Other", TRUE,"Unknown")</f>
        <v>Female</v>
      </c>
    </row>
    <row r="1136" spans="1:15" x14ac:dyDescent="0.2">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f t="array" ref="O1136">_xlfn.IFS(orders[[#This Row],[Customer Gender]]="M","Male", orders[[#This Row],[Customer Gender]]="F","Female", orders[[#This Row],[Customer Gender]]="O","Other", TRUE,"Unknown")</f>
        <v>Female</v>
      </c>
    </row>
    <row r="1137" spans="1:15" x14ac:dyDescent="0.2">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f t="array" ref="O1137">_xlfn.IFS(orders[[#This Row],[Customer Gender]]="M","Male", orders[[#This Row],[Customer Gender]]="F","Female", orders[[#This Row],[Customer Gender]]="O","Other", TRUE,"Unknown")</f>
        <v>Male</v>
      </c>
    </row>
    <row r="1138" spans="1:15" x14ac:dyDescent="0.2">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f t="array" ref="O1138">_xlfn.IFS(orders[[#This Row],[Customer Gender]]="M","Male", orders[[#This Row],[Customer Gender]]="F","Female", orders[[#This Row],[Customer Gender]]="O","Other", TRUE,"Unknown")</f>
        <v>Female</v>
      </c>
    </row>
    <row r="1139" spans="1:15" x14ac:dyDescent="0.2">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f t="array" ref="O1139">_xlfn.IFS(orders[[#This Row],[Customer Gender]]="M","Male", orders[[#This Row],[Customer Gender]]="F","Female", orders[[#This Row],[Customer Gender]]="O","Other", TRUE,"Unknown")</f>
        <v>Female</v>
      </c>
    </row>
    <row r="1140" spans="1:15" x14ac:dyDescent="0.2">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f t="array" ref="O1140">_xlfn.IFS(orders[[#This Row],[Customer Gender]]="M","Male", orders[[#This Row],[Customer Gender]]="F","Female", orders[[#This Row],[Customer Gender]]="O","Other", TRUE,"Unknown")</f>
        <v>Female</v>
      </c>
    </row>
    <row r="1141" spans="1:15" x14ac:dyDescent="0.2">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f t="array" ref="O1141">_xlfn.IFS(orders[[#This Row],[Customer Gender]]="M","Male", orders[[#This Row],[Customer Gender]]="F","Female", orders[[#This Row],[Customer Gender]]="O","Other", TRUE,"Unknown")</f>
        <v>Male</v>
      </c>
    </row>
    <row r="1142" spans="1:15" x14ac:dyDescent="0.2">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f t="array" ref="O1142">_xlfn.IFS(orders[[#This Row],[Customer Gender]]="M","Male", orders[[#This Row],[Customer Gender]]="F","Female", orders[[#This Row],[Customer Gender]]="O","Other", TRUE,"Unknown")</f>
        <v>Male</v>
      </c>
    </row>
    <row r="1143" spans="1:15" x14ac:dyDescent="0.2">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f t="array" ref="O1143">_xlfn.IFS(orders[[#This Row],[Customer Gender]]="M","Male", orders[[#This Row],[Customer Gender]]="F","Female", orders[[#This Row],[Customer Gender]]="O","Other", TRUE,"Unknown")</f>
        <v>Female</v>
      </c>
    </row>
    <row r="1144" spans="1:15" x14ac:dyDescent="0.2">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f t="array" ref="O1144">_xlfn.IFS(orders[[#This Row],[Customer Gender]]="M","Male", orders[[#This Row],[Customer Gender]]="F","Female", orders[[#This Row],[Customer Gender]]="O","Other", TRUE,"Unknown")</f>
        <v>Female</v>
      </c>
    </row>
    <row r="1145" spans="1:15" x14ac:dyDescent="0.2">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f t="array" ref="O1145">_xlfn.IFS(orders[[#This Row],[Customer Gender]]="M","Male", orders[[#This Row],[Customer Gender]]="F","Female", orders[[#This Row],[Customer Gender]]="O","Other", TRUE,"Unknown")</f>
        <v>Male</v>
      </c>
    </row>
    <row r="1146" spans="1:15" x14ac:dyDescent="0.2">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f t="array" ref="O1146">_xlfn.IFS(orders[[#This Row],[Customer Gender]]="M","Male", orders[[#This Row],[Customer Gender]]="F","Female", orders[[#This Row],[Customer Gender]]="O","Other", TRUE,"Unknown")</f>
        <v>Female</v>
      </c>
    </row>
    <row r="1147" spans="1:15" x14ac:dyDescent="0.2">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f t="array" ref="O1147">_xlfn.IFS(orders[[#This Row],[Customer Gender]]="M","Male", orders[[#This Row],[Customer Gender]]="F","Female", orders[[#This Row],[Customer Gender]]="O","Other", TRUE,"Unknown")</f>
        <v>Female</v>
      </c>
    </row>
    <row r="1148" spans="1:15" x14ac:dyDescent="0.2">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f t="array" ref="O1148">_xlfn.IFS(orders[[#This Row],[Customer Gender]]="M","Male", orders[[#This Row],[Customer Gender]]="F","Female", orders[[#This Row],[Customer Gender]]="O","Other", TRUE,"Unknown")</f>
        <v>Female</v>
      </c>
    </row>
    <row r="1149" spans="1:15" x14ac:dyDescent="0.2">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f t="array" ref="O1149">_xlfn.IFS(orders[[#This Row],[Customer Gender]]="M","Male", orders[[#This Row],[Customer Gender]]="F","Female", orders[[#This Row],[Customer Gender]]="O","Other", TRUE,"Unknown")</f>
        <v>Female</v>
      </c>
    </row>
    <row r="1150" spans="1:15" x14ac:dyDescent="0.2">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f t="array" ref="O1150">_xlfn.IFS(orders[[#This Row],[Customer Gender]]="M","Male", orders[[#This Row],[Customer Gender]]="F","Female", orders[[#This Row],[Customer Gender]]="O","Other", TRUE,"Unknown")</f>
        <v>Male</v>
      </c>
    </row>
    <row r="1151" spans="1:15" x14ac:dyDescent="0.2">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f t="array" ref="O1151">_xlfn.IFS(orders[[#This Row],[Customer Gender]]="M","Male", orders[[#This Row],[Customer Gender]]="F","Female", orders[[#This Row],[Customer Gender]]="O","Other", TRUE,"Unknown")</f>
        <v>Male</v>
      </c>
    </row>
    <row r="1152" spans="1:15" x14ac:dyDescent="0.2">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f t="array" ref="O1152">_xlfn.IFS(orders[[#This Row],[Customer Gender]]="M","Male", orders[[#This Row],[Customer Gender]]="F","Female", orders[[#This Row],[Customer Gender]]="O","Other", TRUE,"Unknown")</f>
        <v>Female</v>
      </c>
    </row>
    <row r="1153" spans="1:15" x14ac:dyDescent="0.2">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f t="array" ref="O1153">_xlfn.IFS(orders[[#This Row],[Customer Gender]]="M","Male", orders[[#This Row],[Customer Gender]]="F","Female", orders[[#This Row],[Customer Gender]]="O","Other", TRUE,"Unknown")</f>
        <v>Female</v>
      </c>
    </row>
    <row r="1154" spans="1:15" x14ac:dyDescent="0.2">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f t="array" ref="O1154">_xlfn.IFS(orders[[#This Row],[Customer Gender]]="M","Male", orders[[#This Row],[Customer Gender]]="F","Female", orders[[#This Row],[Customer Gender]]="O","Other", TRUE,"Unknown")</f>
        <v>Other</v>
      </c>
    </row>
    <row r="1155" spans="1:15" x14ac:dyDescent="0.2">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f t="array" ref="O1155">_xlfn.IFS(orders[[#This Row],[Customer Gender]]="M","Male", orders[[#This Row],[Customer Gender]]="F","Female", orders[[#This Row],[Customer Gender]]="O","Other", TRUE,"Unknown")</f>
        <v>Male</v>
      </c>
    </row>
    <row r="1156" spans="1:15" x14ac:dyDescent="0.2">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f t="array" ref="O1156">_xlfn.IFS(orders[[#This Row],[Customer Gender]]="M","Male", orders[[#This Row],[Customer Gender]]="F","Female", orders[[#This Row],[Customer Gender]]="O","Other", TRUE,"Unknown")</f>
        <v>Female</v>
      </c>
    </row>
    <row r="1157" spans="1:15" x14ac:dyDescent="0.2">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f t="array" ref="O1157">_xlfn.IFS(orders[[#This Row],[Customer Gender]]="M","Male", orders[[#This Row],[Customer Gender]]="F","Female", orders[[#This Row],[Customer Gender]]="O","Other", TRUE,"Unknown")</f>
        <v>Male</v>
      </c>
    </row>
    <row r="1158" spans="1:15" x14ac:dyDescent="0.2">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f t="array" ref="O1158">_xlfn.IFS(orders[[#This Row],[Customer Gender]]="M","Male", orders[[#This Row],[Customer Gender]]="F","Female", orders[[#This Row],[Customer Gender]]="O","Other", TRUE,"Unknown")</f>
        <v>Female</v>
      </c>
    </row>
    <row r="1159" spans="1:15" x14ac:dyDescent="0.2">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f t="array" ref="O1159">_xlfn.IFS(orders[[#This Row],[Customer Gender]]="M","Male", orders[[#This Row],[Customer Gender]]="F","Female", orders[[#This Row],[Customer Gender]]="O","Other", TRUE,"Unknown")</f>
        <v>Female</v>
      </c>
    </row>
    <row r="1160" spans="1:15" x14ac:dyDescent="0.2">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f t="array" ref="O1160">_xlfn.IFS(orders[[#This Row],[Customer Gender]]="M","Male", orders[[#This Row],[Customer Gender]]="F","Female", orders[[#This Row],[Customer Gender]]="O","Other", TRUE,"Unknown")</f>
        <v>Male</v>
      </c>
    </row>
    <row r="1161" spans="1:15" x14ac:dyDescent="0.2">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f t="array" ref="O1161">_xlfn.IFS(orders[[#This Row],[Customer Gender]]="M","Male", orders[[#This Row],[Customer Gender]]="F","Female", orders[[#This Row],[Customer Gender]]="O","Other", TRUE,"Unknown")</f>
        <v>Unknown</v>
      </c>
    </row>
    <row r="1162" spans="1:15" x14ac:dyDescent="0.2">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f t="array" ref="O1162">_xlfn.IFS(orders[[#This Row],[Customer Gender]]="M","Male", orders[[#This Row],[Customer Gender]]="F","Female", orders[[#This Row],[Customer Gender]]="O","Other", TRUE,"Unknown")</f>
        <v>Unknown</v>
      </c>
    </row>
    <row r="1163" spans="1:15" x14ac:dyDescent="0.2">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f t="array" ref="O1163">_xlfn.IFS(orders[[#This Row],[Customer Gender]]="M","Male", orders[[#This Row],[Customer Gender]]="F","Female", orders[[#This Row],[Customer Gender]]="O","Other", TRUE,"Unknown")</f>
        <v>Male</v>
      </c>
    </row>
    <row r="1164" spans="1:15" x14ac:dyDescent="0.2">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f t="array" ref="O1164">_xlfn.IFS(orders[[#This Row],[Customer Gender]]="M","Male", orders[[#This Row],[Customer Gender]]="F","Female", orders[[#This Row],[Customer Gender]]="O","Other", TRUE,"Unknown")</f>
        <v>Female</v>
      </c>
    </row>
    <row r="1165" spans="1:15" x14ac:dyDescent="0.2">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f t="array" ref="O1165">_xlfn.IFS(orders[[#This Row],[Customer Gender]]="M","Male", orders[[#This Row],[Customer Gender]]="F","Female", orders[[#This Row],[Customer Gender]]="O","Other", TRUE,"Unknown")</f>
        <v>Male</v>
      </c>
    </row>
    <row r="1166" spans="1:15" x14ac:dyDescent="0.2">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f t="array" ref="O1166">_xlfn.IFS(orders[[#This Row],[Customer Gender]]="M","Male", orders[[#This Row],[Customer Gender]]="F","Female", orders[[#This Row],[Customer Gender]]="O","Other", TRUE,"Unknown")</f>
        <v>Female</v>
      </c>
    </row>
    <row r="1167" spans="1:15" x14ac:dyDescent="0.2">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f t="array" ref="O1167">_xlfn.IFS(orders[[#This Row],[Customer Gender]]="M","Male", orders[[#This Row],[Customer Gender]]="F","Female", orders[[#This Row],[Customer Gender]]="O","Other", TRUE,"Unknown")</f>
        <v>Female</v>
      </c>
    </row>
    <row r="1168" spans="1:15" x14ac:dyDescent="0.2">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f t="array" ref="O1168">_xlfn.IFS(orders[[#This Row],[Customer Gender]]="M","Male", orders[[#This Row],[Customer Gender]]="F","Female", orders[[#This Row],[Customer Gender]]="O","Other", TRUE,"Unknown")</f>
        <v>Female</v>
      </c>
    </row>
    <row r="1169" spans="1:15" x14ac:dyDescent="0.2">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f t="array" ref="O1169">_xlfn.IFS(orders[[#This Row],[Customer Gender]]="M","Male", orders[[#This Row],[Customer Gender]]="F","Female", orders[[#This Row],[Customer Gender]]="O","Other", TRUE,"Unknown")</f>
        <v>Female</v>
      </c>
    </row>
    <row r="1170" spans="1:15" x14ac:dyDescent="0.2">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f t="array" ref="O1170">_xlfn.IFS(orders[[#This Row],[Customer Gender]]="M","Male", orders[[#This Row],[Customer Gender]]="F","Female", orders[[#This Row],[Customer Gender]]="O","Other", TRUE,"Unknown")</f>
        <v>Female</v>
      </c>
    </row>
    <row r="1171" spans="1:15" x14ac:dyDescent="0.2">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f t="array" ref="O1171">_xlfn.IFS(orders[[#This Row],[Customer Gender]]="M","Male", orders[[#This Row],[Customer Gender]]="F","Female", orders[[#This Row],[Customer Gender]]="O","Other", TRUE,"Unknown")</f>
        <v>Female</v>
      </c>
    </row>
    <row r="1172" spans="1:15" x14ac:dyDescent="0.2">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f t="array" ref="O1172">_xlfn.IFS(orders[[#This Row],[Customer Gender]]="M","Male", orders[[#This Row],[Customer Gender]]="F","Female", orders[[#This Row],[Customer Gender]]="O","Other", TRUE,"Unknown")</f>
        <v>Female</v>
      </c>
    </row>
    <row r="1173" spans="1:15" x14ac:dyDescent="0.2">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f t="array" ref="O1173">_xlfn.IFS(orders[[#This Row],[Customer Gender]]="M","Male", orders[[#This Row],[Customer Gender]]="F","Female", orders[[#This Row],[Customer Gender]]="O","Other", TRUE,"Unknown")</f>
        <v>Male</v>
      </c>
    </row>
    <row r="1174" spans="1:15" x14ac:dyDescent="0.2">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f t="array" ref="O1174">_xlfn.IFS(orders[[#This Row],[Customer Gender]]="M","Male", orders[[#This Row],[Customer Gender]]="F","Female", orders[[#This Row],[Customer Gender]]="O","Other", TRUE,"Unknown")</f>
        <v>Male</v>
      </c>
    </row>
    <row r="1175" spans="1:15" x14ac:dyDescent="0.2">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f t="array" ref="O1175">_xlfn.IFS(orders[[#This Row],[Customer Gender]]="M","Male", orders[[#This Row],[Customer Gender]]="F","Female", orders[[#This Row],[Customer Gender]]="O","Other", TRUE,"Unknown")</f>
        <v>Female</v>
      </c>
    </row>
    <row r="1176" spans="1:15" x14ac:dyDescent="0.2">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f t="array" ref="O1176">_xlfn.IFS(orders[[#This Row],[Customer Gender]]="M","Male", orders[[#This Row],[Customer Gender]]="F","Female", orders[[#This Row],[Customer Gender]]="O","Other", TRUE,"Unknown")</f>
        <v>Female</v>
      </c>
    </row>
    <row r="1177" spans="1:15" x14ac:dyDescent="0.2">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f t="array" ref="O1177">_xlfn.IFS(orders[[#This Row],[Customer Gender]]="M","Male", orders[[#This Row],[Customer Gender]]="F","Female", orders[[#This Row],[Customer Gender]]="O","Other", TRUE,"Unknown")</f>
        <v>Male</v>
      </c>
    </row>
    <row r="1178" spans="1:15" x14ac:dyDescent="0.2">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f t="array" ref="O1178">_xlfn.IFS(orders[[#This Row],[Customer Gender]]="M","Male", orders[[#This Row],[Customer Gender]]="F","Female", orders[[#This Row],[Customer Gender]]="O","Other", TRUE,"Unknown")</f>
        <v>Female</v>
      </c>
    </row>
    <row r="1179" spans="1:15" x14ac:dyDescent="0.2">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f t="array" ref="O1179">_xlfn.IFS(orders[[#This Row],[Customer Gender]]="M","Male", orders[[#This Row],[Customer Gender]]="F","Female", orders[[#This Row],[Customer Gender]]="O","Other", TRUE,"Unknown")</f>
        <v>Female</v>
      </c>
    </row>
    <row r="1180" spans="1:15" x14ac:dyDescent="0.2">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f t="array" ref="O1180">_xlfn.IFS(orders[[#This Row],[Customer Gender]]="M","Male", orders[[#This Row],[Customer Gender]]="F","Female", orders[[#This Row],[Customer Gender]]="O","Other", TRUE,"Unknown")</f>
        <v>Unknown</v>
      </c>
    </row>
    <row r="1181" spans="1:15" x14ac:dyDescent="0.2">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f t="array" ref="O1181">_xlfn.IFS(orders[[#This Row],[Customer Gender]]="M","Male", orders[[#This Row],[Customer Gender]]="F","Female", orders[[#This Row],[Customer Gender]]="O","Other", TRUE,"Unknown")</f>
        <v>Female</v>
      </c>
    </row>
    <row r="1182" spans="1:15" x14ac:dyDescent="0.2">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f t="array" ref="O1182">_xlfn.IFS(orders[[#This Row],[Customer Gender]]="M","Male", orders[[#This Row],[Customer Gender]]="F","Female", orders[[#This Row],[Customer Gender]]="O","Other", TRUE,"Unknown")</f>
        <v>Female</v>
      </c>
    </row>
    <row r="1183" spans="1:15" x14ac:dyDescent="0.2">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f t="array" ref="O1183">_xlfn.IFS(orders[[#This Row],[Customer Gender]]="M","Male", orders[[#This Row],[Customer Gender]]="F","Female", orders[[#This Row],[Customer Gender]]="O","Other", TRUE,"Unknown")</f>
        <v>Male</v>
      </c>
    </row>
    <row r="1184" spans="1:15" x14ac:dyDescent="0.2">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f t="array" ref="O1184">_xlfn.IFS(orders[[#This Row],[Customer Gender]]="M","Male", orders[[#This Row],[Customer Gender]]="F","Female", orders[[#This Row],[Customer Gender]]="O","Other", TRUE,"Unknown")</f>
        <v>Unknown</v>
      </c>
    </row>
    <row r="1185" spans="1:15" x14ac:dyDescent="0.2">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f t="array" ref="O1185">_xlfn.IFS(orders[[#This Row],[Customer Gender]]="M","Male", orders[[#This Row],[Customer Gender]]="F","Female", orders[[#This Row],[Customer Gender]]="O","Other", TRUE,"Unknown")</f>
        <v>Male</v>
      </c>
    </row>
    <row r="1186" spans="1:15" x14ac:dyDescent="0.2">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f t="array" ref="O1186">_xlfn.IFS(orders[[#This Row],[Customer Gender]]="M","Male", orders[[#This Row],[Customer Gender]]="F","Female", orders[[#This Row],[Customer Gender]]="O","Other", TRUE,"Unknown")</f>
        <v>Female</v>
      </c>
    </row>
    <row r="1187" spans="1:15" x14ac:dyDescent="0.2">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f t="array" ref="O1187">_xlfn.IFS(orders[[#This Row],[Customer Gender]]="M","Male", orders[[#This Row],[Customer Gender]]="F","Female", orders[[#This Row],[Customer Gender]]="O","Other", TRUE,"Unknown")</f>
        <v>Male</v>
      </c>
    </row>
    <row r="1188" spans="1:15" x14ac:dyDescent="0.2">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f t="array" ref="O1188">_xlfn.IFS(orders[[#This Row],[Customer Gender]]="M","Male", orders[[#This Row],[Customer Gender]]="F","Female", orders[[#This Row],[Customer Gender]]="O","Other", TRUE,"Unknown")</f>
        <v>Unknown</v>
      </c>
    </row>
    <row r="1189" spans="1:15" x14ac:dyDescent="0.2">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f t="array" ref="O1189">_xlfn.IFS(orders[[#This Row],[Customer Gender]]="M","Male", orders[[#This Row],[Customer Gender]]="F","Female", orders[[#This Row],[Customer Gender]]="O","Other", TRUE,"Unknown")</f>
        <v>Female</v>
      </c>
    </row>
    <row r="1190" spans="1:15" x14ac:dyDescent="0.2">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f t="array" ref="O1190">_xlfn.IFS(orders[[#This Row],[Customer Gender]]="M","Male", orders[[#This Row],[Customer Gender]]="F","Female", orders[[#This Row],[Customer Gender]]="O","Other", TRUE,"Unknown")</f>
        <v>Female</v>
      </c>
    </row>
    <row r="1191" spans="1:15" x14ac:dyDescent="0.2">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f t="array" ref="O1191">_xlfn.IFS(orders[[#This Row],[Customer Gender]]="M","Male", orders[[#This Row],[Customer Gender]]="F","Female", orders[[#This Row],[Customer Gender]]="O","Other", TRUE,"Unknown")</f>
        <v>Male</v>
      </c>
    </row>
    <row r="1192" spans="1:15" x14ac:dyDescent="0.2">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f t="array" ref="O1192">_xlfn.IFS(orders[[#This Row],[Customer Gender]]="M","Male", orders[[#This Row],[Customer Gender]]="F","Female", orders[[#This Row],[Customer Gender]]="O","Other", TRUE,"Unknown")</f>
        <v>Female</v>
      </c>
    </row>
    <row r="1193" spans="1:15" x14ac:dyDescent="0.2">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f t="array" ref="O1193">_xlfn.IFS(orders[[#This Row],[Customer Gender]]="M","Male", orders[[#This Row],[Customer Gender]]="F","Female", orders[[#This Row],[Customer Gender]]="O","Other", TRUE,"Unknown")</f>
        <v>Female</v>
      </c>
    </row>
    <row r="1194" spans="1:15" x14ac:dyDescent="0.2">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f t="array" ref="O1194">_xlfn.IFS(orders[[#This Row],[Customer Gender]]="M","Male", orders[[#This Row],[Customer Gender]]="F","Female", orders[[#This Row],[Customer Gender]]="O","Other", TRUE,"Unknown")</f>
        <v>Male</v>
      </c>
    </row>
    <row r="1195" spans="1:15" x14ac:dyDescent="0.2">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f t="array" ref="O1195">_xlfn.IFS(orders[[#This Row],[Customer Gender]]="M","Male", orders[[#This Row],[Customer Gender]]="F","Female", orders[[#This Row],[Customer Gender]]="O","Other", TRUE,"Unknown")</f>
        <v>Female</v>
      </c>
    </row>
    <row r="1196" spans="1:15" x14ac:dyDescent="0.2">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f t="array" ref="O1196">_xlfn.IFS(orders[[#This Row],[Customer Gender]]="M","Male", orders[[#This Row],[Customer Gender]]="F","Female", orders[[#This Row],[Customer Gender]]="O","Other", TRUE,"Unknown")</f>
        <v>Male</v>
      </c>
    </row>
    <row r="1197" spans="1:15" x14ac:dyDescent="0.2">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f t="array" ref="O1197">_xlfn.IFS(orders[[#This Row],[Customer Gender]]="M","Male", orders[[#This Row],[Customer Gender]]="F","Female", orders[[#This Row],[Customer Gender]]="O","Other", TRUE,"Unknown")</f>
        <v>Male</v>
      </c>
    </row>
    <row r="1198" spans="1:15" x14ac:dyDescent="0.2">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f t="array" ref="O1198">_xlfn.IFS(orders[[#This Row],[Customer Gender]]="M","Male", orders[[#This Row],[Customer Gender]]="F","Female", orders[[#This Row],[Customer Gender]]="O","Other", TRUE,"Unknown")</f>
        <v>Male</v>
      </c>
    </row>
    <row r="1199" spans="1:15" x14ac:dyDescent="0.2">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f t="array" ref="O1199">_xlfn.IFS(orders[[#This Row],[Customer Gender]]="M","Male", orders[[#This Row],[Customer Gender]]="F","Female", orders[[#This Row],[Customer Gender]]="O","Other", TRUE,"Unknown")</f>
        <v>Male</v>
      </c>
    </row>
    <row r="1200" spans="1:15" x14ac:dyDescent="0.2">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f t="array" ref="O1200">_xlfn.IFS(orders[[#This Row],[Customer Gender]]="M","Male", orders[[#This Row],[Customer Gender]]="F","Female", orders[[#This Row],[Customer Gender]]="O","Other", TRUE,"Unknown")</f>
        <v>Female</v>
      </c>
    </row>
    <row r="1201" spans="1:15" x14ac:dyDescent="0.2">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f t="array" ref="O1201">_xlfn.IFS(orders[[#This Row],[Customer Gender]]="M","Male", orders[[#This Row],[Customer Gender]]="F","Female", orders[[#This Row],[Customer Gender]]="O","Other", TRUE,"Unknown")</f>
        <v>Female</v>
      </c>
    </row>
    <row r="1202" spans="1:15" x14ac:dyDescent="0.2">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f t="array" ref="O1202">_xlfn.IFS(orders[[#This Row],[Customer Gender]]="M","Male", orders[[#This Row],[Customer Gender]]="F","Female", orders[[#This Row],[Customer Gender]]="O","Other", TRUE,"Unknown")</f>
        <v>Female</v>
      </c>
    </row>
    <row r="1203" spans="1:15" x14ac:dyDescent="0.2">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f t="array" ref="O1203">_xlfn.IFS(orders[[#This Row],[Customer Gender]]="M","Male", orders[[#This Row],[Customer Gender]]="F","Female", orders[[#This Row],[Customer Gender]]="O","Other", TRUE,"Unknown")</f>
        <v>Female</v>
      </c>
    </row>
    <row r="1204" spans="1:15" x14ac:dyDescent="0.2">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f t="array" ref="O1204">_xlfn.IFS(orders[[#This Row],[Customer Gender]]="M","Male", orders[[#This Row],[Customer Gender]]="F","Female", orders[[#This Row],[Customer Gender]]="O","Other", TRUE,"Unknown")</f>
        <v>Female</v>
      </c>
    </row>
    <row r="1205" spans="1:15" x14ac:dyDescent="0.2">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f t="array" ref="O1205">_xlfn.IFS(orders[[#This Row],[Customer Gender]]="M","Male", orders[[#This Row],[Customer Gender]]="F","Female", orders[[#This Row],[Customer Gender]]="O","Other", TRUE,"Unknown")</f>
        <v>Male</v>
      </c>
    </row>
    <row r="1206" spans="1:15" x14ac:dyDescent="0.2">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f t="array" ref="O1206">_xlfn.IFS(orders[[#This Row],[Customer Gender]]="M","Male", orders[[#This Row],[Customer Gender]]="F","Female", orders[[#This Row],[Customer Gender]]="O","Other", TRUE,"Unknown")</f>
        <v>Male</v>
      </c>
    </row>
    <row r="1207" spans="1:15" x14ac:dyDescent="0.2">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f t="array" ref="O1207">_xlfn.IFS(orders[[#This Row],[Customer Gender]]="M","Male", orders[[#This Row],[Customer Gender]]="F","Female", orders[[#This Row],[Customer Gender]]="O","Other", TRUE,"Unknown")</f>
        <v>Other</v>
      </c>
    </row>
    <row r="1208" spans="1:15" x14ac:dyDescent="0.2">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f t="array" ref="O1208">_xlfn.IFS(orders[[#This Row],[Customer Gender]]="M","Male", orders[[#This Row],[Customer Gender]]="F","Female", orders[[#This Row],[Customer Gender]]="O","Other", TRUE,"Unknown")</f>
        <v>Female</v>
      </c>
    </row>
    <row r="1209" spans="1:15" x14ac:dyDescent="0.2">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f t="array" ref="O1209">_xlfn.IFS(orders[[#This Row],[Customer Gender]]="M","Male", orders[[#This Row],[Customer Gender]]="F","Female", orders[[#This Row],[Customer Gender]]="O","Other", TRUE,"Unknown")</f>
        <v>Female</v>
      </c>
    </row>
    <row r="1210" spans="1:15" x14ac:dyDescent="0.2">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f t="array" ref="O1210">_xlfn.IFS(orders[[#This Row],[Customer Gender]]="M","Male", orders[[#This Row],[Customer Gender]]="F","Female", orders[[#This Row],[Customer Gender]]="O","Other", TRUE,"Unknown")</f>
        <v>Male</v>
      </c>
    </row>
    <row r="1211" spans="1:15" x14ac:dyDescent="0.2">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f t="array" ref="O1211">_xlfn.IFS(orders[[#This Row],[Customer Gender]]="M","Male", orders[[#This Row],[Customer Gender]]="F","Female", orders[[#This Row],[Customer Gender]]="O","Other", TRUE,"Unknown")</f>
        <v>Male</v>
      </c>
    </row>
    <row r="1212" spans="1:15" x14ac:dyDescent="0.2">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f t="array" ref="O1212">_xlfn.IFS(orders[[#This Row],[Customer Gender]]="M","Male", orders[[#This Row],[Customer Gender]]="F","Female", orders[[#This Row],[Customer Gender]]="O","Other", TRUE,"Unknown")</f>
        <v>Other</v>
      </c>
    </row>
    <row r="1213" spans="1:15" x14ac:dyDescent="0.2">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f t="array" ref="O1213">_xlfn.IFS(orders[[#This Row],[Customer Gender]]="M","Male", orders[[#This Row],[Customer Gender]]="F","Female", orders[[#This Row],[Customer Gender]]="O","Other", TRUE,"Unknown")</f>
        <v>Female</v>
      </c>
    </row>
    <row r="1214" spans="1:15" x14ac:dyDescent="0.2">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f t="array" ref="O1214">_xlfn.IFS(orders[[#This Row],[Customer Gender]]="M","Male", orders[[#This Row],[Customer Gender]]="F","Female", orders[[#This Row],[Customer Gender]]="O","Other", TRUE,"Unknown")</f>
        <v>Female</v>
      </c>
    </row>
    <row r="1215" spans="1:15" x14ac:dyDescent="0.2">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f t="array" ref="O1215">_xlfn.IFS(orders[[#This Row],[Customer Gender]]="M","Male", orders[[#This Row],[Customer Gender]]="F","Female", orders[[#This Row],[Customer Gender]]="O","Other", TRUE,"Unknown")</f>
        <v>Unknown</v>
      </c>
    </row>
    <row r="1216" spans="1:15" x14ac:dyDescent="0.2">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f t="array" ref="O1216">_xlfn.IFS(orders[[#This Row],[Customer Gender]]="M","Male", orders[[#This Row],[Customer Gender]]="F","Female", orders[[#This Row],[Customer Gender]]="O","Other", TRUE,"Unknown")</f>
        <v>Female</v>
      </c>
    </row>
    <row r="1217" spans="1:15" x14ac:dyDescent="0.2">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f t="array" ref="O1217">_xlfn.IFS(orders[[#This Row],[Customer Gender]]="M","Male", orders[[#This Row],[Customer Gender]]="F","Female", orders[[#This Row],[Customer Gender]]="O","Other", TRUE,"Unknown")</f>
        <v>Male</v>
      </c>
    </row>
    <row r="1218" spans="1:15" x14ac:dyDescent="0.2">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f t="array" ref="O1218">_xlfn.IFS(orders[[#This Row],[Customer Gender]]="M","Male", orders[[#This Row],[Customer Gender]]="F","Female", orders[[#This Row],[Customer Gender]]="O","Other", TRUE,"Unknown")</f>
        <v>Male</v>
      </c>
    </row>
    <row r="1219" spans="1:15" x14ac:dyDescent="0.2">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f t="array" ref="O1219">_xlfn.IFS(orders[[#This Row],[Customer Gender]]="M","Male", orders[[#This Row],[Customer Gender]]="F","Female", orders[[#This Row],[Customer Gender]]="O","Other", TRUE,"Unknown")</f>
        <v>Male</v>
      </c>
    </row>
    <row r="1220" spans="1:15" x14ac:dyDescent="0.2">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f t="array" ref="O1220">_xlfn.IFS(orders[[#This Row],[Customer Gender]]="M","Male", orders[[#This Row],[Customer Gender]]="F","Female", orders[[#This Row],[Customer Gender]]="O","Other", TRUE,"Unknown")</f>
        <v>Female</v>
      </c>
    </row>
    <row r="1221" spans="1:15" x14ac:dyDescent="0.2">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f t="array" ref="O1221">_xlfn.IFS(orders[[#This Row],[Customer Gender]]="M","Male", orders[[#This Row],[Customer Gender]]="F","Female", orders[[#This Row],[Customer Gender]]="O","Other", TRUE,"Unknown")</f>
        <v>Male</v>
      </c>
    </row>
    <row r="1222" spans="1:15" x14ac:dyDescent="0.2">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f t="array" ref="O1222">_xlfn.IFS(orders[[#This Row],[Customer Gender]]="M","Male", orders[[#This Row],[Customer Gender]]="F","Female", orders[[#This Row],[Customer Gender]]="O","Other", TRUE,"Unknown")</f>
        <v>Male</v>
      </c>
    </row>
    <row r="1223" spans="1:15" x14ac:dyDescent="0.2">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f t="array" ref="O1223">_xlfn.IFS(orders[[#This Row],[Customer Gender]]="M","Male", orders[[#This Row],[Customer Gender]]="F","Female", orders[[#This Row],[Customer Gender]]="O","Other", TRUE,"Unknown")</f>
        <v>Female</v>
      </c>
    </row>
    <row r="1224" spans="1:15" x14ac:dyDescent="0.2">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f t="array" ref="O1224">_xlfn.IFS(orders[[#This Row],[Customer Gender]]="M","Male", orders[[#This Row],[Customer Gender]]="F","Female", orders[[#This Row],[Customer Gender]]="O","Other", TRUE,"Unknown")</f>
        <v>Female</v>
      </c>
    </row>
    <row r="1225" spans="1:15" x14ac:dyDescent="0.2">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f t="array" ref="O1225">_xlfn.IFS(orders[[#This Row],[Customer Gender]]="M","Male", orders[[#This Row],[Customer Gender]]="F","Female", orders[[#This Row],[Customer Gender]]="O","Other", TRUE,"Unknown")</f>
        <v>Male</v>
      </c>
    </row>
    <row r="1226" spans="1:15" x14ac:dyDescent="0.2">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f t="array" ref="O1226">_xlfn.IFS(orders[[#This Row],[Customer Gender]]="M","Male", orders[[#This Row],[Customer Gender]]="F","Female", orders[[#This Row],[Customer Gender]]="O","Other", TRUE,"Unknown")</f>
        <v>Male</v>
      </c>
    </row>
    <row r="1227" spans="1:15" x14ac:dyDescent="0.2">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f t="array" ref="O1227">_xlfn.IFS(orders[[#This Row],[Customer Gender]]="M","Male", orders[[#This Row],[Customer Gender]]="F","Female", orders[[#This Row],[Customer Gender]]="O","Other", TRUE,"Unknown")</f>
        <v>Unknown</v>
      </c>
    </row>
    <row r="1228" spans="1:15" x14ac:dyDescent="0.2">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f t="array" ref="O1228">_xlfn.IFS(orders[[#This Row],[Customer Gender]]="M","Male", orders[[#This Row],[Customer Gender]]="F","Female", orders[[#This Row],[Customer Gender]]="O","Other", TRUE,"Unknown")</f>
        <v>Male</v>
      </c>
    </row>
    <row r="1229" spans="1:15" x14ac:dyDescent="0.2">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f t="array" ref="O1229">_xlfn.IFS(orders[[#This Row],[Customer Gender]]="M","Male", orders[[#This Row],[Customer Gender]]="F","Female", orders[[#This Row],[Customer Gender]]="O","Other", TRUE,"Unknown")</f>
        <v>Female</v>
      </c>
    </row>
    <row r="1230" spans="1:15" x14ac:dyDescent="0.2">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f t="array" ref="O1230">_xlfn.IFS(orders[[#This Row],[Customer Gender]]="M","Male", orders[[#This Row],[Customer Gender]]="F","Female", orders[[#This Row],[Customer Gender]]="O","Other", TRUE,"Unknown")</f>
        <v>Male</v>
      </c>
    </row>
    <row r="1231" spans="1:15" x14ac:dyDescent="0.2">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f t="array" ref="O1231">_xlfn.IFS(orders[[#This Row],[Customer Gender]]="M","Male", orders[[#This Row],[Customer Gender]]="F","Female", orders[[#This Row],[Customer Gender]]="O","Other", TRUE,"Unknown")</f>
        <v>Female</v>
      </c>
    </row>
    <row r="1232" spans="1:15" x14ac:dyDescent="0.2">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f t="array" ref="O1232">_xlfn.IFS(orders[[#This Row],[Customer Gender]]="M","Male", orders[[#This Row],[Customer Gender]]="F","Female", orders[[#This Row],[Customer Gender]]="O","Other", TRUE,"Unknown")</f>
        <v>Male</v>
      </c>
    </row>
    <row r="1233" spans="1:15" x14ac:dyDescent="0.2">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f t="array" ref="O1233">_xlfn.IFS(orders[[#This Row],[Customer Gender]]="M","Male", orders[[#This Row],[Customer Gender]]="F","Female", orders[[#This Row],[Customer Gender]]="O","Other", TRUE,"Unknown")</f>
        <v>Male</v>
      </c>
    </row>
    <row r="1234" spans="1:15" x14ac:dyDescent="0.2">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f t="array" ref="O1234">_xlfn.IFS(orders[[#This Row],[Customer Gender]]="M","Male", orders[[#This Row],[Customer Gender]]="F","Female", orders[[#This Row],[Customer Gender]]="O","Other", TRUE,"Unknown")</f>
        <v>Female</v>
      </c>
    </row>
    <row r="1235" spans="1:15" x14ac:dyDescent="0.2">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f t="array" ref="O1235">_xlfn.IFS(orders[[#This Row],[Customer Gender]]="M","Male", orders[[#This Row],[Customer Gender]]="F","Female", orders[[#This Row],[Customer Gender]]="O","Other", TRUE,"Unknown")</f>
        <v>Other</v>
      </c>
    </row>
    <row r="1236" spans="1:15" x14ac:dyDescent="0.2">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f t="array" ref="O1236">_xlfn.IFS(orders[[#This Row],[Customer Gender]]="M","Male", orders[[#This Row],[Customer Gender]]="F","Female", orders[[#This Row],[Customer Gender]]="O","Other", TRUE,"Unknown")</f>
        <v>Male</v>
      </c>
    </row>
    <row r="1237" spans="1:15" x14ac:dyDescent="0.2">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f t="array" ref="O1237">_xlfn.IFS(orders[[#This Row],[Customer Gender]]="M","Male", orders[[#This Row],[Customer Gender]]="F","Female", orders[[#This Row],[Customer Gender]]="O","Other", TRUE,"Unknown")</f>
        <v>Other</v>
      </c>
    </row>
    <row r="1238" spans="1:15" x14ac:dyDescent="0.2">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f t="array" ref="O1238">_xlfn.IFS(orders[[#This Row],[Customer Gender]]="M","Male", orders[[#This Row],[Customer Gender]]="F","Female", orders[[#This Row],[Customer Gender]]="O","Other", TRUE,"Unknown")</f>
        <v>Unknown</v>
      </c>
    </row>
    <row r="1239" spans="1:15" x14ac:dyDescent="0.2">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f t="array" ref="O1239">_xlfn.IFS(orders[[#This Row],[Customer Gender]]="M","Male", orders[[#This Row],[Customer Gender]]="F","Female", orders[[#This Row],[Customer Gender]]="O","Other", TRUE,"Unknown")</f>
        <v>Female</v>
      </c>
    </row>
    <row r="1240" spans="1:15" x14ac:dyDescent="0.2">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f t="array" ref="O1240">_xlfn.IFS(orders[[#This Row],[Customer Gender]]="M","Male", orders[[#This Row],[Customer Gender]]="F","Female", orders[[#This Row],[Customer Gender]]="O","Other", TRUE,"Unknown")</f>
        <v>Male</v>
      </c>
    </row>
    <row r="1241" spans="1:15" x14ac:dyDescent="0.2">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f t="array" ref="O1241">_xlfn.IFS(orders[[#This Row],[Customer Gender]]="M","Male", orders[[#This Row],[Customer Gender]]="F","Female", orders[[#This Row],[Customer Gender]]="O","Other", TRUE,"Unknown")</f>
        <v>Female</v>
      </c>
    </row>
    <row r="1242" spans="1:15" x14ac:dyDescent="0.2">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f t="array" ref="O1242">_xlfn.IFS(orders[[#This Row],[Customer Gender]]="M","Male", orders[[#This Row],[Customer Gender]]="F","Female", orders[[#This Row],[Customer Gender]]="O","Other", TRUE,"Unknown")</f>
        <v>Unknown</v>
      </c>
    </row>
    <row r="1243" spans="1:15" x14ac:dyDescent="0.2">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f t="array" ref="O1243">_xlfn.IFS(orders[[#This Row],[Customer Gender]]="M","Male", orders[[#This Row],[Customer Gender]]="F","Female", orders[[#This Row],[Customer Gender]]="O","Other", TRUE,"Unknown")</f>
        <v>Female</v>
      </c>
    </row>
    <row r="1244" spans="1:15" x14ac:dyDescent="0.2">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f t="array" ref="O1244">_xlfn.IFS(orders[[#This Row],[Customer Gender]]="M","Male", orders[[#This Row],[Customer Gender]]="F","Female", orders[[#This Row],[Customer Gender]]="O","Other", TRUE,"Unknown")</f>
        <v>Female</v>
      </c>
    </row>
    <row r="1245" spans="1:15" x14ac:dyDescent="0.2">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f t="array" ref="O1245">_xlfn.IFS(orders[[#This Row],[Customer Gender]]="M","Male", orders[[#This Row],[Customer Gender]]="F","Female", orders[[#This Row],[Customer Gender]]="O","Other", TRUE,"Unknown")</f>
        <v>Female</v>
      </c>
    </row>
    <row r="1246" spans="1:15" x14ac:dyDescent="0.2">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f t="array" ref="O1246">_xlfn.IFS(orders[[#This Row],[Customer Gender]]="M","Male", orders[[#This Row],[Customer Gender]]="F","Female", orders[[#This Row],[Customer Gender]]="O","Other", TRUE,"Unknown")</f>
        <v>Female</v>
      </c>
    </row>
    <row r="1247" spans="1:15" x14ac:dyDescent="0.2">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f t="array" ref="O1247">_xlfn.IFS(orders[[#This Row],[Customer Gender]]="M","Male", orders[[#This Row],[Customer Gender]]="F","Female", orders[[#This Row],[Customer Gender]]="O","Other", TRUE,"Unknown")</f>
        <v>Male</v>
      </c>
    </row>
    <row r="1248" spans="1:15" x14ac:dyDescent="0.2">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f t="array" ref="O1248">_xlfn.IFS(orders[[#This Row],[Customer Gender]]="M","Male", orders[[#This Row],[Customer Gender]]="F","Female", orders[[#This Row],[Customer Gender]]="O","Other", TRUE,"Unknown")</f>
        <v>Male</v>
      </c>
    </row>
    <row r="1249" spans="1:15" x14ac:dyDescent="0.2">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f t="array" ref="O1249">_xlfn.IFS(orders[[#This Row],[Customer Gender]]="M","Male", orders[[#This Row],[Customer Gender]]="F","Female", orders[[#This Row],[Customer Gender]]="O","Other", TRUE,"Unknown")</f>
        <v>Female</v>
      </c>
    </row>
    <row r="1250" spans="1:15" x14ac:dyDescent="0.2">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f t="array" ref="O1250">_xlfn.IFS(orders[[#This Row],[Customer Gender]]="M","Male", orders[[#This Row],[Customer Gender]]="F","Female", orders[[#This Row],[Customer Gender]]="O","Other", TRUE,"Unknown")</f>
        <v>Male</v>
      </c>
    </row>
    <row r="1251" spans="1:15" x14ac:dyDescent="0.2">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f t="array" ref="O1251">_xlfn.IFS(orders[[#This Row],[Customer Gender]]="M","Male", orders[[#This Row],[Customer Gender]]="F","Female", orders[[#This Row],[Customer Gender]]="O","Other", TRUE,"Unknown")</f>
        <v>Female</v>
      </c>
    </row>
    <row r="1252" spans="1:15" x14ac:dyDescent="0.2">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f t="array" ref="O1252">_xlfn.IFS(orders[[#This Row],[Customer Gender]]="M","Male", orders[[#This Row],[Customer Gender]]="F","Female", orders[[#This Row],[Customer Gender]]="O","Other", TRUE,"Unknown")</f>
        <v>Male</v>
      </c>
    </row>
    <row r="1253" spans="1:15" x14ac:dyDescent="0.2">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f t="array" ref="O1253">_xlfn.IFS(orders[[#This Row],[Customer Gender]]="M","Male", orders[[#This Row],[Customer Gender]]="F","Female", orders[[#This Row],[Customer Gender]]="O","Other", TRUE,"Unknown")</f>
        <v>Unknown</v>
      </c>
    </row>
    <row r="1254" spans="1:15" x14ac:dyDescent="0.2">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f t="array" ref="O1254">_xlfn.IFS(orders[[#This Row],[Customer Gender]]="M","Male", orders[[#This Row],[Customer Gender]]="F","Female", orders[[#This Row],[Customer Gender]]="O","Other", TRUE,"Unknown")</f>
        <v>Female</v>
      </c>
    </row>
    <row r="1255" spans="1:15" x14ac:dyDescent="0.2">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f t="array" ref="O1255">_xlfn.IFS(orders[[#This Row],[Customer Gender]]="M","Male", orders[[#This Row],[Customer Gender]]="F","Female", orders[[#This Row],[Customer Gender]]="O","Other", TRUE,"Unknown")</f>
        <v>Female</v>
      </c>
    </row>
    <row r="1256" spans="1:15" x14ac:dyDescent="0.2">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f t="array" ref="O1256">_xlfn.IFS(orders[[#This Row],[Customer Gender]]="M","Male", orders[[#This Row],[Customer Gender]]="F","Female", orders[[#This Row],[Customer Gender]]="O","Other", TRUE,"Unknown")</f>
        <v>Female</v>
      </c>
    </row>
    <row r="1257" spans="1:15" x14ac:dyDescent="0.2">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f t="array" ref="O1257">_xlfn.IFS(orders[[#This Row],[Customer Gender]]="M","Male", orders[[#This Row],[Customer Gender]]="F","Female", orders[[#This Row],[Customer Gender]]="O","Other", TRUE,"Unknown")</f>
        <v>Female</v>
      </c>
    </row>
    <row r="1258" spans="1:15" x14ac:dyDescent="0.2">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f t="array" ref="O1258">_xlfn.IFS(orders[[#This Row],[Customer Gender]]="M","Male", orders[[#This Row],[Customer Gender]]="F","Female", orders[[#This Row],[Customer Gender]]="O","Other", TRUE,"Unknown")</f>
        <v>Male</v>
      </c>
    </row>
    <row r="1259" spans="1:15" x14ac:dyDescent="0.2">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f t="array" ref="O1259">_xlfn.IFS(orders[[#This Row],[Customer Gender]]="M","Male", orders[[#This Row],[Customer Gender]]="F","Female", orders[[#This Row],[Customer Gender]]="O","Other", TRUE,"Unknown")</f>
        <v>Male</v>
      </c>
    </row>
    <row r="1260" spans="1:15" x14ac:dyDescent="0.2">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f t="array" ref="O1260">_xlfn.IFS(orders[[#This Row],[Customer Gender]]="M","Male", orders[[#This Row],[Customer Gender]]="F","Female", orders[[#This Row],[Customer Gender]]="O","Other", TRUE,"Unknown")</f>
        <v>Male</v>
      </c>
    </row>
    <row r="1261" spans="1:15" x14ac:dyDescent="0.2">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f t="array" ref="O1261">_xlfn.IFS(orders[[#This Row],[Customer Gender]]="M","Male", orders[[#This Row],[Customer Gender]]="F","Female", orders[[#This Row],[Customer Gender]]="O","Other", TRUE,"Unknown")</f>
        <v>Male</v>
      </c>
    </row>
    <row r="1262" spans="1:15" x14ac:dyDescent="0.2">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f t="array" ref="O1262">_xlfn.IFS(orders[[#This Row],[Customer Gender]]="M","Male", orders[[#This Row],[Customer Gender]]="F","Female", orders[[#This Row],[Customer Gender]]="O","Other", TRUE,"Unknown")</f>
        <v>Male</v>
      </c>
    </row>
    <row r="1263" spans="1:15" x14ac:dyDescent="0.2">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f t="array" ref="O1263">_xlfn.IFS(orders[[#This Row],[Customer Gender]]="M","Male", orders[[#This Row],[Customer Gender]]="F","Female", orders[[#This Row],[Customer Gender]]="O","Other", TRUE,"Unknown")</f>
        <v>Male</v>
      </c>
    </row>
    <row r="1264" spans="1:15" x14ac:dyDescent="0.2">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f t="array" ref="O1264">_xlfn.IFS(orders[[#This Row],[Customer Gender]]="M","Male", orders[[#This Row],[Customer Gender]]="F","Female", orders[[#This Row],[Customer Gender]]="O","Other", TRUE,"Unknown")</f>
        <v>Male</v>
      </c>
    </row>
    <row r="1265" spans="1:15" x14ac:dyDescent="0.2">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f t="array" ref="O1265">_xlfn.IFS(orders[[#This Row],[Customer Gender]]="M","Male", orders[[#This Row],[Customer Gender]]="F","Female", orders[[#This Row],[Customer Gender]]="O","Other", TRUE,"Unknown")</f>
        <v>Male</v>
      </c>
    </row>
    <row r="1266" spans="1:15" x14ac:dyDescent="0.2">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f t="array" ref="O1266">_xlfn.IFS(orders[[#This Row],[Customer Gender]]="M","Male", orders[[#This Row],[Customer Gender]]="F","Female", orders[[#This Row],[Customer Gender]]="O","Other", TRUE,"Unknown")</f>
        <v>Female</v>
      </c>
    </row>
    <row r="1267" spans="1:15" x14ac:dyDescent="0.2">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f t="array" ref="O1267">_xlfn.IFS(orders[[#This Row],[Customer Gender]]="M","Male", orders[[#This Row],[Customer Gender]]="F","Female", orders[[#This Row],[Customer Gender]]="O","Other", TRUE,"Unknown")</f>
        <v>Female</v>
      </c>
    </row>
    <row r="1268" spans="1:15" x14ac:dyDescent="0.2">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f t="array" ref="O1268">_xlfn.IFS(orders[[#This Row],[Customer Gender]]="M","Male", orders[[#This Row],[Customer Gender]]="F","Female", orders[[#This Row],[Customer Gender]]="O","Other", TRUE,"Unknown")</f>
        <v>Male</v>
      </c>
    </row>
    <row r="1269" spans="1:15" x14ac:dyDescent="0.2">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f t="array" ref="O1269">_xlfn.IFS(orders[[#This Row],[Customer Gender]]="M","Male", orders[[#This Row],[Customer Gender]]="F","Female", orders[[#This Row],[Customer Gender]]="O","Other", TRUE,"Unknown")</f>
        <v>Male</v>
      </c>
    </row>
    <row r="1270" spans="1:15" x14ac:dyDescent="0.2">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f t="array" ref="O1270">_xlfn.IFS(orders[[#This Row],[Customer Gender]]="M","Male", orders[[#This Row],[Customer Gender]]="F","Female", orders[[#This Row],[Customer Gender]]="O","Other", TRUE,"Unknown")</f>
        <v>Female</v>
      </c>
    </row>
    <row r="1271" spans="1:15" x14ac:dyDescent="0.2">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f t="array" ref="O1271">_xlfn.IFS(orders[[#This Row],[Customer Gender]]="M","Male", orders[[#This Row],[Customer Gender]]="F","Female", orders[[#This Row],[Customer Gender]]="O","Other", TRUE,"Unknown")</f>
        <v>Female</v>
      </c>
    </row>
    <row r="1272" spans="1:15" x14ac:dyDescent="0.2">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f t="array" ref="O1272">_xlfn.IFS(orders[[#This Row],[Customer Gender]]="M","Male", orders[[#This Row],[Customer Gender]]="F","Female", orders[[#This Row],[Customer Gender]]="O","Other", TRUE,"Unknown")</f>
        <v>Female</v>
      </c>
    </row>
    <row r="1273" spans="1:15" x14ac:dyDescent="0.2">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f t="array" ref="O1273">_xlfn.IFS(orders[[#This Row],[Customer Gender]]="M","Male", orders[[#This Row],[Customer Gender]]="F","Female", orders[[#This Row],[Customer Gender]]="O","Other", TRUE,"Unknown")</f>
        <v>Male</v>
      </c>
    </row>
    <row r="1274" spans="1:15" x14ac:dyDescent="0.2">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f t="array" ref="O1274">_xlfn.IFS(orders[[#This Row],[Customer Gender]]="M","Male", orders[[#This Row],[Customer Gender]]="F","Female", orders[[#This Row],[Customer Gender]]="O","Other", TRUE,"Unknown")</f>
        <v>Male</v>
      </c>
    </row>
    <row r="1275" spans="1:15" x14ac:dyDescent="0.2">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f t="array" ref="O1275">_xlfn.IFS(orders[[#This Row],[Customer Gender]]="M","Male", orders[[#This Row],[Customer Gender]]="F","Female", orders[[#This Row],[Customer Gender]]="O","Other", TRUE,"Unknown")</f>
        <v>Female</v>
      </c>
    </row>
    <row r="1276" spans="1:15" x14ac:dyDescent="0.2">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f t="array" ref="O1276">_xlfn.IFS(orders[[#This Row],[Customer Gender]]="M","Male", orders[[#This Row],[Customer Gender]]="F","Female", orders[[#This Row],[Customer Gender]]="O","Other", TRUE,"Unknown")</f>
        <v>Female</v>
      </c>
    </row>
    <row r="1277" spans="1:15" x14ac:dyDescent="0.2">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f t="array" ref="O1277">_xlfn.IFS(orders[[#This Row],[Customer Gender]]="M","Male", orders[[#This Row],[Customer Gender]]="F","Female", orders[[#This Row],[Customer Gender]]="O","Other", TRUE,"Unknown")</f>
        <v>Female</v>
      </c>
    </row>
    <row r="1278" spans="1:15" x14ac:dyDescent="0.2">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f t="array" ref="O1278">_xlfn.IFS(orders[[#This Row],[Customer Gender]]="M","Male", orders[[#This Row],[Customer Gender]]="F","Female", orders[[#This Row],[Customer Gender]]="O","Other", TRUE,"Unknown")</f>
        <v>Female</v>
      </c>
    </row>
    <row r="1279" spans="1:15" x14ac:dyDescent="0.2">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f t="array" ref="O1279">_xlfn.IFS(orders[[#This Row],[Customer Gender]]="M","Male", orders[[#This Row],[Customer Gender]]="F","Female", orders[[#This Row],[Customer Gender]]="O","Other", TRUE,"Unknown")</f>
        <v>Unknown</v>
      </c>
    </row>
    <row r="1280" spans="1:15" x14ac:dyDescent="0.2">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f t="array" ref="O1280">_xlfn.IFS(orders[[#This Row],[Customer Gender]]="M","Male", orders[[#This Row],[Customer Gender]]="F","Female", orders[[#This Row],[Customer Gender]]="O","Other", TRUE,"Unknown")</f>
        <v>Female</v>
      </c>
    </row>
    <row r="1281" spans="1:15" x14ac:dyDescent="0.2">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f t="array" ref="O1281">_xlfn.IFS(orders[[#This Row],[Customer Gender]]="M","Male", orders[[#This Row],[Customer Gender]]="F","Female", orders[[#This Row],[Customer Gender]]="O","Other", TRUE,"Unknown")</f>
        <v>Female</v>
      </c>
    </row>
    <row r="1282" spans="1:15" x14ac:dyDescent="0.2">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f t="array" ref="O1282">_xlfn.IFS(orders[[#This Row],[Customer Gender]]="M","Male", orders[[#This Row],[Customer Gender]]="F","Female", orders[[#This Row],[Customer Gender]]="O","Other", TRUE,"Unknown")</f>
        <v>Female</v>
      </c>
    </row>
    <row r="1283" spans="1:15" x14ac:dyDescent="0.2">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f t="array" ref="O1283">_xlfn.IFS(orders[[#This Row],[Customer Gender]]="M","Male", orders[[#This Row],[Customer Gender]]="F","Female", orders[[#This Row],[Customer Gender]]="O","Other", TRUE,"Unknown")</f>
        <v>Female</v>
      </c>
    </row>
    <row r="1284" spans="1:15" x14ac:dyDescent="0.2">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f t="array" ref="O1284">_xlfn.IFS(orders[[#This Row],[Customer Gender]]="M","Male", orders[[#This Row],[Customer Gender]]="F","Female", orders[[#This Row],[Customer Gender]]="O","Other", TRUE,"Unknown")</f>
        <v>Male</v>
      </c>
    </row>
    <row r="1285" spans="1:15" x14ac:dyDescent="0.2">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f t="array" ref="O1285">_xlfn.IFS(orders[[#This Row],[Customer Gender]]="M","Male", orders[[#This Row],[Customer Gender]]="F","Female", orders[[#This Row],[Customer Gender]]="O","Other", TRUE,"Unknown")</f>
        <v>Female</v>
      </c>
    </row>
    <row r="1286" spans="1:15" x14ac:dyDescent="0.2">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f t="array" ref="O1286">_xlfn.IFS(orders[[#This Row],[Customer Gender]]="M","Male", orders[[#This Row],[Customer Gender]]="F","Female", orders[[#This Row],[Customer Gender]]="O","Other", TRUE,"Unknown")</f>
        <v>Male</v>
      </c>
    </row>
    <row r="1287" spans="1:15" x14ac:dyDescent="0.2">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f t="array" ref="O1287">_xlfn.IFS(orders[[#This Row],[Customer Gender]]="M","Male", orders[[#This Row],[Customer Gender]]="F","Female", orders[[#This Row],[Customer Gender]]="O","Other", TRUE,"Unknown")</f>
        <v>Male</v>
      </c>
    </row>
    <row r="1288" spans="1:15" x14ac:dyDescent="0.2">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f t="array" ref="O1288">_xlfn.IFS(orders[[#This Row],[Customer Gender]]="M","Male", orders[[#This Row],[Customer Gender]]="F","Female", orders[[#This Row],[Customer Gender]]="O","Other", TRUE,"Unknown")</f>
        <v>Male</v>
      </c>
    </row>
    <row r="1289" spans="1:15" x14ac:dyDescent="0.2">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f t="array" ref="O1289">_xlfn.IFS(orders[[#This Row],[Customer Gender]]="M","Male", orders[[#This Row],[Customer Gender]]="F","Female", orders[[#This Row],[Customer Gender]]="O","Other", TRUE,"Unknown")</f>
        <v>Male</v>
      </c>
    </row>
    <row r="1290" spans="1:15" x14ac:dyDescent="0.2">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f t="array" ref="O1290">_xlfn.IFS(orders[[#This Row],[Customer Gender]]="M","Male", orders[[#This Row],[Customer Gender]]="F","Female", orders[[#This Row],[Customer Gender]]="O","Other", TRUE,"Unknown")</f>
        <v>Male</v>
      </c>
    </row>
    <row r="1291" spans="1:15" x14ac:dyDescent="0.2">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f t="array" ref="O1291">_xlfn.IFS(orders[[#This Row],[Customer Gender]]="M","Male", orders[[#This Row],[Customer Gender]]="F","Female", orders[[#This Row],[Customer Gender]]="O","Other", TRUE,"Unknown")</f>
        <v>Male</v>
      </c>
    </row>
    <row r="1292" spans="1:15" x14ac:dyDescent="0.2">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f t="array" ref="O1292">_xlfn.IFS(orders[[#This Row],[Customer Gender]]="M","Male", orders[[#This Row],[Customer Gender]]="F","Female", orders[[#This Row],[Customer Gender]]="O","Other", TRUE,"Unknown")</f>
        <v>Male</v>
      </c>
    </row>
    <row r="1293" spans="1:15" x14ac:dyDescent="0.2">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f t="array" ref="O1293">_xlfn.IFS(orders[[#This Row],[Customer Gender]]="M","Male", orders[[#This Row],[Customer Gender]]="F","Female", orders[[#This Row],[Customer Gender]]="O","Other", TRUE,"Unknown")</f>
        <v>Female</v>
      </c>
    </row>
    <row r="1294" spans="1:15" x14ac:dyDescent="0.2">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f t="array" ref="O1294">_xlfn.IFS(orders[[#This Row],[Customer Gender]]="M","Male", orders[[#This Row],[Customer Gender]]="F","Female", orders[[#This Row],[Customer Gender]]="O","Other", TRUE,"Unknown")</f>
        <v>Male</v>
      </c>
    </row>
    <row r="1295" spans="1:15" x14ac:dyDescent="0.2">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f t="array" ref="O1295">_xlfn.IFS(orders[[#This Row],[Customer Gender]]="M","Male", orders[[#This Row],[Customer Gender]]="F","Female", orders[[#This Row],[Customer Gender]]="O","Other", TRUE,"Unknown")</f>
        <v>Male</v>
      </c>
    </row>
    <row r="1296" spans="1:15" x14ac:dyDescent="0.2">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f t="array" ref="O1296">_xlfn.IFS(orders[[#This Row],[Customer Gender]]="M","Male", orders[[#This Row],[Customer Gender]]="F","Female", orders[[#This Row],[Customer Gender]]="O","Other", TRUE,"Unknown")</f>
        <v>Unknown</v>
      </c>
    </row>
    <row r="1297" spans="1:15" x14ac:dyDescent="0.2">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f t="array" ref="O1297">_xlfn.IFS(orders[[#This Row],[Customer Gender]]="M","Male", orders[[#This Row],[Customer Gender]]="F","Female", orders[[#This Row],[Customer Gender]]="O","Other", TRUE,"Unknown")</f>
        <v>Male</v>
      </c>
    </row>
    <row r="1298" spans="1:15" x14ac:dyDescent="0.2">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f t="array" ref="O1298">_xlfn.IFS(orders[[#This Row],[Customer Gender]]="M","Male", orders[[#This Row],[Customer Gender]]="F","Female", orders[[#This Row],[Customer Gender]]="O","Other", TRUE,"Unknown")</f>
        <v>Female</v>
      </c>
    </row>
    <row r="1299" spans="1:15" x14ac:dyDescent="0.2">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f t="array" ref="O1299">_xlfn.IFS(orders[[#This Row],[Customer Gender]]="M","Male", orders[[#This Row],[Customer Gender]]="F","Female", orders[[#This Row],[Customer Gender]]="O","Other", TRUE,"Unknown")</f>
        <v>Female</v>
      </c>
    </row>
    <row r="1300" spans="1:15" x14ac:dyDescent="0.2">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f t="array" ref="O1300">_xlfn.IFS(orders[[#This Row],[Customer Gender]]="M","Male", orders[[#This Row],[Customer Gender]]="F","Female", orders[[#This Row],[Customer Gender]]="O","Other", TRUE,"Unknown")</f>
        <v>Female</v>
      </c>
    </row>
    <row r="1301" spans="1:15" x14ac:dyDescent="0.2">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f t="array" ref="O1301">_xlfn.IFS(orders[[#This Row],[Customer Gender]]="M","Male", orders[[#This Row],[Customer Gender]]="F","Female", orders[[#This Row],[Customer Gender]]="O","Other", TRUE,"Unknown")</f>
        <v>Female</v>
      </c>
    </row>
    <row r="1302" spans="1:15" x14ac:dyDescent="0.2">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f t="array" ref="O1302">_xlfn.IFS(orders[[#This Row],[Customer Gender]]="M","Male", orders[[#This Row],[Customer Gender]]="F","Female", orders[[#This Row],[Customer Gender]]="O","Other", TRUE,"Unknown")</f>
        <v>Female</v>
      </c>
    </row>
    <row r="1303" spans="1:15" x14ac:dyDescent="0.2">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f t="array" ref="O1303">_xlfn.IFS(orders[[#This Row],[Customer Gender]]="M","Male", orders[[#This Row],[Customer Gender]]="F","Female", orders[[#This Row],[Customer Gender]]="O","Other", TRUE,"Unknown")</f>
        <v>Male</v>
      </c>
    </row>
    <row r="1304" spans="1:15" x14ac:dyDescent="0.2">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f t="array" ref="O1304">_xlfn.IFS(orders[[#This Row],[Customer Gender]]="M","Male", orders[[#This Row],[Customer Gender]]="F","Female", orders[[#This Row],[Customer Gender]]="O","Other", TRUE,"Unknown")</f>
        <v>Male</v>
      </c>
    </row>
    <row r="1305" spans="1:15" x14ac:dyDescent="0.2">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f t="array" ref="O1305">_xlfn.IFS(orders[[#This Row],[Customer Gender]]="M","Male", orders[[#This Row],[Customer Gender]]="F","Female", orders[[#This Row],[Customer Gender]]="O","Other", TRUE,"Unknown")</f>
        <v>Female</v>
      </c>
    </row>
    <row r="1306" spans="1:15" x14ac:dyDescent="0.2">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f t="array" ref="O1306">_xlfn.IFS(orders[[#This Row],[Customer Gender]]="M","Male", orders[[#This Row],[Customer Gender]]="F","Female", orders[[#This Row],[Customer Gender]]="O","Other", TRUE,"Unknown")</f>
        <v>Female</v>
      </c>
    </row>
    <row r="1307" spans="1:15" x14ac:dyDescent="0.2">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f t="array" ref="O1307">_xlfn.IFS(orders[[#This Row],[Customer Gender]]="M","Male", orders[[#This Row],[Customer Gender]]="F","Female", orders[[#This Row],[Customer Gender]]="O","Other", TRUE,"Unknown")</f>
        <v>Female</v>
      </c>
    </row>
    <row r="1308" spans="1:15" x14ac:dyDescent="0.2">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f t="array" ref="O1308">_xlfn.IFS(orders[[#This Row],[Customer Gender]]="M","Male", orders[[#This Row],[Customer Gender]]="F","Female", orders[[#This Row],[Customer Gender]]="O","Other", TRUE,"Unknown")</f>
        <v>Male</v>
      </c>
    </row>
    <row r="1309" spans="1:15" x14ac:dyDescent="0.2">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f t="array" ref="O1309">_xlfn.IFS(orders[[#This Row],[Customer Gender]]="M","Male", orders[[#This Row],[Customer Gender]]="F","Female", orders[[#This Row],[Customer Gender]]="O","Other", TRUE,"Unknown")</f>
        <v>Female</v>
      </c>
    </row>
    <row r="1310" spans="1:15" x14ac:dyDescent="0.2">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f t="array" ref="O1310">_xlfn.IFS(orders[[#This Row],[Customer Gender]]="M","Male", orders[[#This Row],[Customer Gender]]="F","Female", orders[[#This Row],[Customer Gender]]="O","Other", TRUE,"Unknown")</f>
        <v>Male</v>
      </c>
    </row>
    <row r="1311" spans="1:15" x14ac:dyDescent="0.2">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f t="array" ref="O1311">_xlfn.IFS(orders[[#This Row],[Customer Gender]]="M","Male", orders[[#This Row],[Customer Gender]]="F","Female", orders[[#This Row],[Customer Gender]]="O","Other", TRUE,"Unknown")</f>
        <v>Male</v>
      </c>
    </row>
    <row r="1312" spans="1:15" x14ac:dyDescent="0.2">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f t="array" ref="O1312">_xlfn.IFS(orders[[#This Row],[Customer Gender]]="M","Male", orders[[#This Row],[Customer Gender]]="F","Female", orders[[#This Row],[Customer Gender]]="O","Other", TRUE,"Unknown")</f>
        <v>Male</v>
      </c>
    </row>
    <row r="1313" spans="1:15" x14ac:dyDescent="0.2">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f t="array" ref="O1313">_xlfn.IFS(orders[[#This Row],[Customer Gender]]="M","Male", orders[[#This Row],[Customer Gender]]="F","Female", orders[[#This Row],[Customer Gender]]="O","Other", TRUE,"Unknown")</f>
        <v>Male</v>
      </c>
    </row>
    <row r="1314" spans="1:15" x14ac:dyDescent="0.2">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f t="array" ref="O1314">_xlfn.IFS(orders[[#This Row],[Customer Gender]]="M","Male", orders[[#This Row],[Customer Gender]]="F","Female", orders[[#This Row],[Customer Gender]]="O","Other", TRUE,"Unknown")</f>
        <v>Female</v>
      </c>
    </row>
    <row r="1315" spans="1:15" x14ac:dyDescent="0.2">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f t="array" ref="O1315">_xlfn.IFS(orders[[#This Row],[Customer Gender]]="M","Male", orders[[#This Row],[Customer Gender]]="F","Female", orders[[#This Row],[Customer Gender]]="O","Other", TRUE,"Unknown")</f>
        <v>Female</v>
      </c>
    </row>
    <row r="1316" spans="1:15" x14ac:dyDescent="0.2">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f t="array" ref="O1316">_xlfn.IFS(orders[[#This Row],[Customer Gender]]="M","Male", orders[[#This Row],[Customer Gender]]="F","Female", orders[[#This Row],[Customer Gender]]="O","Other", TRUE,"Unknown")</f>
        <v>Female</v>
      </c>
    </row>
    <row r="1317" spans="1:15" x14ac:dyDescent="0.2">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f t="array" ref="O1317">_xlfn.IFS(orders[[#This Row],[Customer Gender]]="M","Male", orders[[#This Row],[Customer Gender]]="F","Female", orders[[#This Row],[Customer Gender]]="O","Other", TRUE,"Unknown")</f>
        <v>Unknown</v>
      </c>
    </row>
    <row r="1318" spans="1:15" x14ac:dyDescent="0.2">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f t="array" ref="O1318">_xlfn.IFS(orders[[#This Row],[Customer Gender]]="M","Male", orders[[#This Row],[Customer Gender]]="F","Female", orders[[#This Row],[Customer Gender]]="O","Other", TRUE,"Unknown")</f>
        <v>Female</v>
      </c>
    </row>
    <row r="1319" spans="1:15" x14ac:dyDescent="0.2">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f t="array" ref="O1319">_xlfn.IFS(orders[[#This Row],[Customer Gender]]="M","Male", orders[[#This Row],[Customer Gender]]="F","Female", orders[[#This Row],[Customer Gender]]="O","Other", TRUE,"Unknown")</f>
        <v>Female</v>
      </c>
    </row>
    <row r="1320" spans="1:15" x14ac:dyDescent="0.2">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f t="array" ref="O1320">_xlfn.IFS(orders[[#This Row],[Customer Gender]]="M","Male", orders[[#This Row],[Customer Gender]]="F","Female", orders[[#This Row],[Customer Gender]]="O","Other", TRUE,"Unknown")</f>
        <v>Male</v>
      </c>
    </row>
    <row r="1321" spans="1:15" x14ac:dyDescent="0.2">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f t="array" ref="O1321">_xlfn.IFS(orders[[#This Row],[Customer Gender]]="M","Male", orders[[#This Row],[Customer Gender]]="F","Female", orders[[#This Row],[Customer Gender]]="O","Other", TRUE,"Unknown")</f>
        <v>Male</v>
      </c>
    </row>
    <row r="1322" spans="1:15" x14ac:dyDescent="0.2">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f t="array" ref="O1322">_xlfn.IFS(orders[[#This Row],[Customer Gender]]="M","Male", orders[[#This Row],[Customer Gender]]="F","Female", orders[[#This Row],[Customer Gender]]="O","Other", TRUE,"Unknown")</f>
        <v>Male</v>
      </c>
    </row>
    <row r="1323" spans="1:15" x14ac:dyDescent="0.2">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f t="array" ref="O1323">_xlfn.IFS(orders[[#This Row],[Customer Gender]]="M","Male", orders[[#This Row],[Customer Gender]]="F","Female", orders[[#This Row],[Customer Gender]]="O","Other", TRUE,"Unknown")</f>
        <v>Male</v>
      </c>
    </row>
    <row r="1324" spans="1:15" x14ac:dyDescent="0.2">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f t="array" ref="O1324">_xlfn.IFS(orders[[#This Row],[Customer Gender]]="M","Male", orders[[#This Row],[Customer Gender]]="F","Female", orders[[#This Row],[Customer Gender]]="O","Other", TRUE,"Unknown")</f>
        <v>Female</v>
      </c>
    </row>
    <row r="1325" spans="1:15" x14ac:dyDescent="0.2">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f t="array" ref="O1325">_xlfn.IFS(orders[[#This Row],[Customer Gender]]="M","Male", orders[[#This Row],[Customer Gender]]="F","Female", orders[[#This Row],[Customer Gender]]="O","Other", TRUE,"Unknown")</f>
        <v>Male</v>
      </c>
    </row>
    <row r="1326" spans="1:15" x14ac:dyDescent="0.2">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f t="array" ref="O1326">_xlfn.IFS(orders[[#This Row],[Customer Gender]]="M","Male", orders[[#This Row],[Customer Gender]]="F","Female", orders[[#This Row],[Customer Gender]]="O","Other", TRUE,"Unknown")</f>
        <v>Male</v>
      </c>
    </row>
    <row r="1327" spans="1:15" x14ac:dyDescent="0.2">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f t="array" ref="O1327">_xlfn.IFS(orders[[#This Row],[Customer Gender]]="M","Male", orders[[#This Row],[Customer Gender]]="F","Female", orders[[#This Row],[Customer Gender]]="O","Other", TRUE,"Unknown")</f>
        <v>Male</v>
      </c>
    </row>
    <row r="1328" spans="1:15" x14ac:dyDescent="0.2">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f t="array" ref="O1328">_xlfn.IFS(orders[[#This Row],[Customer Gender]]="M","Male", orders[[#This Row],[Customer Gender]]="F","Female", orders[[#This Row],[Customer Gender]]="O","Other", TRUE,"Unknown")</f>
        <v>Male</v>
      </c>
    </row>
    <row r="1329" spans="1:15" x14ac:dyDescent="0.2">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f t="array" ref="O1329">_xlfn.IFS(orders[[#This Row],[Customer Gender]]="M","Male", orders[[#This Row],[Customer Gender]]="F","Female", orders[[#This Row],[Customer Gender]]="O","Other", TRUE,"Unknown")</f>
        <v>Female</v>
      </c>
    </row>
    <row r="1330" spans="1:15" x14ac:dyDescent="0.2">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f t="array" ref="O1330">_xlfn.IFS(orders[[#This Row],[Customer Gender]]="M","Male", orders[[#This Row],[Customer Gender]]="F","Female", orders[[#This Row],[Customer Gender]]="O","Other", TRUE,"Unknown")</f>
        <v>Male</v>
      </c>
    </row>
    <row r="1331" spans="1:15" x14ac:dyDescent="0.2">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f t="array" ref="O1331">_xlfn.IFS(orders[[#This Row],[Customer Gender]]="M","Male", orders[[#This Row],[Customer Gender]]="F","Female", orders[[#This Row],[Customer Gender]]="O","Other", TRUE,"Unknown")</f>
        <v>Unknown</v>
      </c>
    </row>
    <row r="1332" spans="1:15" x14ac:dyDescent="0.2">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f t="array" ref="O1332">_xlfn.IFS(orders[[#This Row],[Customer Gender]]="M","Male", orders[[#This Row],[Customer Gender]]="F","Female", orders[[#This Row],[Customer Gender]]="O","Other", TRUE,"Unknown")</f>
        <v>Male</v>
      </c>
    </row>
    <row r="1333" spans="1:15" x14ac:dyDescent="0.2">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f t="array" ref="O1333">_xlfn.IFS(orders[[#This Row],[Customer Gender]]="M","Male", orders[[#This Row],[Customer Gender]]="F","Female", orders[[#This Row],[Customer Gender]]="O","Other", TRUE,"Unknown")</f>
        <v>Female</v>
      </c>
    </row>
    <row r="1334" spans="1:15" x14ac:dyDescent="0.2">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f t="array" ref="O1334">_xlfn.IFS(orders[[#This Row],[Customer Gender]]="M","Male", orders[[#This Row],[Customer Gender]]="F","Female", orders[[#This Row],[Customer Gender]]="O","Other", TRUE,"Unknown")</f>
        <v>Female</v>
      </c>
    </row>
    <row r="1335" spans="1:15" x14ac:dyDescent="0.2">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f t="array" ref="O1335">_xlfn.IFS(orders[[#This Row],[Customer Gender]]="M","Male", orders[[#This Row],[Customer Gender]]="F","Female", orders[[#This Row],[Customer Gender]]="O","Other", TRUE,"Unknown")</f>
        <v>Male</v>
      </c>
    </row>
    <row r="1336" spans="1:15" x14ac:dyDescent="0.2">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f t="array" ref="O1336">_xlfn.IFS(orders[[#This Row],[Customer Gender]]="M","Male", orders[[#This Row],[Customer Gender]]="F","Female", orders[[#This Row],[Customer Gender]]="O","Other", TRUE,"Unknown")</f>
        <v>Female</v>
      </c>
    </row>
    <row r="1337" spans="1:15" x14ac:dyDescent="0.2">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f t="array" ref="O1337">_xlfn.IFS(orders[[#This Row],[Customer Gender]]="M","Male", orders[[#This Row],[Customer Gender]]="F","Female", orders[[#This Row],[Customer Gender]]="O","Other", TRUE,"Unknown")</f>
        <v>Male</v>
      </c>
    </row>
    <row r="1338" spans="1:15" x14ac:dyDescent="0.2">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f t="array" ref="O1338">_xlfn.IFS(orders[[#This Row],[Customer Gender]]="M","Male", orders[[#This Row],[Customer Gender]]="F","Female", orders[[#This Row],[Customer Gender]]="O","Other", TRUE,"Unknown")</f>
        <v>Male</v>
      </c>
    </row>
    <row r="1339" spans="1:15" x14ac:dyDescent="0.2">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f t="array" ref="O1339">_xlfn.IFS(orders[[#This Row],[Customer Gender]]="M","Male", orders[[#This Row],[Customer Gender]]="F","Female", orders[[#This Row],[Customer Gender]]="O","Other", TRUE,"Unknown")</f>
        <v>Male</v>
      </c>
    </row>
    <row r="1340" spans="1:15" x14ac:dyDescent="0.2">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f t="array" ref="O1340">_xlfn.IFS(orders[[#This Row],[Customer Gender]]="M","Male", orders[[#This Row],[Customer Gender]]="F","Female", orders[[#This Row],[Customer Gender]]="O","Other", TRUE,"Unknown")</f>
        <v>Male</v>
      </c>
    </row>
    <row r="1341" spans="1:15" x14ac:dyDescent="0.2">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f t="array" ref="O1341">_xlfn.IFS(orders[[#This Row],[Customer Gender]]="M","Male", orders[[#This Row],[Customer Gender]]="F","Female", orders[[#This Row],[Customer Gender]]="O","Other", TRUE,"Unknown")</f>
        <v>Female</v>
      </c>
    </row>
    <row r="1342" spans="1:15" x14ac:dyDescent="0.2">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f t="array" ref="O1342">_xlfn.IFS(orders[[#This Row],[Customer Gender]]="M","Male", orders[[#This Row],[Customer Gender]]="F","Female", orders[[#This Row],[Customer Gender]]="O","Other", TRUE,"Unknown")</f>
        <v>Male</v>
      </c>
    </row>
    <row r="1343" spans="1:15" x14ac:dyDescent="0.2">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f t="array" ref="O1343">_xlfn.IFS(orders[[#This Row],[Customer Gender]]="M","Male", orders[[#This Row],[Customer Gender]]="F","Female", orders[[#This Row],[Customer Gender]]="O","Other", TRUE,"Unknown")</f>
        <v>Male</v>
      </c>
    </row>
    <row r="1344" spans="1:15" x14ac:dyDescent="0.2">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f t="array" ref="O1344">_xlfn.IFS(orders[[#This Row],[Customer Gender]]="M","Male", orders[[#This Row],[Customer Gender]]="F","Female", orders[[#This Row],[Customer Gender]]="O","Other", TRUE,"Unknown")</f>
        <v>Male</v>
      </c>
    </row>
    <row r="1345" spans="1:15" x14ac:dyDescent="0.2">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f t="array" ref="O1345">_xlfn.IFS(orders[[#This Row],[Customer Gender]]="M","Male", orders[[#This Row],[Customer Gender]]="F","Female", orders[[#This Row],[Customer Gender]]="O","Other", TRUE,"Unknown")</f>
        <v>Female</v>
      </c>
    </row>
    <row r="1346" spans="1:15" x14ac:dyDescent="0.2">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f t="array" ref="O1346">_xlfn.IFS(orders[[#This Row],[Customer Gender]]="M","Male", orders[[#This Row],[Customer Gender]]="F","Female", orders[[#This Row],[Customer Gender]]="O","Other", TRUE,"Unknown")</f>
        <v>Male</v>
      </c>
    </row>
    <row r="1347" spans="1:15" x14ac:dyDescent="0.2">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f t="array" ref="O1347">_xlfn.IFS(orders[[#This Row],[Customer Gender]]="M","Male", orders[[#This Row],[Customer Gender]]="F","Female", orders[[#This Row],[Customer Gender]]="O","Other", TRUE,"Unknown")</f>
        <v>Female</v>
      </c>
    </row>
    <row r="1348" spans="1:15" x14ac:dyDescent="0.2">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f t="array" ref="O1348">_xlfn.IFS(orders[[#This Row],[Customer Gender]]="M","Male", orders[[#This Row],[Customer Gender]]="F","Female", orders[[#This Row],[Customer Gender]]="O","Other", TRUE,"Unknown")</f>
        <v>Female</v>
      </c>
    </row>
    <row r="1349" spans="1:15" x14ac:dyDescent="0.2">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f t="array" ref="O1349">_xlfn.IFS(orders[[#This Row],[Customer Gender]]="M","Male", orders[[#This Row],[Customer Gender]]="F","Female", orders[[#This Row],[Customer Gender]]="O","Other", TRUE,"Unknown")</f>
        <v>Female</v>
      </c>
    </row>
    <row r="1350" spans="1:15" x14ac:dyDescent="0.2">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f t="array" ref="O1350">_xlfn.IFS(orders[[#This Row],[Customer Gender]]="M","Male", orders[[#This Row],[Customer Gender]]="F","Female", orders[[#This Row],[Customer Gender]]="O","Other", TRUE,"Unknown")</f>
        <v>Male</v>
      </c>
    </row>
    <row r="1351" spans="1:15" x14ac:dyDescent="0.2">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f t="array" ref="O1351">_xlfn.IFS(orders[[#This Row],[Customer Gender]]="M","Male", orders[[#This Row],[Customer Gender]]="F","Female", orders[[#This Row],[Customer Gender]]="O","Other", TRUE,"Unknown")</f>
        <v>Other</v>
      </c>
    </row>
    <row r="1352" spans="1:15" x14ac:dyDescent="0.2">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f t="array" ref="O1352">_xlfn.IFS(orders[[#This Row],[Customer Gender]]="M","Male", orders[[#This Row],[Customer Gender]]="F","Female", orders[[#This Row],[Customer Gender]]="O","Other", TRUE,"Unknown")</f>
        <v>Female</v>
      </c>
    </row>
    <row r="1353" spans="1:15" x14ac:dyDescent="0.2">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f t="array" ref="O1353">_xlfn.IFS(orders[[#This Row],[Customer Gender]]="M","Male", orders[[#This Row],[Customer Gender]]="F","Female", orders[[#This Row],[Customer Gender]]="O","Other", TRUE,"Unknown")</f>
        <v>Male</v>
      </c>
    </row>
    <row r="1354" spans="1:15" x14ac:dyDescent="0.2">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f t="array" ref="O1354">_xlfn.IFS(orders[[#This Row],[Customer Gender]]="M","Male", orders[[#This Row],[Customer Gender]]="F","Female", orders[[#This Row],[Customer Gender]]="O","Other", TRUE,"Unknown")</f>
        <v>Female</v>
      </c>
    </row>
    <row r="1355" spans="1:15" x14ac:dyDescent="0.2">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f t="array" ref="O1355">_xlfn.IFS(orders[[#This Row],[Customer Gender]]="M","Male", orders[[#This Row],[Customer Gender]]="F","Female", orders[[#This Row],[Customer Gender]]="O","Other", TRUE,"Unknown")</f>
        <v>Male</v>
      </c>
    </row>
    <row r="1356" spans="1:15" x14ac:dyDescent="0.2">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f t="array" ref="O1356">_xlfn.IFS(orders[[#This Row],[Customer Gender]]="M","Male", orders[[#This Row],[Customer Gender]]="F","Female", orders[[#This Row],[Customer Gender]]="O","Other", TRUE,"Unknown")</f>
        <v>Male</v>
      </c>
    </row>
    <row r="1357" spans="1:15" x14ac:dyDescent="0.2">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f t="array" ref="O1357">_xlfn.IFS(orders[[#This Row],[Customer Gender]]="M","Male", orders[[#This Row],[Customer Gender]]="F","Female", orders[[#This Row],[Customer Gender]]="O","Other", TRUE,"Unknown")</f>
        <v>Female</v>
      </c>
    </row>
    <row r="1358" spans="1:15" x14ac:dyDescent="0.2">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f t="array" ref="O1358">_xlfn.IFS(orders[[#This Row],[Customer Gender]]="M","Male", orders[[#This Row],[Customer Gender]]="F","Female", orders[[#This Row],[Customer Gender]]="O","Other", TRUE,"Unknown")</f>
        <v>Female</v>
      </c>
    </row>
    <row r="1359" spans="1:15" x14ac:dyDescent="0.2">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f t="array" ref="O1359">_xlfn.IFS(orders[[#This Row],[Customer Gender]]="M","Male", orders[[#This Row],[Customer Gender]]="F","Female", orders[[#This Row],[Customer Gender]]="O","Other", TRUE,"Unknown")</f>
        <v>Male</v>
      </c>
    </row>
    <row r="1360" spans="1:15" x14ac:dyDescent="0.2">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f t="array" ref="O1360">_xlfn.IFS(orders[[#This Row],[Customer Gender]]="M","Male", orders[[#This Row],[Customer Gender]]="F","Female", orders[[#This Row],[Customer Gender]]="O","Other", TRUE,"Unknown")</f>
        <v>Unknown</v>
      </c>
    </row>
    <row r="1361" spans="1:15" x14ac:dyDescent="0.2">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f t="array" ref="O1361">_xlfn.IFS(orders[[#This Row],[Customer Gender]]="M","Male", orders[[#This Row],[Customer Gender]]="F","Female", orders[[#This Row],[Customer Gender]]="O","Other", TRUE,"Unknown")</f>
        <v>Male</v>
      </c>
    </row>
    <row r="1362" spans="1:15" x14ac:dyDescent="0.2">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f t="array" ref="O1362">_xlfn.IFS(orders[[#This Row],[Customer Gender]]="M","Male", orders[[#This Row],[Customer Gender]]="F","Female", orders[[#This Row],[Customer Gender]]="O","Other", TRUE,"Unknown")</f>
        <v>Female</v>
      </c>
    </row>
    <row r="1363" spans="1:15" x14ac:dyDescent="0.2">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f t="array" ref="O1363">_xlfn.IFS(orders[[#This Row],[Customer Gender]]="M","Male", orders[[#This Row],[Customer Gender]]="F","Female", orders[[#This Row],[Customer Gender]]="O","Other", TRUE,"Unknown")</f>
        <v>Male</v>
      </c>
    </row>
    <row r="1364" spans="1:15" x14ac:dyDescent="0.2">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f t="array" ref="O1364">_xlfn.IFS(orders[[#This Row],[Customer Gender]]="M","Male", orders[[#This Row],[Customer Gender]]="F","Female", orders[[#This Row],[Customer Gender]]="O","Other", TRUE,"Unknown")</f>
        <v>Unknown</v>
      </c>
    </row>
    <row r="1365" spans="1:15" x14ac:dyDescent="0.2">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f t="array" ref="O1365">_xlfn.IFS(orders[[#This Row],[Customer Gender]]="M","Male", orders[[#This Row],[Customer Gender]]="F","Female", orders[[#This Row],[Customer Gender]]="O","Other", TRUE,"Unknown")</f>
        <v>Male</v>
      </c>
    </row>
    <row r="1366" spans="1:15" x14ac:dyDescent="0.2">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f t="array" ref="O1366">_xlfn.IFS(orders[[#This Row],[Customer Gender]]="M","Male", orders[[#This Row],[Customer Gender]]="F","Female", orders[[#This Row],[Customer Gender]]="O","Other", TRUE,"Unknown")</f>
        <v>Male</v>
      </c>
    </row>
    <row r="1367" spans="1:15" x14ac:dyDescent="0.2">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f t="array" ref="O1367">_xlfn.IFS(orders[[#This Row],[Customer Gender]]="M","Male", orders[[#This Row],[Customer Gender]]="F","Female", orders[[#This Row],[Customer Gender]]="O","Other", TRUE,"Unknown")</f>
        <v>Unknown</v>
      </c>
    </row>
    <row r="1368" spans="1:15" x14ac:dyDescent="0.2">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f t="array" ref="O1368">_xlfn.IFS(orders[[#This Row],[Customer Gender]]="M","Male", orders[[#This Row],[Customer Gender]]="F","Female", orders[[#This Row],[Customer Gender]]="O","Other", TRUE,"Unknown")</f>
        <v>Female</v>
      </c>
    </row>
    <row r="1369" spans="1:15" x14ac:dyDescent="0.2">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f t="array" ref="O1369">_xlfn.IFS(orders[[#This Row],[Customer Gender]]="M","Male", orders[[#This Row],[Customer Gender]]="F","Female", orders[[#This Row],[Customer Gender]]="O","Other", TRUE,"Unknown")</f>
        <v>Male</v>
      </c>
    </row>
    <row r="1370" spans="1:15" x14ac:dyDescent="0.2">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f t="array" ref="O1370">_xlfn.IFS(orders[[#This Row],[Customer Gender]]="M","Male", orders[[#This Row],[Customer Gender]]="F","Female", orders[[#This Row],[Customer Gender]]="O","Other", TRUE,"Unknown")</f>
        <v>Male</v>
      </c>
    </row>
    <row r="1371" spans="1:15" x14ac:dyDescent="0.2">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f t="array" ref="O1371">_xlfn.IFS(orders[[#This Row],[Customer Gender]]="M","Male", orders[[#This Row],[Customer Gender]]="F","Female", orders[[#This Row],[Customer Gender]]="O","Other", TRUE,"Unknown")</f>
        <v>Male</v>
      </c>
    </row>
    <row r="1372" spans="1:15" x14ac:dyDescent="0.2">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f t="array" ref="O1372">_xlfn.IFS(orders[[#This Row],[Customer Gender]]="M","Male", orders[[#This Row],[Customer Gender]]="F","Female", orders[[#This Row],[Customer Gender]]="O","Other", TRUE,"Unknown")</f>
        <v>Male</v>
      </c>
    </row>
    <row r="1373" spans="1:15" x14ac:dyDescent="0.2">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f t="array" ref="O1373">_xlfn.IFS(orders[[#This Row],[Customer Gender]]="M","Male", orders[[#This Row],[Customer Gender]]="F","Female", orders[[#This Row],[Customer Gender]]="O","Other", TRUE,"Unknown")</f>
        <v>Female</v>
      </c>
    </row>
    <row r="1374" spans="1:15" x14ac:dyDescent="0.2">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f t="array" ref="O1374">_xlfn.IFS(orders[[#This Row],[Customer Gender]]="M","Male", orders[[#This Row],[Customer Gender]]="F","Female", orders[[#This Row],[Customer Gender]]="O","Other", TRUE,"Unknown")</f>
        <v>Other</v>
      </c>
    </row>
    <row r="1375" spans="1:15" x14ac:dyDescent="0.2">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f t="array" ref="O1375">_xlfn.IFS(orders[[#This Row],[Customer Gender]]="M","Male", orders[[#This Row],[Customer Gender]]="F","Female", orders[[#This Row],[Customer Gender]]="O","Other", TRUE,"Unknown")</f>
        <v>Female</v>
      </c>
    </row>
    <row r="1376" spans="1:15" x14ac:dyDescent="0.2">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f t="array" ref="O1376">_xlfn.IFS(orders[[#This Row],[Customer Gender]]="M","Male", orders[[#This Row],[Customer Gender]]="F","Female", orders[[#This Row],[Customer Gender]]="O","Other", TRUE,"Unknown")</f>
        <v>Female</v>
      </c>
    </row>
    <row r="1377" spans="1:15" x14ac:dyDescent="0.2">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f t="array" ref="O1377">_xlfn.IFS(orders[[#This Row],[Customer Gender]]="M","Male", orders[[#This Row],[Customer Gender]]="F","Female", orders[[#This Row],[Customer Gender]]="O","Other", TRUE,"Unknown")</f>
        <v>Male</v>
      </c>
    </row>
    <row r="1378" spans="1:15" x14ac:dyDescent="0.2">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f t="array" ref="O1378">_xlfn.IFS(orders[[#This Row],[Customer Gender]]="M","Male", orders[[#This Row],[Customer Gender]]="F","Female", orders[[#This Row],[Customer Gender]]="O","Other", TRUE,"Unknown")</f>
        <v>Male</v>
      </c>
    </row>
    <row r="1379" spans="1:15" x14ac:dyDescent="0.2">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f t="array" ref="O1379">_xlfn.IFS(orders[[#This Row],[Customer Gender]]="M","Male", orders[[#This Row],[Customer Gender]]="F","Female", orders[[#This Row],[Customer Gender]]="O","Other", TRUE,"Unknown")</f>
        <v>Male</v>
      </c>
    </row>
    <row r="1380" spans="1:15" x14ac:dyDescent="0.2">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f t="array" ref="O1380">_xlfn.IFS(orders[[#This Row],[Customer Gender]]="M","Male", orders[[#This Row],[Customer Gender]]="F","Female", orders[[#This Row],[Customer Gender]]="O","Other", TRUE,"Unknown")</f>
        <v>Female</v>
      </c>
    </row>
    <row r="1381" spans="1:15" x14ac:dyDescent="0.2">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f t="array" ref="O1381">_xlfn.IFS(orders[[#This Row],[Customer Gender]]="M","Male", orders[[#This Row],[Customer Gender]]="F","Female", orders[[#This Row],[Customer Gender]]="O","Other", TRUE,"Unknown")</f>
        <v>Male</v>
      </c>
    </row>
    <row r="1382" spans="1:15" x14ac:dyDescent="0.2">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f t="array" ref="O1382">_xlfn.IFS(orders[[#This Row],[Customer Gender]]="M","Male", orders[[#This Row],[Customer Gender]]="F","Female", orders[[#This Row],[Customer Gender]]="O","Other", TRUE,"Unknown")</f>
        <v>Male</v>
      </c>
    </row>
    <row r="1383" spans="1:15" x14ac:dyDescent="0.2">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f t="array" ref="O1383">_xlfn.IFS(orders[[#This Row],[Customer Gender]]="M","Male", orders[[#This Row],[Customer Gender]]="F","Female", orders[[#This Row],[Customer Gender]]="O","Other", TRUE,"Unknown")</f>
        <v>Male</v>
      </c>
    </row>
    <row r="1384" spans="1:15" x14ac:dyDescent="0.2">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f t="array" ref="O1384">_xlfn.IFS(orders[[#This Row],[Customer Gender]]="M","Male", orders[[#This Row],[Customer Gender]]="F","Female", orders[[#This Row],[Customer Gender]]="O","Other", TRUE,"Unknown")</f>
        <v>Male</v>
      </c>
    </row>
    <row r="1385" spans="1:15" x14ac:dyDescent="0.2">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f t="array" ref="O1385">_xlfn.IFS(orders[[#This Row],[Customer Gender]]="M","Male", orders[[#This Row],[Customer Gender]]="F","Female", orders[[#This Row],[Customer Gender]]="O","Other", TRUE,"Unknown")</f>
        <v>Male</v>
      </c>
    </row>
    <row r="1386" spans="1:15" x14ac:dyDescent="0.2">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f t="array" ref="O1386">_xlfn.IFS(orders[[#This Row],[Customer Gender]]="M","Male", orders[[#This Row],[Customer Gender]]="F","Female", orders[[#This Row],[Customer Gender]]="O","Other", TRUE,"Unknown")</f>
        <v>Female</v>
      </c>
    </row>
    <row r="1387" spans="1:15" x14ac:dyDescent="0.2">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f t="array" ref="O1387">_xlfn.IFS(orders[[#This Row],[Customer Gender]]="M","Male", orders[[#This Row],[Customer Gender]]="F","Female", orders[[#This Row],[Customer Gender]]="O","Other", TRUE,"Unknown")</f>
        <v>Male</v>
      </c>
    </row>
    <row r="1388" spans="1:15" x14ac:dyDescent="0.2">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f t="array" ref="O1388">_xlfn.IFS(orders[[#This Row],[Customer Gender]]="M","Male", orders[[#This Row],[Customer Gender]]="F","Female", orders[[#This Row],[Customer Gender]]="O","Other", TRUE,"Unknown")</f>
        <v>Male</v>
      </c>
    </row>
    <row r="1389" spans="1:15" x14ac:dyDescent="0.2">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f t="array" ref="O1389">_xlfn.IFS(orders[[#This Row],[Customer Gender]]="M","Male", orders[[#This Row],[Customer Gender]]="F","Female", orders[[#This Row],[Customer Gender]]="O","Other", TRUE,"Unknown")</f>
        <v>Male</v>
      </c>
    </row>
    <row r="1390" spans="1:15" x14ac:dyDescent="0.2">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f t="array" ref="O1390">_xlfn.IFS(orders[[#This Row],[Customer Gender]]="M","Male", orders[[#This Row],[Customer Gender]]="F","Female", orders[[#This Row],[Customer Gender]]="O","Other", TRUE,"Unknown")</f>
        <v>Unknown</v>
      </c>
    </row>
    <row r="1391" spans="1:15" x14ac:dyDescent="0.2">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f t="array" ref="O1391">_xlfn.IFS(orders[[#This Row],[Customer Gender]]="M","Male", orders[[#This Row],[Customer Gender]]="F","Female", orders[[#This Row],[Customer Gender]]="O","Other", TRUE,"Unknown")</f>
        <v>Male</v>
      </c>
    </row>
    <row r="1392" spans="1:15" x14ac:dyDescent="0.2">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f t="array" ref="O1392">_xlfn.IFS(orders[[#This Row],[Customer Gender]]="M","Male", orders[[#This Row],[Customer Gender]]="F","Female", orders[[#This Row],[Customer Gender]]="O","Other", TRUE,"Unknown")</f>
        <v>Male</v>
      </c>
    </row>
    <row r="1393" spans="1:15" x14ac:dyDescent="0.2">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f t="array" ref="O1393">_xlfn.IFS(orders[[#This Row],[Customer Gender]]="M","Male", orders[[#This Row],[Customer Gender]]="F","Female", orders[[#This Row],[Customer Gender]]="O","Other", TRUE,"Unknown")</f>
        <v>Female</v>
      </c>
    </row>
    <row r="1394" spans="1:15" x14ac:dyDescent="0.2">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f t="array" ref="O1394">_xlfn.IFS(orders[[#This Row],[Customer Gender]]="M","Male", orders[[#This Row],[Customer Gender]]="F","Female", orders[[#This Row],[Customer Gender]]="O","Other", TRUE,"Unknown")</f>
        <v>Male</v>
      </c>
    </row>
    <row r="1395" spans="1:15" x14ac:dyDescent="0.2">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f t="array" ref="O1395">_xlfn.IFS(orders[[#This Row],[Customer Gender]]="M","Male", orders[[#This Row],[Customer Gender]]="F","Female", orders[[#This Row],[Customer Gender]]="O","Other", TRUE,"Unknown")</f>
        <v>Male</v>
      </c>
    </row>
    <row r="1396" spans="1:15" x14ac:dyDescent="0.2">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f t="array" ref="O1396">_xlfn.IFS(orders[[#This Row],[Customer Gender]]="M","Male", orders[[#This Row],[Customer Gender]]="F","Female", orders[[#This Row],[Customer Gender]]="O","Other", TRUE,"Unknown")</f>
        <v>Male</v>
      </c>
    </row>
    <row r="1397" spans="1:15" x14ac:dyDescent="0.2">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f t="array" ref="O1397">_xlfn.IFS(orders[[#This Row],[Customer Gender]]="M","Male", orders[[#This Row],[Customer Gender]]="F","Female", orders[[#This Row],[Customer Gender]]="O","Other", TRUE,"Unknown")</f>
        <v>Male</v>
      </c>
    </row>
    <row r="1398" spans="1:15" x14ac:dyDescent="0.2">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f t="array" ref="O1398">_xlfn.IFS(orders[[#This Row],[Customer Gender]]="M","Male", orders[[#This Row],[Customer Gender]]="F","Female", orders[[#This Row],[Customer Gender]]="O","Other", TRUE,"Unknown")</f>
        <v>Male</v>
      </c>
    </row>
    <row r="1399" spans="1:15" x14ac:dyDescent="0.2">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f t="array" ref="O1399">_xlfn.IFS(orders[[#This Row],[Customer Gender]]="M","Male", orders[[#This Row],[Customer Gender]]="F","Female", orders[[#This Row],[Customer Gender]]="O","Other", TRUE,"Unknown")</f>
        <v>Female</v>
      </c>
    </row>
    <row r="1400" spans="1:15" x14ac:dyDescent="0.2">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f t="array" ref="O1400">_xlfn.IFS(orders[[#This Row],[Customer Gender]]="M","Male", orders[[#This Row],[Customer Gender]]="F","Female", orders[[#This Row],[Customer Gender]]="O","Other", TRUE,"Unknown")</f>
        <v>Female</v>
      </c>
    </row>
    <row r="1401" spans="1:15" x14ac:dyDescent="0.2">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f t="array" ref="O1401">_xlfn.IFS(orders[[#This Row],[Customer Gender]]="M","Male", orders[[#This Row],[Customer Gender]]="F","Female", orders[[#This Row],[Customer Gender]]="O","Other", TRUE,"Unknown")</f>
        <v>Male</v>
      </c>
    </row>
    <row r="1402" spans="1:15" x14ac:dyDescent="0.2">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f t="array" ref="O1402">_xlfn.IFS(orders[[#This Row],[Customer Gender]]="M","Male", orders[[#This Row],[Customer Gender]]="F","Female", orders[[#This Row],[Customer Gender]]="O","Other", TRUE,"Unknown")</f>
        <v>Female</v>
      </c>
    </row>
    <row r="1403" spans="1:15" x14ac:dyDescent="0.2">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f t="array" ref="O1403">_xlfn.IFS(orders[[#This Row],[Customer Gender]]="M","Male", orders[[#This Row],[Customer Gender]]="F","Female", orders[[#This Row],[Customer Gender]]="O","Other", TRUE,"Unknown")</f>
        <v>Female</v>
      </c>
    </row>
    <row r="1404" spans="1:15" x14ac:dyDescent="0.2">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f t="array" ref="O1404">_xlfn.IFS(orders[[#This Row],[Customer Gender]]="M","Male", orders[[#This Row],[Customer Gender]]="F","Female", orders[[#This Row],[Customer Gender]]="O","Other", TRUE,"Unknown")</f>
        <v>Male</v>
      </c>
    </row>
    <row r="1405" spans="1:15" x14ac:dyDescent="0.2">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f t="array" ref="O1405">_xlfn.IFS(orders[[#This Row],[Customer Gender]]="M","Male", orders[[#This Row],[Customer Gender]]="F","Female", orders[[#This Row],[Customer Gender]]="O","Other", TRUE,"Unknown")</f>
        <v>Male</v>
      </c>
    </row>
    <row r="1406" spans="1:15" x14ac:dyDescent="0.2">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f t="array" ref="O1406">_xlfn.IFS(orders[[#This Row],[Customer Gender]]="M","Male", orders[[#This Row],[Customer Gender]]="F","Female", orders[[#This Row],[Customer Gender]]="O","Other", TRUE,"Unknown")</f>
        <v>Female</v>
      </c>
    </row>
    <row r="1407" spans="1:15" x14ac:dyDescent="0.2">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f t="array" ref="O1407">_xlfn.IFS(orders[[#This Row],[Customer Gender]]="M","Male", orders[[#This Row],[Customer Gender]]="F","Female", orders[[#This Row],[Customer Gender]]="O","Other", TRUE,"Unknown")</f>
        <v>Female</v>
      </c>
    </row>
    <row r="1408" spans="1:15" x14ac:dyDescent="0.2">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f t="array" ref="O1408">_xlfn.IFS(orders[[#This Row],[Customer Gender]]="M","Male", orders[[#This Row],[Customer Gender]]="F","Female", orders[[#This Row],[Customer Gender]]="O","Other", TRUE,"Unknown")</f>
        <v>Female</v>
      </c>
    </row>
    <row r="1409" spans="1:15" x14ac:dyDescent="0.2">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f t="array" ref="O1409">_xlfn.IFS(orders[[#This Row],[Customer Gender]]="M","Male", orders[[#This Row],[Customer Gender]]="F","Female", orders[[#This Row],[Customer Gender]]="O","Other", TRUE,"Unknown")</f>
        <v>Male</v>
      </c>
    </row>
    <row r="1410" spans="1:15" x14ac:dyDescent="0.2">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f t="array" ref="O1410">_xlfn.IFS(orders[[#This Row],[Customer Gender]]="M","Male", orders[[#This Row],[Customer Gender]]="F","Female", orders[[#This Row],[Customer Gender]]="O","Other", TRUE,"Unknown")</f>
        <v>Male</v>
      </c>
    </row>
    <row r="1411" spans="1:15" x14ac:dyDescent="0.2">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f t="array" ref="O1411">_xlfn.IFS(orders[[#This Row],[Customer Gender]]="M","Male", orders[[#This Row],[Customer Gender]]="F","Female", orders[[#This Row],[Customer Gender]]="O","Other", TRUE,"Unknown")</f>
        <v>Other</v>
      </c>
    </row>
    <row r="1412" spans="1:15" x14ac:dyDescent="0.2">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f t="array" ref="O1412">_xlfn.IFS(orders[[#This Row],[Customer Gender]]="M","Male", orders[[#This Row],[Customer Gender]]="F","Female", orders[[#This Row],[Customer Gender]]="O","Other", TRUE,"Unknown")</f>
        <v>Female</v>
      </c>
    </row>
    <row r="1413" spans="1:15" x14ac:dyDescent="0.2">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f t="array" ref="O1413">_xlfn.IFS(orders[[#This Row],[Customer Gender]]="M","Male", orders[[#This Row],[Customer Gender]]="F","Female", orders[[#This Row],[Customer Gender]]="O","Other", TRUE,"Unknown")</f>
        <v>Other</v>
      </c>
    </row>
    <row r="1414" spans="1:15" x14ac:dyDescent="0.2">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f t="array" ref="O1414">_xlfn.IFS(orders[[#This Row],[Customer Gender]]="M","Male", orders[[#This Row],[Customer Gender]]="F","Female", orders[[#This Row],[Customer Gender]]="O","Other", TRUE,"Unknown")</f>
        <v>Female</v>
      </c>
    </row>
    <row r="1415" spans="1:15" x14ac:dyDescent="0.2">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f t="array" ref="O1415">_xlfn.IFS(orders[[#This Row],[Customer Gender]]="M","Male", orders[[#This Row],[Customer Gender]]="F","Female", orders[[#This Row],[Customer Gender]]="O","Other", TRUE,"Unknown")</f>
        <v>Female</v>
      </c>
    </row>
    <row r="1416" spans="1:15" x14ac:dyDescent="0.2">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f t="array" ref="O1416">_xlfn.IFS(orders[[#This Row],[Customer Gender]]="M","Male", orders[[#This Row],[Customer Gender]]="F","Female", orders[[#This Row],[Customer Gender]]="O","Other", TRUE,"Unknown")</f>
        <v>Female</v>
      </c>
    </row>
    <row r="1417" spans="1:15" x14ac:dyDescent="0.2">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f t="array" ref="O1417">_xlfn.IFS(orders[[#This Row],[Customer Gender]]="M","Male", orders[[#This Row],[Customer Gender]]="F","Female", orders[[#This Row],[Customer Gender]]="O","Other", TRUE,"Unknown")</f>
        <v>Female</v>
      </c>
    </row>
    <row r="1418" spans="1:15" x14ac:dyDescent="0.2">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f t="array" ref="O1418">_xlfn.IFS(orders[[#This Row],[Customer Gender]]="M","Male", orders[[#This Row],[Customer Gender]]="F","Female", orders[[#This Row],[Customer Gender]]="O","Other", TRUE,"Unknown")</f>
        <v>Female</v>
      </c>
    </row>
    <row r="1419" spans="1:15" x14ac:dyDescent="0.2">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f t="array" ref="O1419">_xlfn.IFS(orders[[#This Row],[Customer Gender]]="M","Male", orders[[#This Row],[Customer Gender]]="F","Female", orders[[#This Row],[Customer Gender]]="O","Other", TRUE,"Unknown")</f>
        <v>Male</v>
      </c>
    </row>
    <row r="1420" spans="1:15" x14ac:dyDescent="0.2">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f t="array" ref="O1420">_xlfn.IFS(orders[[#This Row],[Customer Gender]]="M","Male", orders[[#This Row],[Customer Gender]]="F","Female", orders[[#This Row],[Customer Gender]]="O","Other", TRUE,"Unknown")</f>
        <v>Female</v>
      </c>
    </row>
    <row r="1421" spans="1:15" x14ac:dyDescent="0.2">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f t="array" ref="O1421">_xlfn.IFS(orders[[#This Row],[Customer Gender]]="M","Male", orders[[#This Row],[Customer Gender]]="F","Female", orders[[#This Row],[Customer Gender]]="O","Other", TRUE,"Unknown")</f>
        <v>Female</v>
      </c>
    </row>
    <row r="1422" spans="1:15" x14ac:dyDescent="0.2">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f t="array" ref="O1422">_xlfn.IFS(orders[[#This Row],[Customer Gender]]="M","Male", orders[[#This Row],[Customer Gender]]="F","Female", orders[[#This Row],[Customer Gender]]="O","Other", TRUE,"Unknown")</f>
        <v>Male</v>
      </c>
    </row>
    <row r="1423" spans="1:15" x14ac:dyDescent="0.2">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f t="array" ref="O1423">_xlfn.IFS(orders[[#This Row],[Customer Gender]]="M","Male", orders[[#This Row],[Customer Gender]]="F","Female", orders[[#This Row],[Customer Gender]]="O","Other", TRUE,"Unknown")</f>
        <v>Female</v>
      </c>
    </row>
    <row r="1424" spans="1:15" x14ac:dyDescent="0.2">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f t="array" ref="O1424">_xlfn.IFS(orders[[#This Row],[Customer Gender]]="M","Male", orders[[#This Row],[Customer Gender]]="F","Female", orders[[#This Row],[Customer Gender]]="O","Other", TRUE,"Unknown")</f>
        <v>Female</v>
      </c>
    </row>
    <row r="1425" spans="1:15" x14ac:dyDescent="0.2">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f t="array" ref="O1425">_xlfn.IFS(orders[[#This Row],[Customer Gender]]="M","Male", orders[[#This Row],[Customer Gender]]="F","Female", orders[[#This Row],[Customer Gender]]="O","Other", TRUE,"Unknown")</f>
        <v>Female</v>
      </c>
    </row>
    <row r="1426" spans="1:15" x14ac:dyDescent="0.2">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f t="array" ref="O1426">_xlfn.IFS(orders[[#This Row],[Customer Gender]]="M","Male", orders[[#This Row],[Customer Gender]]="F","Female", orders[[#This Row],[Customer Gender]]="O","Other", TRUE,"Unknown")</f>
        <v>Unknown</v>
      </c>
    </row>
    <row r="1427" spans="1:15" x14ac:dyDescent="0.2">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f t="array" ref="O1427">_xlfn.IFS(orders[[#This Row],[Customer Gender]]="M","Male", orders[[#This Row],[Customer Gender]]="F","Female", orders[[#This Row],[Customer Gender]]="O","Other", TRUE,"Unknown")</f>
        <v>Female</v>
      </c>
    </row>
    <row r="1428" spans="1:15" x14ac:dyDescent="0.2">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f t="array" ref="O1428">_xlfn.IFS(orders[[#This Row],[Customer Gender]]="M","Male", orders[[#This Row],[Customer Gender]]="F","Female", orders[[#This Row],[Customer Gender]]="O","Other", TRUE,"Unknown")</f>
        <v>Male</v>
      </c>
    </row>
    <row r="1429" spans="1:15" x14ac:dyDescent="0.2">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f t="array" ref="O1429">_xlfn.IFS(orders[[#This Row],[Customer Gender]]="M","Male", orders[[#This Row],[Customer Gender]]="F","Female", orders[[#This Row],[Customer Gender]]="O","Other", TRUE,"Unknown")</f>
        <v>Male</v>
      </c>
    </row>
    <row r="1430" spans="1:15" x14ac:dyDescent="0.2">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f t="array" ref="O1430">_xlfn.IFS(orders[[#This Row],[Customer Gender]]="M","Male", orders[[#This Row],[Customer Gender]]="F","Female", orders[[#This Row],[Customer Gender]]="O","Other", TRUE,"Unknown")</f>
        <v>Male</v>
      </c>
    </row>
    <row r="1431" spans="1:15" x14ac:dyDescent="0.2">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f t="array" ref="O1431">_xlfn.IFS(orders[[#This Row],[Customer Gender]]="M","Male", orders[[#This Row],[Customer Gender]]="F","Female", orders[[#This Row],[Customer Gender]]="O","Other", TRUE,"Unknown")</f>
        <v>Male</v>
      </c>
    </row>
    <row r="1432" spans="1:15" x14ac:dyDescent="0.2">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f t="array" ref="O1432">_xlfn.IFS(orders[[#This Row],[Customer Gender]]="M","Male", orders[[#This Row],[Customer Gender]]="F","Female", orders[[#This Row],[Customer Gender]]="O","Other", TRUE,"Unknown")</f>
        <v>Female</v>
      </c>
    </row>
    <row r="1433" spans="1:15" x14ac:dyDescent="0.2">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f t="array" ref="O1433">_xlfn.IFS(orders[[#This Row],[Customer Gender]]="M","Male", orders[[#This Row],[Customer Gender]]="F","Female", orders[[#This Row],[Customer Gender]]="O","Other", TRUE,"Unknown")</f>
        <v>Female</v>
      </c>
    </row>
    <row r="1434" spans="1:15" x14ac:dyDescent="0.2">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f t="array" ref="O1434">_xlfn.IFS(orders[[#This Row],[Customer Gender]]="M","Male", orders[[#This Row],[Customer Gender]]="F","Female", orders[[#This Row],[Customer Gender]]="O","Other", TRUE,"Unknown")</f>
        <v>Female</v>
      </c>
    </row>
    <row r="1435" spans="1:15" x14ac:dyDescent="0.2">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f t="array" ref="O1435">_xlfn.IFS(orders[[#This Row],[Customer Gender]]="M","Male", orders[[#This Row],[Customer Gender]]="F","Female", orders[[#This Row],[Customer Gender]]="O","Other", TRUE,"Unknown")</f>
        <v>Male</v>
      </c>
    </row>
    <row r="1436" spans="1:15" x14ac:dyDescent="0.2">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f t="array" ref="O1436">_xlfn.IFS(orders[[#This Row],[Customer Gender]]="M","Male", orders[[#This Row],[Customer Gender]]="F","Female", orders[[#This Row],[Customer Gender]]="O","Other", TRUE,"Unknown")</f>
        <v>Female</v>
      </c>
    </row>
    <row r="1437" spans="1:15" x14ac:dyDescent="0.2">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f t="array" ref="O1437">_xlfn.IFS(orders[[#This Row],[Customer Gender]]="M","Male", orders[[#This Row],[Customer Gender]]="F","Female", orders[[#This Row],[Customer Gender]]="O","Other", TRUE,"Unknown")</f>
        <v>Female</v>
      </c>
    </row>
    <row r="1438" spans="1:15" x14ac:dyDescent="0.2">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f t="array" ref="O1438">_xlfn.IFS(orders[[#This Row],[Customer Gender]]="M","Male", orders[[#This Row],[Customer Gender]]="F","Female", orders[[#This Row],[Customer Gender]]="O","Other", TRUE,"Unknown")</f>
        <v>Female</v>
      </c>
    </row>
    <row r="1439" spans="1:15" x14ac:dyDescent="0.2">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f t="array" ref="O1439">_xlfn.IFS(orders[[#This Row],[Customer Gender]]="M","Male", orders[[#This Row],[Customer Gender]]="F","Female", orders[[#This Row],[Customer Gender]]="O","Other", TRUE,"Unknown")</f>
        <v>Female</v>
      </c>
    </row>
    <row r="1440" spans="1:15" x14ac:dyDescent="0.2">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f t="array" ref="O1440">_xlfn.IFS(orders[[#This Row],[Customer Gender]]="M","Male", orders[[#This Row],[Customer Gender]]="F","Female", orders[[#This Row],[Customer Gender]]="O","Other", TRUE,"Unknown")</f>
        <v>Male</v>
      </c>
    </row>
    <row r="1441" spans="1:15" x14ac:dyDescent="0.2">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f t="array" ref="O1441">_xlfn.IFS(orders[[#This Row],[Customer Gender]]="M","Male", orders[[#This Row],[Customer Gender]]="F","Female", orders[[#This Row],[Customer Gender]]="O","Other", TRUE,"Unknown")</f>
        <v>Male</v>
      </c>
    </row>
    <row r="1442" spans="1:15" x14ac:dyDescent="0.2">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f t="array" ref="O1442">_xlfn.IFS(orders[[#This Row],[Customer Gender]]="M","Male", orders[[#This Row],[Customer Gender]]="F","Female", orders[[#This Row],[Customer Gender]]="O","Other", TRUE,"Unknown")</f>
        <v>Other</v>
      </c>
    </row>
    <row r="1443" spans="1:15" x14ac:dyDescent="0.2">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f t="array" ref="O1443">_xlfn.IFS(orders[[#This Row],[Customer Gender]]="M","Male", orders[[#This Row],[Customer Gender]]="F","Female", orders[[#This Row],[Customer Gender]]="O","Other", TRUE,"Unknown")</f>
        <v>Female</v>
      </c>
    </row>
    <row r="1444" spans="1:15" x14ac:dyDescent="0.2">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f t="array" ref="O1444">_xlfn.IFS(orders[[#This Row],[Customer Gender]]="M","Male", orders[[#This Row],[Customer Gender]]="F","Female", orders[[#This Row],[Customer Gender]]="O","Other", TRUE,"Unknown")</f>
        <v>Female</v>
      </c>
    </row>
    <row r="1445" spans="1:15" x14ac:dyDescent="0.2">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f t="array" ref="O1445">_xlfn.IFS(orders[[#This Row],[Customer Gender]]="M","Male", orders[[#This Row],[Customer Gender]]="F","Female", orders[[#This Row],[Customer Gender]]="O","Other", TRUE,"Unknown")</f>
        <v>Female</v>
      </c>
    </row>
    <row r="1446" spans="1:15" x14ac:dyDescent="0.2">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f t="array" ref="O1446">_xlfn.IFS(orders[[#This Row],[Customer Gender]]="M","Male", orders[[#This Row],[Customer Gender]]="F","Female", orders[[#This Row],[Customer Gender]]="O","Other", TRUE,"Unknown")</f>
        <v>Male</v>
      </c>
    </row>
    <row r="1447" spans="1:15" x14ac:dyDescent="0.2">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f t="array" ref="O1447">_xlfn.IFS(orders[[#This Row],[Customer Gender]]="M","Male", orders[[#This Row],[Customer Gender]]="F","Female", orders[[#This Row],[Customer Gender]]="O","Other", TRUE,"Unknown")</f>
        <v>Female</v>
      </c>
    </row>
    <row r="1448" spans="1:15" x14ac:dyDescent="0.2">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f t="array" ref="O1448">_xlfn.IFS(orders[[#This Row],[Customer Gender]]="M","Male", orders[[#This Row],[Customer Gender]]="F","Female", orders[[#This Row],[Customer Gender]]="O","Other", TRUE,"Unknown")</f>
        <v>Male</v>
      </c>
    </row>
    <row r="1449" spans="1:15" x14ac:dyDescent="0.2">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f t="array" ref="O1449">_xlfn.IFS(orders[[#This Row],[Customer Gender]]="M","Male", orders[[#This Row],[Customer Gender]]="F","Female", orders[[#This Row],[Customer Gender]]="O","Other", TRUE,"Unknown")</f>
        <v>Unknown</v>
      </c>
    </row>
    <row r="1450" spans="1:15" x14ac:dyDescent="0.2">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f t="array" ref="O1450">_xlfn.IFS(orders[[#This Row],[Customer Gender]]="M","Male", orders[[#This Row],[Customer Gender]]="F","Female", orders[[#This Row],[Customer Gender]]="O","Other", TRUE,"Unknown")</f>
        <v>Male</v>
      </c>
    </row>
    <row r="1451" spans="1:15" x14ac:dyDescent="0.2">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f t="array" ref="O1451">_xlfn.IFS(orders[[#This Row],[Customer Gender]]="M","Male", orders[[#This Row],[Customer Gender]]="F","Female", orders[[#This Row],[Customer Gender]]="O","Other", TRUE,"Unknown")</f>
        <v>Male</v>
      </c>
    </row>
    <row r="1452" spans="1:15" x14ac:dyDescent="0.2">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f t="array" ref="O1452">_xlfn.IFS(orders[[#This Row],[Customer Gender]]="M","Male", orders[[#This Row],[Customer Gender]]="F","Female", orders[[#This Row],[Customer Gender]]="O","Other", TRUE,"Unknown")</f>
        <v>Female</v>
      </c>
    </row>
    <row r="1453" spans="1:15" x14ac:dyDescent="0.2">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f t="array" ref="O1453">_xlfn.IFS(orders[[#This Row],[Customer Gender]]="M","Male", orders[[#This Row],[Customer Gender]]="F","Female", orders[[#This Row],[Customer Gender]]="O","Other", TRUE,"Unknown")</f>
        <v>Male</v>
      </c>
    </row>
    <row r="1454" spans="1:15" x14ac:dyDescent="0.2">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f t="array" ref="O1454">_xlfn.IFS(orders[[#This Row],[Customer Gender]]="M","Male", orders[[#This Row],[Customer Gender]]="F","Female", orders[[#This Row],[Customer Gender]]="O","Other", TRUE,"Unknown")</f>
        <v>Male</v>
      </c>
    </row>
    <row r="1455" spans="1:15" x14ac:dyDescent="0.2">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f t="array" ref="O1455">_xlfn.IFS(orders[[#This Row],[Customer Gender]]="M","Male", orders[[#This Row],[Customer Gender]]="F","Female", orders[[#This Row],[Customer Gender]]="O","Other", TRUE,"Unknown")</f>
        <v>Male</v>
      </c>
    </row>
    <row r="1456" spans="1:15" x14ac:dyDescent="0.2">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f t="array" ref="O1456">_xlfn.IFS(orders[[#This Row],[Customer Gender]]="M","Male", orders[[#This Row],[Customer Gender]]="F","Female", orders[[#This Row],[Customer Gender]]="O","Other", TRUE,"Unknown")</f>
        <v>Male</v>
      </c>
    </row>
    <row r="1457" spans="1:15" x14ac:dyDescent="0.2">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f t="array" ref="O1457">_xlfn.IFS(orders[[#This Row],[Customer Gender]]="M","Male", orders[[#This Row],[Customer Gender]]="F","Female", orders[[#This Row],[Customer Gender]]="O","Other", TRUE,"Unknown")</f>
        <v>Female</v>
      </c>
    </row>
    <row r="1458" spans="1:15" x14ac:dyDescent="0.2">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f t="array" ref="O1458">_xlfn.IFS(orders[[#This Row],[Customer Gender]]="M","Male", orders[[#This Row],[Customer Gender]]="F","Female", orders[[#This Row],[Customer Gender]]="O","Other", TRUE,"Unknown")</f>
        <v>Female</v>
      </c>
    </row>
    <row r="1459" spans="1:15" x14ac:dyDescent="0.2">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f t="array" ref="O1459">_xlfn.IFS(orders[[#This Row],[Customer Gender]]="M","Male", orders[[#This Row],[Customer Gender]]="F","Female", orders[[#This Row],[Customer Gender]]="O","Other", TRUE,"Unknown")</f>
        <v>Male</v>
      </c>
    </row>
    <row r="1460" spans="1:15" x14ac:dyDescent="0.2">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f t="array" ref="O1460">_xlfn.IFS(orders[[#This Row],[Customer Gender]]="M","Male", orders[[#This Row],[Customer Gender]]="F","Female", orders[[#This Row],[Customer Gender]]="O","Other", TRUE,"Unknown")</f>
        <v>Female</v>
      </c>
    </row>
    <row r="1461" spans="1:15" x14ac:dyDescent="0.2">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f t="array" ref="O1461">_xlfn.IFS(orders[[#This Row],[Customer Gender]]="M","Male", orders[[#This Row],[Customer Gender]]="F","Female", orders[[#This Row],[Customer Gender]]="O","Other", TRUE,"Unknown")</f>
        <v>Female</v>
      </c>
    </row>
    <row r="1462" spans="1:15" x14ac:dyDescent="0.2">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f t="array" ref="O1462">_xlfn.IFS(orders[[#This Row],[Customer Gender]]="M","Male", orders[[#This Row],[Customer Gender]]="F","Female", orders[[#This Row],[Customer Gender]]="O","Other", TRUE,"Unknown")</f>
        <v>Male</v>
      </c>
    </row>
    <row r="1463" spans="1:15" x14ac:dyDescent="0.2">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f t="array" ref="O1463">_xlfn.IFS(orders[[#This Row],[Customer Gender]]="M","Male", orders[[#This Row],[Customer Gender]]="F","Female", orders[[#This Row],[Customer Gender]]="O","Other", TRUE,"Unknown")</f>
        <v>Male</v>
      </c>
    </row>
    <row r="1464" spans="1:15" x14ac:dyDescent="0.2">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f t="array" ref="O1464">_xlfn.IFS(orders[[#This Row],[Customer Gender]]="M","Male", orders[[#This Row],[Customer Gender]]="F","Female", orders[[#This Row],[Customer Gender]]="O","Other", TRUE,"Unknown")</f>
        <v>Female</v>
      </c>
    </row>
    <row r="1465" spans="1:15" x14ac:dyDescent="0.2">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f t="array" ref="O1465">_xlfn.IFS(orders[[#This Row],[Customer Gender]]="M","Male", orders[[#This Row],[Customer Gender]]="F","Female", orders[[#This Row],[Customer Gender]]="O","Other", TRUE,"Unknown")</f>
        <v>Unknown</v>
      </c>
    </row>
    <row r="1466" spans="1:15" x14ac:dyDescent="0.2">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f t="array" ref="O1466">_xlfn.IFS(orders[[#This Row],[Customer Gender]]="M","Male", orders[[#This Row],[Customer Gender]]="F","Female", orders[[#This Row],[Customer Gender]]="O","Other", TRUE,"Unknown")</f>
        <v>Unknown</v>
      </c>
    </row>
    <row r="1467" spans="1:15" x14ac:dyDescent="0.2">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f t="array" ref="O1467">_xlfn.IFS(orders[[#This Row],[Customer Gender]]="M","Male", orders[[#This Row],[Customer Gender]]="F","Female", orders[[#This Row],[Customer Gender]]="O","Other", TRUE,"Unknown")</f>
        <v>Male</v>
      </c>
    </row>
    <row r="1468" spans="1:15" x14ac:dyDescent="0.2">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f t="array" ref="O1468">_xlfn.IFS(orders[[#This Row],[Customer Gender]]="M","Male", orders[[#This Row],[Customer Gender]]="F","Female", orders[[#This Row],[Customer Gender]]="O","Other", TRUE,"Unknown")</f>
        <v>Male</v>
      </c>
    </row>
    <row r="1469" spans="1:15" x14ac:dyDescent="0.2">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f t="array" ref="O1469">_xlfn.IFS(orders[[#This Row],[Customer Gender]]="M","Male", orders[[#This Row],[Customer Gender]]="F","Female", orders[[#This Row],[Customer Gender]]="O","Other", TRUE,"Unknown")</f>
        <v>Male</v>
      </c>
    </row>
    <row r="1470" spans="1:15" x14ac:dyDescent="0.2">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f t="array" ref="O1470">_xlfn.IFS(orders[[#This Row],[Customer Gender]]="M","Male", orders[[#This Row],[Customer Gender]]="F","Female", orders[[#This Row],[Customer Gender]]="O","Other", TRUE,"Unknown")</f>
        <v>Female</v>
      </c>
    </row>
    <row r="1471" spans="1:15" x14ac:dyDescent="0.2">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f t="array" ref="O1471">_xlfn.IFS(orders[[#This Row],[Customer Gender]]="M","Male", orders[[#This Row],[Customer Gender]]="F","Female", orders[[#This Row],[Customer Gender]]="O","Other", TRUE,"Unknown")</f>
        <v>Female</v>
      </c>
    </row>
    <row r="1472" spans="1:15" x14ac:dyDescent="0.2">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f t="array" ref="O1472">_xlfn.IFS(orders[[#This Row],[Customer Gender]]="M","Male", orders[[#This Row],[Customer Gender]]="F","Female", orders[[#This Row],[Customer Gender]]="O","Other", TRUE,"Unknown")</f>
        <v>Male</v>
      </c>
    </row>
    <row r="1473" spans="1:15" x14ac:dyDescent="0.2">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f t="array" ref="O1473">_xlfn.IFS(orders[[#This Row],[Customer Gender]]="M","Male", orders[[#This Row],[Customer Gender]]="F","Female", orders[[#This Row],[Customer Gender]]="O","Other", TRUE,"Unknown")</f>
        <v>Female</v>
      </c>
    </row>
    <row r="1474" spans="1:15" x14ac:dyDescent="0.2">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f t="array" ref="O1474">_xlfn.IFS(orders[[#This Row],[Customer Gender]]="M","Male", orders[[#This Row],[Customer Gender]]="F","Female", orders[[#This Row],[Customer Gender]]="O","Other", TRUE,"Unknown")</f>
        <v>Male</v>
      </c>
    </row>
    <row r="1475" spans="1:15" x14ac:dyDescent="0.2">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f t="array" ref="O1475">_xlfn.IFS(orders[[#This Row],[Customer Gender]]="M","Male", orders[[#This Row],[Customer Gender]]="F","Female", orders[[#This Row],[Customer Gender]]="O","Other", TRUE,"Unknown")</f>
        <v>Male</v>
      </c>
    </row>
    <row r="1476" spans="1:15" x14ac:dyDescent="0.2">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f t="array" ref="O1476">_xlfn.IFS(orders[[#This Row],[Customer Gender]]="M","Male", orders[[#This Row],[Customer Gender]]="F","Female", orders[[#This Row],[Customer Gender]]="O","Other", TRUE,"Unknown")</f>
        <v>Female</v>
      </c>
    </row>
    <row r="1477" spans="1:15" x14ac:dyDescent="0.2">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f t="array" ref="O1477">_xlfn.IFS(orders[[#This Row],[Customer Gender]]="M","Male", orders[[#This Row],[Customer Gender]]="F","Female", orders[[#This Row],[Customer Gender]]="O","Other", TRUE,"Unknown")</f>
        <v>Male</v>
      </c>
    </row>
    <row r="1478" spans="1:15" x14ac:dyDescent="0.2">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f t="array" ref="O1478">_xlfn.IFS(orders[[#This Row],[Customer Gender]]="M","Male", orders[[#This Row],[Customer Gender]]="F","Female", orders[[#This Row],[Customer Gender]]="O","Other", TRUE,"Unknown")</f>
        <v>Female</v>
      </c>
    </row>
    <row r="1479" spans="1:15" x14ac:dyDescent="0.2">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f t="array" ref="O1479">_xlfn.IFS(orders[[#This Row],[Customer Gender]]="M","Male", orders[[#This Row],[Customer Gender]]="F","Female", orders[[#This Row],[Customer Gender]]="O","Other", TRUE,"Unknown")</f>
        <v>Male</v>
      </c>
    </row>
    <row r="1480" spans="1:15" x14ac:dyDescent="0.2">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f t="array" ref="O1480">_xlfn.IFS(orders[[#This Row],[Customer Gender]]="M","Male", orders[[#This Row],[Customer Gender]]="F","Female", orders[[#This Row],[Customer Gender]]="O","Other", TRUE,"Unknown")</f>
        <v>Female</v>
      </c>
    </row>
    <row r="1481" spans="1:15" x14ac:dyDescent="0.2">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f t="array" ref="O1481">_xlfn.IFS(orders[[#This Row],[Customer Gender]]="M","Male", orders[[#This Row],[Customer Gender]]="F","Female", orders[[#This Row],[Customer Gender]]="O","Other", TRUE,"Unknown")</f>
        <v>Female</v>
      </c>
    </row>
    <row r="1482" spans="1:15" x14ac:dyDescent="0.2">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f t="array" ref="O1482">_xlfn.IFS(orders[[#This Row],[Customer Gender]]="M","Male", orders[[#This Row],[Customer Gender]]="F","Female", orders[[#This Row],[Customer Gender]]="O","Other", TRUE,"Unknown")</f>
        <v>Male</v>
      </c>
    </row>
    <row r="1483" spans="1:15" x14ac:dyDescent="0.2">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f t="array" ref="O1483">_xlfn.IFS(orders[[#This Row],[Customer Gender]]="M","Male", orders[[#This Row],[Customer Gender]]="F","Female", orders[[#This Row],[Customer Gender]]="O","Other", TRUE,"Unknown")</f>
        <v>Female</v>
      </c>
    </row>
    <row r="1484" spans="1:15" x14ac:dyDescent="0.2">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f t="array" ref="O1484">_xlfn.IFS(orders[[#This Row],[Customer Gender]]="M","Male", orders[[#This Row],[Customer Gender]]="F","Female", orders[[#This Row],[Customer Gender]]="O","Other", TRUE,"Unknown")</f>
        <v>Male</v>
      </c>
    </row>
    <row r="1485" spans="1:15" x14ac:dyDescent="0.2">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f t="array" ref="O1485">_xlfn.IFS(orders[[#This Row],[Customer Gender]]="M","Male", orders[[#This Row],[Customer Gender]]="F","Female", orders[[#This Row],[Customer Gender]]="O","Other", TRUE,"Unknown")</f>
        <v>Female</v>
      </c>
    </row>
    <row r="1486" spans="1:15" x14ac:dyDescent="0.2">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f t="array" ref="O1486">_xlfn.IFS(orders[[#This Row],[Customer Gender]]="M","Male", orders[[#This Row],[Customer Gender]]="F","Female", orders[[#This Row],[Customer Gender]]="O","Other", TRUE,"Unknown")</f>
        <v>Other</v>
      </c>
    </row>
    <row r="1487" spans="1:15" x14ac:dyDescent="0.2">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f t="array" ref="O1487">_xlfn.IFS(orders[[#This Row],[Customer Gender]]="M","Male", orders[[#This Row],[Customer Gender]]="F","Female", orders[[#This Row],[Customer Gender]]="O","Other", TRUE,"Unknown")</f>
        <v>Female</v>
      </c>
    </row>
    <row r="1488" spans="1:15" x14ac:dyDescent="0.2">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f t="array" ref="O1488">_xlfn.IFS(orders[[#This Row],[Customer Gender]]="M","Male", orders[[#This Row],[Customer Gender]]="F","Female", orders[[#This Row],[Customer Gender]]="O","Other", TRUE,"Unknown")</f>
        <v>Female</v>
      </c>
    </row>
    <row r="1489" spans="1:15" x14ac:dyDescent="0.2">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f t="array" ref="O1489">_xlfn.IFS(orders[[#This Row],[Customer Gender]]="M","Male", orders[[#This Row],[Customer Gender]]="F","Female", orders[[#This Row],[Customer Gender]]="O","Other", TRUE,"Unknown")</f>
        <v>Female</v>
      </c>
    </row>
    <row r="1490" spans="1:15" x14ac:dyDescent="0.2">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f t="array" ref="O1490">_xlfn.IFS(orders[[#This Row],[Customer Gender]]="M","Male", orders[[#This Row],[Customer Gender]]="F","Female", orders[[#This Row],[Customer Gender]]="O","Other", TRUE,"Unknown")</f>
        <v>Female</v>
      </c>
    </row>
    <row r="1491" spans="1:15" x14ac:dyDescent="0.2">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f t="array" ref="O1491">_xlfn.IFS(orders[[#This Row],[Customer Gender]]="M","Male", orders[[#This Row],[Customer Gender]]="F","Female", orders[[#This Row],[Customer Gender]]="O","Other", TRUE,"Unknown")</f>
        <v>Male</v>
      </c>
    </row>
    <row r="1492" spans="1:15" x14ac:dyDescent="0.2">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f t="array" ref="O1492">_xlfn.IFS(orders[[#This Row],[Customer Gender]]="M","Male", orders[[#This Row],[Customer Gender]]="F","Female", orders[[#This Row],[Customer Gender]]="O","Other", TRUE,"Unknown")</f>
        <v>Male</v>
      </c>
    </row>
    <row r="1493" spans="1:15" x14ac:dyDescent="0.2">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f t="array" ref="O1493">_xlfn.IFS(orders[[#This Row],[Customer Gender]]="M","Male", orders[[#This Row],[Customer Gender]]="F","Female", orders[[#This Row],[Customer Gender]]="O","Other", TRUE,"Unknown")</f>
        <v>Female</v>
      </c>
    </row>
    <row r="1494" spans="1:15" x14ac:dyDescent="0.2">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f t="array" ref="O1494">_xlfn.IFS(orders[[#This Row],[Customer Gender]]="M","Male", orders[[#This Row],[Customer Gender]]="F","Female", orders[[#This Row],[Customer Gender]]="O","Other", TRUE,"Unknown")</f>
        <v>Male</v>
      </c>
    </row>
    <row r="1495" spans="1:15" x14ac:dyDescent="0.2">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f t="array" ref="O1495">_xlfn.IFS(orders[[#This Row],[Customer Gender]]="M","Male", orders[[#This Row],[Customer Gender]]="F","Female", orders[[#This Row],[Customer Gender]]="O","Other", TRUE,"Unknown")</f>
        <v>Unknown</v>
      </c>
    </row>
    <row r="1496" spans="1:15" x14ac:dyDescent="0.2">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f t="array" ref="O1496">_xlfn.IFS(orders[[#This Row],[Customer Gender]]="M","Male", orders[[#This Row],[Customer Gender]]="F","Female", orders[[#This Row],[Customer Gender]]="O","Other", TRUE,"Unknown")</f>
        <v>Female</v>
      </c>
    </row>
    <row r="1497" spans="1:15" x14ac:dyDescent="0.2">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f t="array" ref="O1497">_xlfn.IFS(orders[[#This Row],[Customer Gender]]="M","Male", orders[[#This Row],[Customer Gender]]="F","Female", orders[[#This Row],[Customer Gender]]="O","Other", TRUE,"Unknown")</f>
        <v>Male</v>
      </c>
    </row>
    <row r="1498" spans="1:15" x14ac:dyDescent="0.2">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f t="array" ref="O1498">_xlfn.IFS(orders[[#This Row],[Customer Gender]]="M","Male", orders[[#This Row],[Customer Gender]]="F","Female", orders[[#This Row],[Customer Gender]]="O","Other", TRUE,"Unknown")</f>
        <v>Female</v>
      </c>
    </row>
    <row r="1499" spans="1:15" x14ac:dyDescent="0.2">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f t="array" ref="O1499">_xlfn.IFS(orders[[#This Row],[Customer Gender]]="M","Male", orders[[#This Row],[Customer Gender]]="F","Female", orders[[#This Row],[Customer Gender]]="O","Other", TRUE,"Unknown")</f>
        <v>Unknown</v>
      </c>
    </row>
    <row r="1500" spans="1:15" x14ac:dyDescent="0.2">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f t="array" ref="O1500">_xlfn.IFS(orders[[#This Row],[Customer Gender]]="M","Male", orders[[#This Row],[Customer Gender]]="F","Female", orders[[#This Row],[Customer Gender]]="O","Other", TRUE,"Unknown")</f>
        <v>Male</v>
      </c>
    </row>
    <row r="1501" spans="1:15" x14ac:dyDescent="0.2">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f t="array" ref="O1501">_xlfn.IFS(orders[[#This Row],[Customer Gender]]="M","Male", orders[[#This Row],[Customer Gender]]="F","Female", orders[[#This Row],[Customer Gender]]="O","Other", TRUE,"Unknown")</f>
        <v>Female</v>
      </c>
    </row>
    <row r="1502" spans="1:15" x14ac:dyDescent="0.2">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f t="array" ref="O1502">_xlfn.IFS(orders[[#This Row],[Customer Gender]]="M","Male", orders[[#This Row],[Customer Gender]]="F","Female", orders[[#This Row],[Customer Gender]]="O","Other", TRUE,"Unknown")</f>
        <v>Female</v>
      </c>
    </row>
    <row r="1503" spans="1:15" x14ac:dyDescent="0.2">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f t="array" ref="O1503">_xlfn.IFS(orders[[#This Row],[Customer Gender]]="M","Male", orders[[#This Row],[Customer Gender]]="F","Female", orders[[#This Row],[Customer Gender]]="O","Other", TRUE,"Unknown")</f>
        <v>Female</v>
      </c>
    </row>
    <row r="1504" spans="1:15" x14ac:dyDescent="0.2">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f t="array" ref="O1504">_xlfn.IFS(orders[[#This Row],[Customer Gender]]="M","Male", orders[[#This Row],[Customer Gender]]="F","Female", orders[[#This Row],[Customer Gender]]="O","Other", TRUE,"Unknown")</f>
        <v>Female</v>
      </c>
    </row>
    <row r="1505" spans="1:15" x14ac:dyDescent="0.2">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f t="array" ref="O1505">_xlfn.IFS(orders[[#This Row],[Customer Gender]]="M","Male", orders[[#This Row],[Customer Gender]]="F","Female", orders[[#This Row],[Customer Gender]]="O","Other", TRUE,"Unknown")</f>
        <v>Male</v>
      </c>
    </row>
    <row r="1506" spans="1:15" x14ac:dyDescent="0.2">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f t="array" ref="O1506">_xlfn.IFS(orders[[#This Row],[Customer Gender]]="M","Male", orders[[#This Row],[Customer Gender]]="F","Female", orders[[#This Row],[Customer Gender]]="O","Other", TRUE,"Unknown")</f>
        <v>Female</v>
      </c>
    </row>
    <row r="1507" spans="1:15" x14ac:dyDescent="0.2">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f t="array" ref="O1507">_xlfn.IFS(orders[[#This Row],[Customer Gender]]="M","Male", orders[[#This Row],[Customer Gender]]="F","Female", orders[[#This Row],[Customer Gender]]="O","Other", TRUE,"Unknown")</f>
        <v>Male</v>
      </c>
    </row>
    <row r="1508" spans="1:15" x14ac:dyDescent="0.2">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f t="array" ref="O1508">_xlfn.IFS(orders[[#This Row],[Customer Gender]]="M","Male", orders[[#This Row],[Customer Gender]]="F","Female", orders[[#This Row],[Customer Gender]]="O","Other", TRUE,"Unknown")</f>
        <v>Male</v>
      </c>
    </row>
    <row r="1509" spans="1:15" x14ac:dyDescent="0.2">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f t="array" ref="O1509">_xlfn.IFS(orders[[#This Row],[Customer Gender]]="M","Male", orders[[#This Row],[Customer Gender]]="F","Female", orders[[#This Row],[Customer Gender]]="O","Other", TRUE,"Unknown")</f>
        <v>Male</v>
      </c>
    </row>
    <row r="1510" spans="1:15" x14ac:dyDescent="0.2">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f t="array" ref="O1510">_xlfn.IFS(orders[[#This Row],[Customer Gender]]="M","Male", orders[[#This Row],[Customer Gender]]="F","Female", orders[[#This Row],[Customer Gender]]="O","Other", TRUE,"Unknown")</f>
        <v>Male</v>
      </c>
    </row>
    <row r="1511" spans="1:15" x14ac:dyDescent="0.2">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f t="array" ref="O1511">_xlfn.IFS(orders[[#This Row],[Customer Gender]]="M","Male", orders[[#This Row],[Customer Gender]]="F","Female", orders[[#This Row],[Customer Gender]]="O","Other", TRUE,"Unknown")</f>
        <v>Male</v>
      </c>
    </row>
    <row r="1512" spans="1:15" x14ac:dyDescent="0.2">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f t="array" ref="O1512">_xlfn.IFS(orders[[#This Row],[Customer Gender]]="M","Male", orders[[#This Row],[Customer Gender]]="F","Female", orders[[#This Row],[Customer Gender]]="O","Other", TRUE,"Unknown")</f>
        <v>Male</v>
      </c>
    </row>
    <row r="1513" spans="1:15" x14ac:dyDescent="0.2">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f t="array" ref="O1513">_xlfn.IFS(orders[[#This Row],[Customer Gender]]="M","Male", orders[[#This Row],[Customer Gender]]="F","Female", orders[[#This Row],[Customer Gender]]="O","Other", TRUE,"Unknown")</f>
        <v>Female</v>
      </c>
    </row>
    <row r="1514" spans="1:15" x14ac:dyDescent="0.2">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f t="array" ref="O1514">_xlfn.IFS(orders[[#This Row],[Customer Gender]]="M","Male", orders[[#This Row],[Customer Gender]]="F","Female", orders[[#This Row],[Customer Gender]]="O","Other", TRUE,"Unknown")</f>
        <v>Female</v>
      </c>
    </row>
    <row r="1515" spans="1:15" x14ac:dyDescent="0.2">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f t="array" ref="O1515">_xlfn.IFS(orders[[#This Row],[Customer Gender]]="M","Male", orders[[#This Row],[Customer Gender]]="F","Female", orders[[#This Row],[Customer Gender]]="O","Other", TRUE,"Unknown")</f>
        <v>Female</v>
      </c>
    </row>
    <row r="1516" spans="1:15" x14ac:dyDescent="0.2">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f t="array" ref="O1516">_xlfn.IFS(orders[[#This Row],[Customer Gender]]="M","Male", orders[[#This Row],[Customer Gender]]="F","Female", orders[[#This Row],[Customer Gender]]="O","Other", TRUE,"Unknown")</f>
        <v>Female</v>
      </c>
    </row>
    <row r="1517" spans="1:15" x14ac:dyDescent="0.2">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f t="array" ref="O1517">_xlfn.IFS(orders[[#This Row],[Customer Gender]]="M","Male", orders[[#This Row],[Customer Gender]]="F","Female", orders[[#This Row],[Customer Gender]]="O","Other", TRUE,"Unknown")</f>
        <v>Female</v>
      </c>
    </row>
    <row r="1518" spans="1:15" x14ac:dyDescent="0.2">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f t="array" ref="O1518">_xlfn.IFS(orders[[#This Row],[Customer Gender]]="M","Male", orders[[#This Row],[Customer Gender]]="F","Female", orders[[#This Row],[Customer Gender]]="O","Other", TRUE,"Unknown")</f>
        <v>Male</v>
      </c>
    </row>
    <row r="1519" spans="1:15" x14ac:dyDescent="0.2">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f t="array" ref="O1519">_xlfn.IFS(orders[[#This Row],[Customer Gender]]="M","Male", orders[[#This Row],[Customer Gender]]="F","Female", orders[[#This Row],[Customer Gender]]="O","Other", TRUE,"Unknown")</f>
        <v>Female</v>
      </c>
    </row>
    <row r="1520" spans="1:15" x14ac:dyDescent="0.2">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f t="array" ref="O1520">_xlfn.IFS(orders[[#This Row],[Customer Gender]]="M","Male", orders[[#This Row],[Customer Gender]]="F","Female", orders[[#This Row],[Customer Gender]]="O","Other", TRUE,"Unknown")</f>
        <v>Male</v>
      </c>
    </row>
    <row r="1521" spans="1:15" x14ac:dyDescent="0.2">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f t="array" ref="O1521">_xlfn.IFS(orders[[#This Row],[Customer Gender]]="M","Male", orders[[#This Row],[Customer Gender]]="F","Female", orders[[#This Row],[Customer Gender]]="O","Other", TRUE,"Unknown")</f>
        <v>Female</v>
      </c>
    </row>
    <row r="1522" spans="1:15" x14ac:dyDescent="0.2">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f t="array" ref="O1522">_xlfn.IFS(orders[[#This Row],[Customer Gender]]="M","Male", orders[[#This Row],[Customer Gender]]="F","Female", orders[[#This Row],[Customer Gender]]="O","Other", TRUE,"Unknown")</f>
        <v>Male</v>
      </c>
    </row>
    <row r="1523" spans="1:15" x14ac:dyDescent="0.2">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f t="array" ref="O1523">_xlfn.IFS(orders[[#This Row],[Customer Gender]]="M","Male", orders[[#This Row],[Customer Gender]]="F","Female", orders[[#This Row],[Customer Gender]]="O","Other", TRUE,"Unknown")</f>
        <v>Male</v>
      </c>
    </row>
    <row r="1524" spans="1:15" x14ac:dyDescent="0.2">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f t="array" ref="O1524">_xlfn.IFS(orders[[#This Row],[Customer Gender]]="M","Male", orders[[#This Row],[Customer Gender]]="F","Female", orders[[#This Row],[Customer Gender]]="O","Other", TRUE,"Unknown")</f>
        <v>Female</v>
      </c>
    </row>
    <row r="1525" spans="1:15" x14ac:dyDescent="0.2">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f t="array" ref="O1525">_xlfn.IFS(orders[[#This Row],[Customer Gender]]="M","Male", orders[[#This Row],[Customer Gender]]="F","Female", orders[[#This Row],[Customer Gender]]="O","Other", TRUE,"Unknown")</f>
        <v>Unknown</v>
      </c>
    </row>
    <row r="1526" spans="1:15" x14ac:dyDescent="0.2">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f t="array" ref="O1526">_xlfn.IFS(orders[[#This Row],[Customer Gender]]="M","Male", orders[[#This Row],[Customer Gender]]="F","Female", orders[[#This Row],[Customer Gender]]="O","Other", TRUE,"Unknown")</f>
        <v>Unknown</v>
      </c>
    </row>
    <row r="1527" spans="1:15" x14ac:dyDescent="0.2">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f t="array" ref="O1527">_xlfn.IFS(orders[[#This Row],[Customer Gender]]="M","Male", orders[[#This Row],[Customer Gender]]="F","Female", orders[[#This Row],[Customer Gender]]="O","Other", TRUE,"Unknown")</f>
        <v>Male</v>
      </c>
    </row>
    <row r="1528" spans="1:15" x14ac:dyDescent="0.2">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f t="array" ref="O1528">_xlfn.IFS(orders[[#This Row],[Customer Gender]]="M","Male", orders[[#This Row],[Customer Gender]]="F","Female", orders[[#This Row],[Customer Gender]]="O","Other", TRUE,"Unknown")</f>
        <v>Male</v>
      </c>
    </row>
    <row r="1529" spans="1:15" x14ac:dyDescent="0.2">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f t="array" ref="O1529">_xlfn.IFS(orders[[#This Row],[Customer Gender]]="M","Male", orders[[#This Row],[Customer Gender]]="F","Female", orders[[#This Row],[Customer Gender]]="O","Other", TRUE,"Unknown")</f>
        <v>Male</v>
      </c>
    </row>
    <row r="1530" spans="1:15" x14ac:dyDescent="0.2">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f t="array" ref="O1530">_xlfn.IFS(orders[[#This Row],[Customer Gender]]="M","Male", orders[[#This Row],[Customer Gender]]="F","Female", orders[[#This Row],[Customer Gender]]="O","Other", TRUE,"Unknown")</f>
        <v>Unknown</v>
      </c>
    </row>
    <row r="1531" spans="1:15" x14ac:dyDescent="0.2">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f t="array" ref="O1531">_xlfn.IFS(orders[[#This Row],[Customer Gender]]="M","Male", orders[[#This Row],[Customer Gender]]="F","Female", orders[[#This Row],[Customer Gender]]="O","Other", TRUE,"Unknown")</f>
        <v>Male</v>
      </c>
    </row>
    <row r="1532" spans="1:15" x14ac:dyDescent="0.2">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f t="array" ref="O1532">_xlfn.IFS(orders[[#This Row],[Customer Gender]]="M","Male", orders[[#This Row],[Customer Gender]]="F","Female", orders[[#This Row],[Customer Gender]]="O","Other", TRUE,"Unknown")</f>
        <v>Unknown</v>
      </c>
    </row>
    <row r="1533" spans="1:15" x14ac:dyDescent="0.2">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f t="array" ref="O1533">_xlfn.IFS(orders[[#This Row],[Customer Gender]]="M","Male", orders[[#This Row],[Customer Gender]]="F","Female", orders[[#This Row],[Customer Gender]]="O","Other", TRUE,"Unknown")</f>
        <v>Male</v>
      </c>
    </row>
    <row r="1534" spans="1:15" x14ac:dyDescent="0.2">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f t="array" ref="O1534">_xlfn.IFS(orders[[#This Row],[Customer Gender]]="M","Male", orders[[#This Row],[Customer Gender]]="F","Female", orders[[#This Row],[Customer Gender]]="O","Other", TRUE,"Unknown")</f>
        <v>Unknown</v>
      </c>
    </row>
    <row r="1535" spans="1:15" x14ac:dyDescent="0.2">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f t="array" ref="O1535">_xlfn.IFS(orders[[#This Row],[Customer Gender]]="M","Male", orders[[#This Row],[Customer Gender]]="F","Female", orders[[#This Row],[Customer Gender]]="O","Other", TRUE,"Unknown")</f>
        <v>Female</v>
      </c>
    </row>
    <row r="1536" spans="1:15" x14ac:dyDescent="0.2">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f t="array" ref="O1536">_xlfn.IFS(orders[[#This Row],[Customer Gender]]="M","Male", orders[[#This Row],[Customer Gender]]="F","Female", orders[[#This Row],[Customer Gender]]="O","Other", TRUE,"Unknown")</f>
        <v>Female</v>
      </c>
    </row>
    <row r="1537" spans="1:15" x14ac:dyDescent="0.2">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f t="array" ref="O1537">_xlfn.IFS(orders[[#This Row],[Customer Gender]]="M","Male", orders[[#This Row],[Customer Gender]]="F","Female", orders[[#This Row],[Customer Gender]]="O","Other", TRUE,"Unknown")</f>
        <v>Male</v>
      </c>
    </row>
    <row r="1538" spans="1:15" x14ac:dyDescent="0.2">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f t="array" ref="O1538">_xlfn.IFS(orders[[#This Row],[Customer Gender]]="M","Male", orders[[#This Row],[Customer Gender]]="F","Female", orders[[#This Row],[Customer Gender]]="O","Other", TRUE,"Unknown")</f>
        <v>Male</v>
      </c>
    </row>
    <row r="1539" spans="1:15" x14ac:dyDescent="0.2">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f t="array" ref="O1539">_xlfn.IFS(orders[[#This Row],[Customer Gender]]="M","Male", orders[[#This Row],[Customer Gender]]="F","Female", orders[[#This Row],[Customer Gender]]="O","Other", TRUE,"Unknown")</f>
        <v>Female</v>
      </c>
    </row>
    <row r="1540" spans="1:15" x14ac:dyDescent="0.2">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f t="array" ref="O1540">_xlfn.IFS(orders[[#This Row],[Customer Gender]]="M","Male", orders[[#This Row],[Customer Gender]]="F","Female", orders[[#This Row],[Customer Gender]]="O","Other", TRUE,"Unknown")</f>
        <v>Female</v>
      </c>
    </row>
    <row r="1541" spans="1:15" x14ac:dyDescent="0.2">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f t="array" ref="O1541">_xlfn.IFS(orders[[#This Row],[Customer Gender]]="M","Male", orders[[#This Row],[Customer Gender]]="F","Female", orders[[#This Row],[Customer Gender]]="O","Other", TRUE,"Unknown")</f>
        <v>Female</v>
      </c>
    </row>
    <row r="1542" spans="1:15" x14ac:dyDescent="0.2">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f t="array" ref="O1542">_xlfn.IFS(orders[[#This Row],[Customer Gender]]="M","Male", orders[[#This Row],[Customer Gender]]="F","Female", orders[[#This Row],[Customer Gender]]="O","Other", TRUE,"Unknown")</f>
        <v>Male</v>
      </c>
    </row>
    <row r="1543" spans="1:15" x14ac:dyDescent="0.2">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f t="array" ref="O1543">_xlfn.IFS(orders[[#This Row],[Customer Gender]]="M","Male", orders[[#This Row],[Customer Gender]]="F","Female", orders[[#This Row],[Customer Gender]]="O","Other", TRUE,"Unknown")</f>
        <v>Male</v>
      </c>
    </row>
    <row r="1544" spans="1:15" x14ac:dyDescent="0.2">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f t="array" ref="O1544">_xlfn.IFS(orders[[#This Row],[Customer Gender]]="M","Male", orders[[#This Row],[Customer Gender]]="F","Female", orders[[#This Row],[Customer Gender]]="O","Other", TRUE,"Unknown")</f>
        <v>Male</v>
      </c>
    </row>
    <row r="1545" spans="1:15" x14ac:dyDescent="0.2">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f t="array" ref="O1545">_xlfn.IFS(orders[[#This Row],[Customer Gender]]="M","Male", orders[[#This Row],[Customer Gender]]="F","Female", orders[[#This Row],[Customer Gender]]="O","Other", TRUE,"Unknown")</f>
        <v>Female</v>
      </c>
    </row>
    <row r="1546" spans="1:15" x14ac:dyDescent="0.2">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f t="array" ref="O1546">_xlfn.IFS(orders[[#This Row],[Customer Gender]]="M","Male", orders[[#This Row],[Customer Gender]]="F","Female", orders[[#This Row],[Customer Gender]]="O","Other", TRUE,"Unknown")</f>
        <v>Female</v>
      </c>
    </row>
    <row r="1547" spans="1:15" x14ac:dyDescent="0.2">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f t="array" ref="O1547">_xlfn.IFS(orders[[#This Row],[Customer Gender]]="M","Male", orders[[#This Row],[Customer Gender]]="F","Female", orders[[#This Row],[Customer Gender]]="O","Other", TRUE,"Unknown")</f>
        <v>Female</v>
      </c>
    </row>
    <row r="1548" spans="1:15" x14ac:dyDescent="0.2">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f t="array" ref="O1548">_xlfn.IFS(orders[[#This Row],[Customer Gender]]="M","Male", orders[[#This Row],[Customer Gender]]="F","Female", orders[[#This Row],[Customer Gender]]="O","Other", TRUE,"Unknown")</f>
        <v>Female</v>
      </c>
    </row>
    <row r="1549" spans="1:15" x14ac:dyDescent="0.2">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f t="array" ref="O1549">_xlfn.IFS(orders[[#This Row],[Customer Gender]]="M","Male", orders[[#This Row],[Customer Gender]]="F","Female", orders[[#This Row],[Customer Gender]]="O","Other", TRUE,"Unknown")</f>
        <v>Female</v>
      </c>
    </row>
    <row r="1550" spans="1:15" x14ac:dyDescent="0.2">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f t="array" ref="O1550">_xlfn.IFS(orders[[#This Row],[Customer Gender]]="M","Male", orders[[#This Row],[Customer Gender]]="F","Female", orders[[#This Row],[Customer Gender]]="O","Other", TRUE,"Unknown")</f>
        <v>Female</v>
      </c>
    </row>
    <row r="1551" spans="1:15" x14ac:dyDescent="0.2">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f t="array" ref="O1551">_xlfn.IFS(orders[[#This Row],[Customer Gender]]="M","Male", orders[[#This Row],[Customer Gender]]="F","Female", orders[[#This Row],[Customer Gender]]="O","Other", TRUE,"Unknown")</f>
        <v>Male</v>
      </c>
    </row>
    <row r="1552" spans="1:15" x14ac:dyDescent="0.2">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f t="array" ref="O1552">_xlfn.IFS(orders[[#This Row],[Customer Gender]]="M","Male", orders[[#This Row],[Customer Gender]]="F","Female", orders[[#This Row],[Customer Gender]]="O","Other", TRUE,"Unknown")</f>
        <v>Male</v>
      </c>
    </row>
    <row r="1553" spans="1:15" x14ac:dyDescent="0.2">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f t="array" ref="O1553">_xlfn.IFS(orders[[#This Row],[Customer Gender]]="M","Male", orders[[#This Row],[Customer Gender]]="F","Female", orders[[#This Row],[Customer Gender]]="O","Other", TRUE,"Unknown")</f>
        <v>Male</v>
      </c>
    </row>
    <row r="1554" spans="1:15" x14ac:dyDescent="0.2">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f t="array" ref="O1554">_xlfn.IFS(orders[[#This Row],[Customer Gender]]="M","Male", orders[[#This Row],[Customer Gender]]="F","Female", orders[[#This Row],[Customer Gender]]="O","Other", TRUE,"Unknown")</f>
        <v>Male</v>
      </c>
    </row>
    <row r="1555" spans="1:15" x14ac:dyDescent="0.2">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f t="array" ref="O1555">_xlfn.IFS(orders[[#This Row],[Customer Gender]]="M","Male", orders[[#This Row],[Customer Gender]]="F","Female", orders[[#This Row],[Customer Gender]]="O","Other", TRUE,"Unknown")</f>
        <v>Female</v>
      </c>
    </row>
    <row r="1556" spans="1:15" x14ac:dyDescent="0.2">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f t="array" ref="O1556">_xlfn.IFS(orders[[#This Row],[Customer Gender]]="M","Male", orders[[#This Row],[Customer Gender]]="F","Female", orders[[#This Row],[Customer Gender]]="O","Other", TRUE,"Unknown")</f>
        <v>Female</v>
      </c>
    </row>
    <row r="1557" spans="1:15" x14ac:dyDescent="0.2">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f t="array" ref="O1557">_xlfn.IFS(orders[[#This Row],[Customer Gender]]="M","Male", orders[[#This Row],[Customer Gender]]="F","Female", orders[[#This Row],[Customer Gender]]="O","Other", TRUE,"Unknown")</f>
        <v>Unknown</v>
      </c>
    </row>
    <row r="1558" spans="1:15" x14ac:dyDescent="0.2">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f t="array" ref="O1558">_xlfn.IFS(orders[[#This Row],[Customer Gender]]="M","Male", orders[[#This Row],[Customer Gender]]="F","Female", orders[[#This Row],[Customer Gender]]="O","Other", TRUE,"Unknown")</f>
        <v>Male</v>
      </c>
    </row>
    <row r="1559" spans="1:15" x14ac:dyDescent="0.2">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f t="array" ref="O1559">_xlfn.IFS(orders[[#This Row],[Customer Gender]]="M","Male", orders[[#This Row],[Customer Gender]]="F","Female", orders[[#This Row],[Customer Gender]]="O","Other", TRUE,"Unknown")</f>
        <v>Male</v>
      </c>
    </row>
    <row r="1560" spans="1:15" x14ac:dyDescent="0.2">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f t="array" ref="O1560">_xlfn.IFS(orders[[#This Row],[Customer Gender]]="M","Male", orders[[#This Row],[Customer Gender]]="F","Female", orders[[#This Row],[Customer Gender]]="O","Other", TRUE,"Unknown")</f>
        <v>Other</v>
      </c>
    </row>
    <row r="1561" spans="1:15" x14ac:dyDescent="0.2">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f t="array" ref="O1561">_xlfn.IFS(orders[[#This Row],[Customer Gender]]="M","Male", orders[[#This Row],[Customer Gender]]="F","Female", orders[[#This Row],[Customer Gender]]="O","Other", TRUE,"Unknown")</f>
        <v>Female</v>
      </c>
    </row>
    <row r="1562" spans="1:15" x14ac:dyDescent="0.2">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f t="array" ref="O1562">_xlfn.IFS(orders[[#This Row],[Customer Gender]]="M","Male", orders[[#This Row],[Customer Gender]]="F","Female", orders[[#This Row],[Customer Gender]]="O","Other", TRUE,"Unknown")</f>
        <v>Female</v>
      </c>
    </row>
    <row r="1563" spans="1:15" x14ac:dyDescent="0.2">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f t="array" ref="O1563">_xlfn.IFS(orders[[#This Row],[Customer Gender]]="M","Male", orders[[#This Row],[Customer Gender]]="F","Female", orders[[#This Row],[Customer Gender]]="O","Other", TRUE,"Unknown")</f>
        <v>Other</v>
      </c>
    </row>
    <row r="1564" spans="1:15" x14ac:dyDescent="0.2">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f t="array" ref="O1564">_xlfn.IFS(orders[[#This Row],[Customer Gender]]="M","Male", orders[[#This Row],[Customer Gender]]="F","Female", orders[[#This Row],[Customer Gender]]="O","Other", TRUE,"Unknown")</f>
        <v>Female</v>
      </c>
    </row>
    <row r="1565" spans="1:15" x14ac:dyDescent="0.2">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f t="array" ref="O1565">_xlfn.IFS(orders[[#This Row],[Customer Gender]]="M","Male", orders[[#This Row],[Customer Gender]]="F","Female", orders[[#This Row],[Customer Gender]]="O","Other", TRUE,"Unknown")</f>
        <v>Female</v>
      </c>
    </row>
    <row r="1566" spans="1:15" x14ac:dyDescent="0.2">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f t="array" ref="O1566">_xlfn.IFS(orders[[#This Row],[Customer Gender]]="M","Male", orders[[#This Row],[Customer Gender]]="F","Female", orders[[#This Row],[Customer Gender]]="O","Other", TRUE,"Unknown")</f>
        <v>Male</v>
      </c>
    </row>
    <row r="1567" spans="1:15" x14ac:dyDescent="0.2">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f t="array" ref="O1567">_xlfn.IFS(orders[[#This Row],[Customer Gender]]="M","Male", orders[[#This Row],[Customer Gender]]="F","Female", orders[[#This Row],[Customer Gender]]="O","Other", TRUE,"Unknown")</f>
        <v>Male</v>
      </c>
    </row>
    <row r="1568" spans="1:15" x14ac:dyDescent="0.2">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f t="array" ref="O1568">_xlfn.IFS(orders[[#This Row],[Customer Gender]]="M","Male", orders[[#This Row],[Customer Gender]]="F","Female", orders[[#This Row],[Customer Gender]]="O","Other", TRUE,"Unknown")</f>
        <v>Female</v>
      </c>
    </row>
    <row r="1569" spans="1:15" x14ac:dyDescent="0.2">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f t="array" ref="O1569">_xlfn.IFS(orders[[#This Row],[Customer Gender]]="M","Male", orders[[#This Row],[Customer Gender]]="F","Female", orders[[#This Row],[Customer Gender]]="O","Other", TRUE,"Unknown")</f>
        <v>Male</v>
      </c>
    </row>
    <row r="1570" spans="1:15" x14ac:dyDescent="0.2">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f t="array" ref="O1570">_xlfn.IFS(orders[[#This Row],[Customer Gender]]="M","Male", orders[[#This Row],[Customer Gender]]="F","Female", orders[[#This Row],[Customer Gender]]="O","Other", TRUE,"Unknown")</f>
        <v>Female</v>
      </c>
    </row>
    <row r="1571" spans="1:15" x14ac:dyDescent="0.2">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f t="array" ref="O1571">_xlfn.IFS(orders[[#This Row],[Customer Gender]]="M","Male", orders[[#This Row],[Customer Gender]]="F","Female", orders[[#This Row],[Customer Gender]]="O","Other", TRUE,"Unknown")</f>
        <v>Male</v>
      </c>
    </row>
    <row r="1572" spans="1:15" x14ac:dyDescent="0.2">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f t="array" ref="O1572">_xlfn.IFS(orders[[#This Row],[Customer Gender]]="M","Male", orders[[#This Row],[Customer Gender]]="F","Female", orders[[#This Row],[Customer Gender]]="O","Other", TRUE,"Unknown")</f>
        <v>Male</v>
      </c>
    </row>
    <row r="1573" spans="1:15" x14ac:dyDescent="0.2">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f t="array" ref="O1573">_xlfn.IFS(orders[[#This Row],[Customer Gender]]="M","Male", orders[[#This Row],[Customer Gender]]="F","Female", orders[[#This Row],[Customer Gender]]="O","Other", TRUE,"Unknown")</f>
        <v>Male</v>
      </c>
    </row>
    <row r="1574" spans="1:15" x14ac:dyDescent="0.2">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f t="array" ref="O1574">_xlfn.IFS(orders[[#This Row],[Customer Gender]]="M","Male", orders[[#This Row],[Customer Gender]]="F","Female", orders[[#This Row],[Customer Gender]]="O","Other", TRUE,"Unknown")</f>
        <v>Female</v>
      </c>
    </row>
    <row r="1575" spans="1:15" x14ac:dyDescent="0.2">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f t="array" ref="O1575">_xlfn.IFS(orders[[#This Row],[Customer Gender]]="M","Male", orders[[#This Row],[Customer Gender]]="F","Female", orders[[#This Row],[Customer Gender]]="O","Other", TRUE,"Unknown")</f>
        <v>Female</v>
      </c>
    </row>
    <row r="1576" spans="1:15" x14ac:dyDescent="0.2">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f t="array" ref="O1576">_xlfn.IFS(orders[[#This Row],[Customer Gender]]="M","Male", orders[[#This Row],[Customer Gender]]="F","Female", orders[[#This Row],[Customer Gender]]="O","Other", TRUE,"Unknown")</f>
        <v>Female</v>
      </c>
    </row>
    <row r="1577" spans="1:15" x14ac:dyDescent="0.2">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f t="array" ref="O1577">_xlfn.IFS(orders[[#This Row],[Customer Gender]]="M","Male", orders[[#This Row],[Customer Gender]]="F","Female", orders[[#This Row],[Customer Gender]]="O","Other", TRUE,"Unknown")</f>
        <v>Female</v>
      </c>
    </row>
    <row r="1578" spans="1:15" x14ac:dyDescent="0.2">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f t="array" ref="O1578">_xlfn.IFS(orders[[#This Row],[Customer Gender]]="M","Male", orders[[#This Row],[Customer Gender]]="F","Female", orders[[#This Row],[Customer Gender]]="O","Other", TRUE,"Unknown")</f>
        <v>Female</v>
      </c>
    </row>
    <row r="1579" spans="1:15" x14ac:dyDescent="0.2">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f t="array" ref="O1579">_xlfn.IFS(orders[[#This Row],[Customer Gender]]="M","Male", orders[[#This Row],[Customer Gender]]="F","Female", orders[[#This Row],[Customer Gender]]="O","Other", TRUE,"Unknown")</f>
        <v>Female</v>
      </c>
    </row>
    <row r="1580" spans="1:15" x14ac:dyDescent="0.2">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f t="array" ref="O1580">_xlfn.IFS(orders[[#This Row],[Customer Gender]]="M","Male", orders[[#This Row],[Customer Gender]]="F","Female", orders[[#This Row],[Customer Gender]]="O","Other", TRUE,"Unknown")</f>
        <v>Female</v>
      </c>
    </row>
    <row r="1581" spans="1:15" x14ac:dyDescent="0.2">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f t="array" ref="O1581">_xlfn.IFS(orders[[#This Row],[Customer Gender]]="M","Male", orders[[#This Row],[Customer Gender]]="F","Female", orders[[#This Row],[Customer Gender]]="O","Other", TRUE,"Unknown")</f>
        <v>Female</v>
      </c>
    </row>
    <row r="1582" spans="1:15" x14ac:dyDescent="0.2">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f t="array" ref="O1582">_xlfn.IFS(orders[[#This Row],[Customer Gender]]="M","Male", orders[[#This Row],[Customer Gender]]="F","Female", orders[[#This Row],[Customer Gender]]="O","Other", TRUE,"Unknown")</f>
        <v>Male</v>
      </c>
    </row>
    <row r="1583" spans="1:15" x14ac:dyDescent="0.2">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f t="array" ref="O1583">_xlfn.IFS(orders[[#This Row],[Customer Gender]]="M","Male", orders[[#This Row],[Customer Gender]]="F","Female", orders[[#This Row],[Customer Gender]]="O","Other", TRUE,"Unknown")</f>
        <v>Female</v>
      </c>
    </row>
    <row r="1584" spans="1:15" x14ac:dyDescent="0.2">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f t="array" ref="O1584">_xlfn.IFS(orders[[#This Row],[Customer Gender]]="M","Male", orders[[#This Row],[Customer Gender]]="F","Female", orders[[#This Row],[Customer Gender]]="O","Other", TRUE,"Unknown")</f>
        <v>Male</v>
      </c>
    </row>
    <row r="1585" spans="1:15" x14ac:dyDescent="0.2">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f t="array" ref="O1585">_xlfn.IFS(orders[[#This Row],[Customer Gender]]="M","Male", orders[[#This Row],[Customer Gender]]="F","Female", orders[[#This Row],[Customer Gender]]="O","Other", TRUE,"Unknown")</f>
        <v>Female</v>
      </c>
    </row>
    <row r="1586" spans="1:15" x14ac:dyDescent="0.2">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f t="array" ref="O1586">_xlfn.IFS(orders[[#This Row],[Customer Gender]]="M","Male", orders[[#This Row],[Customer Gender]]="F","Female", orders[[#This Row],[Customer Gender]]="O","Other", TRUE,"Unknown")</f>
        <v>Unknown</v>
      </c>
    </row>
    <row r="1587" spans="1:15" x14ac:dyDescent="0.2">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f t="array" ref="O1587">_xlfn.IFS(orders[[#This Row],[Customer Gender]]="M","Male", orders[[#This Row],[Customer Gender]]="F","Female", orders[[#This Row],[Customer Gender]]="O","Other", TRUE,"Unknown")</f>
        <v>Male</v>
      </c>
    </row>
    <row r="1588" spans="1:15" x14ac:dyDescent="0.2">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f t="array" ref="O1588">_xlfn.IFS(orders[[#This Row],[Customer Gender]]="M","Male", orders[[#This Row],[Customer Gender]]="F","Female", orders[[#This Row],[Customer Gender]]="O","Other", TRUE,"Unknown")</f>
        <v>Female</v>
      </c>
    </row>
    <row r="1589" spans="1:15" x14ac:dyDescent="0.2">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f t="array" ref="O1589">_xlfn.IFS(orders[[#This Row],[Customer Gender]]="M","Male", orders[[#This Row],[Customer Gender]]="F","Female", orders[[#This Row],[Customer Gender]]="O","Other", TRUE,"Unknown")</f>
        <v>Male</v>
      </c>
    </row>
    <row r="1590" spans="1:15" x14ac:dyDescent="0.2">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f t="array" ref="O1590">_xlfn.IFS(orders[[#This Row],[Customer Gender]]="M","Male", orders[[#This Row],[Customer Gender]]="F","Female", orders[[#This Row],[Customer Gender]]="O","Other", TRUE,"Unknown")</f>
        <v>Other</v>
      </c>
    </row>
    <row r="1591" spans="1:15" x14ac:dyDescent="0.2">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f t="array" ref="O1591">_xlfn.IFS(orders[[#This Row],[Customer Gender]]="M","Male", orders[[#This Row],[Customer Gender]]="F","Female", orders[[#This Row],[Customer Gender]]="O","Other", TRUE,"Unknown")</f>
        <v>Female</v>
      </c>
    </row>
    <row r="1592" spans="1:15" x14ac:dyDescent="0.2">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f t="array" ref="O1592">_xlfn.IFS(orders[[#This Row],[Customer Gender]]="M","Male", orders[[#This Row],[Customer Gender]]="F","Female", orders[[#This Row],[Customer Gender]]="O","Other", TRUE,"Unknown")</f>
        <v>Female</v>
      </c>
    </row>
    <row r="1593" spans="1:15" x14ac:dyDescent="0.2">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f t="array" ref="O1593">_xlfn.IFS(orders[[#This Row],[Customer Gender]]="M","Male", orders[[#This Row],[Customer Gender]]="F","Female", orders[[#This Row],[Customer Gender]]="O","Other", TRUE,"Unknown")</f>
        <v>Female</v>
      </c>
    </row>
    <row r="1594" spans="1:15" x14ac:dyDescent="0.2">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f t="array" ref="O1594">_xlfn.IFS(orders[[#This Row],[Customer Gender]]="M","Male", orders[[#This Row],[Customer Gender]]="F","Female", orders[[#This Row],[Customer Gender]]="O","Other", TRUE,"Unknown")</f>
        <v>Female</v>
      </c>
    </row>
    <row r="1595" spans="1:15" x14ac:dyDescent="0.2">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f t="array" ref="O1595">_xlfn.IFS(orders[[#This Row],[Customer Gender]]="M","Male", orders[[#This Row],[Customer Gender]]="F","Female", orders[[#This Row],[Customer Gender]]="O","Other", TRUE,"Unknown")</f>
        <v>Male</v>
      </c>
    </row>
    <row r="1596" spans="1:15" x14ac:dyDescent="0.2">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f t="array" ref="O1596">_xlfn.IFS(orders[[#This Row],[Customer Gender]]="M","Male", orders[[#This Row],[Customer Gender]]="F","Female", orders[[#This Row],[Customer Gender]]="O","Other", TRUE,"Unknown")</f>
        <v>Female</v>
      </c>
    </row>
    <row r="1597" spans="1:15" x14ac:dyDescent="0.2">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f t="array" ref="O1597">_xlfn.IFS(orders[[#This Row],[Customer Gender]]="M","Male", orders[[#This Row],[Customer Gender]]="F","Female", orders[[#This Row],[Customer Gender]]="O","Other", TRUE,"Unknown")</f>
        <v>Male</v>
      </c>
    </row>
    <row r="1598" spans="1:15" x14ac:dyDescent="0.2">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f t="array" ref="O1598">_xlfn.IFS(orders[[#This Row],[Customer Gender]]="M","Male", orders[[#This Row],[Customer Gender]]="F","Female", orders[[#This Row],[Customer Gender]]="O","Other", TRUE,"Unknown")</f>
        <v>Unknown</v>
      </c>
    </row>
    <row r="1599" spans="1:15" x14ac:dyDescent="0.2">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f t="array" ref="O1599">_xlfn.IFS(orders[[#This Row],[Customer Gender]]="M","Male", orders[[#This Row],[Customer Gender]]="F","Female", orders[[#This Row],[Customer Gender]]="O","Other", TRUE,"Unknown")</f>
        <v>Female</v>
      </c>
    </row>
    <row r="1600" spans="1:15" x14ac:dyDescent="0.2">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f t="array" ref="O1600">_xlfn.IFS(orders[[#This Row],[Customer Gender]]="M","Male", orders[[#This Row],[Customer Gender]]="F","Female", orders[[#This Row],[Customer Gender]]="O","Other", TRUE,"Unknown")</f>
        <v>Female</v>
      </c>
    </row>
    <row r="1601" spans="1:15" x14ac:dyDescent="0.2">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f t="array" ref="O1601">_xlfn.IFS(orders[[#This Row],[Customer Gender]]="M","Male", orders[[#This Row],[Customer Gender]]="F","Female", orders[[#This Row],[Customer Gender]]="O","Other", TRUE,"Unknown")</f>
        <v>Female</v>
      </c>
    </row>
    <row r="1602" spans="1:15" x14ac:dyDescent="0.2">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f t="array" ref="O1602">_xlfn.IFS(orders[[#This Row],[Customer Gender]]="M","Male", orders[[#This Row],[Customer Gender]]="F","Female", orders[[#This Row],[Customer Gender]]="O","Other", TRUE,"Unknown")</f>
        <v>Male</v>
      </c>
    </row>
    <row r="1603" spans="1:15" x14ac:dyDescent="0.2">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f t="array" ref="O1603">_xlfn.IFS(orders[[#This Row],[Customer Gender]]="M","Male", orders[[#This Row],[Customer Gender]]="F","Female", orders[[#This Row],[Customer Gender]]="O","Other", TRUE,"Unknown")</f>
        <v>Male</v>
      </c>
    </row>
    <row r="1604" spans="1:15" x14ac:dyDescent="0.2">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f t="array" ref="O1604">_xlfn.IFS(orders[[#This Row],[Customer Gender]]="M","Male", orders[[#This Row],[Customer Gender]]="F","Female", orders[[#This Row],[Customer Gender]]="O","Other", TRUE,"Unknown")</f>
        <v>Female</v>
      </c>
    </row>
    <row r="1605" spans="1:15" x14ac:dyDescent="0.2">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f t="array" ref="O1605">_xlfn.IFS(orders[[#This Row],[Customer Gender]]="M","Male", orders[[#This Row],[Customer Gender]]="F","Female", orders[[#This Row],[Customer Gender]]="O","Other", TRUE,"Unknown")</f>
        <v>Male</v>
      </c>
    </row>
    <row r="1606" spans="1:15" x14ac:dyDescent="0.2">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f t="array" ref="O1606">_xlfn.IFS(orders[[#This Row],[Customer Gender]]="M","Male", orders[[#This Row],[Customer Gender]]="F","Female", orders[[#This Row],[Customer Gender]]="O","Other", TRUE,"Unknown")</f>
        <v>Male</v>
      </c>
    </row>
    <row r="1607" spans="1:15" x14ac:dyDescent="0.2">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f t="array" ref="O1607">_xlfn.IFS(orders[[#This Row],[Customer Gender]]="M","Male", orders[[#This Row],[Customer Gender]]="F","Female", orders[[#This Row],[Customer Gender]]="O","Other", TRUE,"Unknown")</f>
        <v>Male</v>
      </c>
    </row>
    <row r="1608" spans="1:15" x14ac:dyDescent="0.2">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f t="array" ref="O1608">_xlfn.IFS(orders[[#This Row],[Customer Gender]]="M","Male", orders[[#This Row],[Customer Gender]]="F","Female", orders[[#This Row],[Customer Gender]]="O","Other", TRUE,"Unknown")</f>
        <v>Female</v>
      </c>
    </row>
    <row r="1609" spans="1:15" x14ac:dyDescent="0.2">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f t="array" ref="O1609">_xlfn.IFS(orders[[#This Row],[Customer Gender]]="M","Male", orders[[#This Row],[Customer Gender]]="F","Female", orders[[#This Row],[Customer Gender]]="O","Other", TRUE,"Unknown")</f>
        <v>Female</v>
      </c>
    </row>
    <row r="1610" spans="1:15" x14ac:dyDescent="0.2">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f t="array" ref="O1610">_xlfn.IFS(orders[[#This Row],[Customer Gender]]="M","Male", orders[[#This Row],[Customer Gender]]="F","Female", orders[[#This Row],[Customer Gender]]="O","Other", TRUE,"Unknown")</f>
        <v>Male</v>
      </c>
    </row>
    <row r="1611" spans="1:15" x14ac:dyDescent="0.2">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f t="array" ref="O1611">_xlfn.IFS(orders[[#This Row],[Customer Gender]]="M","Male", orders[[#This Row],[Customer Gender]]="F","Female", orders[[#This Row],[Customer Gender]]="O","Other", TRUE,"Unknown")</f>
        <v>Male</v>
      </c>
    </row>
    <row r="1612" spans="1:15" x14ac:dyDescent="0.2">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f t="array" ref="O1612">_xlfn.IFS(orders[[#This Row],[Customer Gender]]="M","Male", orders[[#This Row],[Customer Gender]]="F","Female", orders[[#This Row],[Customer Gender]]="O","Other", TRUE,"Unknown")</f>
        <v>Male</v>
      </c>
    </row>
    <row r="1613" spans="1:15" x14ac:dyDescent="0.2">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f t="array" ref="O1613">_xlfn.IFS(orders[[#This Row],[Customer Gender]]="M","Male", orders[[#This Row],[Customer Gender]]="F","Female", orders[[#This Row],[Customer Gender]]="O","Other", TRUE,"Unknown")</f>
        <v>Male</v>
      </c>
    </row>
    <row r="1614" spans="1:15" x14ac:dyDescent="0.2">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f t="array" ref="O1614">_xlfn.IFS(orders[[#This Row],[Customer Gender]]="M","Male", orders[[#This Row],[Customer Gender]]="F","Female", orders[[#This Row],[Customer Gender]]="O","Other", TRUE,"Unknown")</f>
        <v>Female</v>
      </c>
    </row>
    <row r="1615" spans="1:15" x14ac:dyDescent="0.2">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f t="array" ref="O1615">_xlfn.IFS(orders[[#This Row],[Customer Gender]]="M","Male", orders[[#This Row],[Customer Gender]]="F","Female", orders[[#This Row],[Customer Gender]]="O","Other", TRUE,"Unknown")</f>
        <v>Female</v>
      </c>
    </row>
    <row r="1616" spans="1:15" x14ac:dyDescent="0.2">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f t="array" ref="O1616">_xlfn.IFS(orders[[#This Row],[Customer Gender]]="M","Male", orders[[#This Row],[Customer Gender]]="F","Female", orders[[#This Row],[Customer Gender]]="O","Other", TRUE,"Unknown")</f>
        <v>Female</v>
      </c>
    </row>
    <row r="1617" spans="1:15" x14ac:dyDescent="0.2">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f t="array" ref="O1617">_xlfn.IFS(orders[[#This Row],[Customer Gender]]="M","Male", orders[[#This Row],[Customer Gender]]="F","Female", orders[[#This Row],[Customer Gender]]="O","Other", TRUE,"Unknown")</f>
        <v>Female</v>
      </c>
    </row>
    <row r="1618" spans="1:15" x14ac:dyDescent="0.2">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f t="array" ref="O1618">_xlfn.IFS(orders[[#This Row],[Customer Gender]]="M","Male", orders[[#This Row],[Customer Gender]]="F","Female", orders[[#This Row],[Customer Gender]]="O","Other", TRUE,"Unknown")</f>
        <v>Female</v>
      </c>
    </row>
    <row r="1619" spans="1:15" x14ac:dyDescent="0.2">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f t="array" ref="O1619">_xlfn.IFS(orders[[#This Row],[Customer Gender]]="M","Male", orders[[#This Row],[Customer Gender]]="F","Female", orders[[#This Row],[Customer Gender]]="O","Other", TRUE,"Unknown")</f>
        <v>Other</v>
      </c>
    </row>
    <row r="1620" spans="1:15" x14ac:dyDescent="0.2">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f t="array" ref="O1620">_xlfn.IFS(orders[[#This Row],[Customer Gender]]="M","Male", orders[[#This Row],[Customer Gender]]="F","Female", orders[[#This Row],[Customer Gender]]="O","Other", TRUE,"Unknown")</f>
        <v>Male</v>
      </c>
    </row>
    <row r="1621" spans="1:15" x14ac:dyDescent="0.2">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f t="array" ref="O1621">_xlfn.IFS(orders[[#This Row],[Customer Gender]]="M","Male", orders[[#This Row],[Customer Gender]]="F","Female", orders[[#This Row],[Customer Gender]]="O","Other", TRUE,"Unknown")</f>
        <v>Female</v>
      </c>
    </row>
    <row r="1622" spans="1:15" x14ac:dyDescent="0.2">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f t="array" ref="O1622">_xlfn.IFS(orders[[#This Row],[Customer Gender]]="M","Male", orders[[#This Row],[Customer Gender]]="F","Female", orders[[#This Row],[Customer Gender]]="O","Other", TRUE,"Unknown")</f>
        <v>Male</v>
      </c>
    </row>
    <row r="1623" spans="1:15" x14ac:dyDescent="0.2">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f t="array" ref="O1623">_xlfn.IFS(orders[[#This Row],[Customer Gender]]="M","Male", orders[[#This Row],[Customer Gender]]="F","Female", orders[[#This Row],[Customer Gender]]="O","Other", TRUE,"Unknown")</f>
        <v>Male</v>
      </c>
    </row>
    <row r="1624" spans="1:15" x14ac:dyDescent="0.2">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f t="array" ref="O1624">_xlfn.IFS(orders[[#This Row],[Customer Gender]]="M","Male", orders[[#This Row],[Customer Gender]]="F","Female", orders[[#This Row],[Customer Gender]]="O","Other", TRUE,"Unknown")</f>
        <v>Female</v>
      </c>
    </row>
    <row r="1625" spans="1:15" x14ac:dyDescent="0.2">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f t="array" ref="O1625">_xlfn.IFS(orders[[#This Row],[Customer Gender]]="M","Male", orders[[#This Row],[Customer Gender]]="F","Female", orders[[#This Row],[Customer Gender]]="O","Other", TRUE,"Unknown")</f>
        <v>Other</v>
      </c>
    </row>
    <row r="1626" spans="1:15" x14ac:dyDescent="0.2">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f t="array" ref="O1626">_xlfn.IFS(orders[[#This Row],[Customer Gender]]="M","Male", orders[[#This Row],[Customer Gender]]="F","Female", orders[[#This Row],[Customer Gender]]="O","Other", TRUE,"Unknown")</f>
        <v>Other</v>
      </c>
    </row>
    <row r="1627" spans="1:15" x14ac:dyDescent="0.2">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f t="array" ref="O1627">_xlfn.IFS(orders[[#This Row],[Customer Gender]]="M","Male", orders[[#This Row],[Customer Gender]]="F","Female", orders[[#This Row],[Customer Gender]]="O","Other", TRUE,"Unknown")</f>
        <v>Female</v>
      </c>
    </row>
    <row r="1628" spans="1:15" x14ac:dyDescent="0.2">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f t="array" ref="O1628">_xlfn.IFS(orders[[#This Row],[Customer Gender]]="M","Male", orders[[#This Row],[Customer Gender]]="F","Female", orders[[#This Row],[Customer Gender]]="O","Other", TRUE,"Unknown")</f>
        <v>Female</v>
      </c>
    </row>
    <row r="1629" spans="1:15" x14ac:dyDescent="0.2">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f t="array" ref="O1629">_xlfn.IFS(orders[[#This Row],[Customer Gender]]="M","Male", orders[[#This Row],[Customer Gender]]="F","Female", orders[[#This Row],[Customer Gender]]="O","Other", TRUE,"Unknown")</f>
        <v>Male</v>
      </c>
    </row>
    <row r="1630" spans="1:15" x14ac:dyDescent="0.2">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f t="array" ref="O1630">_xlfn.IFS(orders[[#This Row],[Customer Gender]]="M","Male", orders[[#This Row],[Customer Gender]]="F","Female", orders[[#This Row],[Customer Gender]]="O","Other", TRUE,"Unknown")</f>
        <v>Male</v>
      </c>
    </row>
    <row r="1631" spans="1:15" x14ac:dyDescent="0.2">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f t="array" ref="O1631">_xlfn.IFS(orders[[#This Row],[Customer Gender]]="M","Male", orders[[#This Row],[Customer Gender]]="F","Female", orders[[#This Row],[Customer Gender]]="O","Other", TRUE,"Unknown")</f>
        <v>Female</v>
      </c>
    </row>
    <row r="1632" spans="1:15" x14ac:dyDescent="0.2">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f t="array" ref="O1632">_xlfn.IFS(orders[[#This Row],[Customer Gender]]="M","Male", orders[[#This Row],[Customer Gender]]="F","Female", orders[[#This Row],[Customer Gender]]="O","Other", TRUE,"Unknown")</f>
        <v>Female</v>
      </c>
    </row>
    <row r="1633" spans="1:15" x14ac:dyDescent="0.2">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f t="array" ref="O1633">_xlfn.IFS(orders[[#This Row],[Customer Gender]]="M","Male", orders[[#This Row],[Customer Gender]]="F","Female", orders[[#This Row],[Customer Gender]]="O","Other", TRUE,"Unknown")</f>
        <v>Female</v>
      </c>
    </row>
    <row r="1634" spans="1:15" x14ac:dyDescent="0.2">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f t="array" ref="O1634">_xlfn.IFS(orders[[#This Row],[Customer Gender]]="M","Male", orders[[#This Row],[Customer Gender]]="F","Female", orders[[#This Row],[Customer Gender]]="O","Other", TRUE,"Unknown")</f>
        <v>Female</v>
      </c>
    </row>
    <row r="1635" spans="1:15" x14ac:dyDescent="0.2">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f t="array" ref="O1635">_xlfn.IFS(orders[[#This Row],[Customer Gender]]="M","Male", orders[[#This Row],[Customer Gender]]="F","Female", orders[[#This Row],[Customer Gender]]="O","Other", TRUE,"Unknown")</f>
        <v>Unknown</v>
      </c>
    </row>
    <row r="1636" spans="1:15" x14ac:dyDescent="0.2">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f t="array" ref="O1636">_xlfn.IFS(orders[[#This Row],[Customer Gender]]="M","Male", orders[[#This Row],[Customer Gender]]="F","Female", orders[[#This Row],[Customer Gender]]="O","Other", TRUE,"Unknown")</f>
        <v>Male</v>
      </c>
    </row>
    <row r="1637" spans="1:15" x14ac:dyDescent="0.2">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f t="array" ref="O1637">_xlfn.IFS(orders[[#This Row],[Customer Gender]]="M","Male", orders[[#This Row],[Customer Gender]]="F","Female", orders[[#This Row],[Customer Gender]]="O","Other", TRUE,"Unknown")</f>
        <v>Male</v>
      </c>
    </row>
    <row r="1638" spans="1:15" x14ac:dyDescent="0.2">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f t="array" ref="O1638">_xlfn.IFS(orders[[#This Row],[Customer Gender]]="M","Male", orders[[#This Row],[Customer Gender]]="F","Female", orders[[#This Row],[Customer Gender]]="O","Other", TRUE,"Unknown")</f>
        <v>Male</v>
      </c>
    </row>
    <row r="1639" spans="1:15" x14ac:dyDescent="0.2">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f t="array" ref="O1639">_xlfn.IFS(orders[[#This Row],[Customer Gender]]="M","Male", orders[[#This Row],[Customer Gender]]="F","Female", orders[[#This Row],[Customer Gender]]="O","Other", TRUE,"Unknown")</f>
        <v>Other</v>
      </c>
    </row>
    <row r="1640" spans="1:15" x14ac:dyDescent="0.2">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f t="array" ref="O1640">_xlfn.IFS(orders[[#This Row],[Customer Gender]]="M","Male", orders[[#This Row],[Customer Gender]]="F","Female", orders[[#This Row],[Customer Gender]]="O","Other", TRUE,"Unknown")</f>
        <v>Male</v>
      </c>
    </row>
    <row r="1641" spans="1:15" x14ac:dyDescent="0.2">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f t="array" ref="O1641">_xlfn.IFS(orders[[#This Row],[Customer Gender]]="M","Male", orders[[#This Row],[Customer Gender]]="F","Female", orders[[#This Row],[Customer Gender]]="O","Other", TRUE,"Unknown")</f>
        <v>Male</v>
      </c>
    </row>
    <row r="1642" spans="1:15" x14ac:dyDescent="0.2">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f t="array" ref="O1642">_xlfn.IFS(orders[[#This Row],[Customer Gender]]="M","Male", orders[[#This Row],[Customer Gender]]="F","Female", orders[[#This Row],[Customer Gender]]="O","Other", TRUE,"Unknown")</f>
        <v>Male</v>
      </c>
    </row>
    <row r="1643" spans="1:15" x14ac:dyDescent="0.2">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f t="array" ref="O1643">_xlfn.IFS(orders[[#This Row],[Customer Gender]]="M","Male", orders[[#This Row],[Customer Gender]]="F","Female", orders[[#This Row],[Customer Gender]]="O","Other", TRUE,"Unknown")</f>
        <v>Female</v>
      </c>
    </row>
    <row r="1644" spans="1:15" x14ac:dyDescent="0.2">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f t="array" ref="O1644">_xlfn.IFS(orders[[#This Row],[Customer Gender]]="M","Male", orders[[#This Row],[Customer Gender]]="F","Female", orders[[#This Row],[Customer Gender]]="O","Other", TRUE,"Unknown")</f>
        <v>Male</v>
      </c>
    </row>
    <row r="1645" spans="1:15" x14ac:dyDescent="0.2">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f t="array" ref="O1645">_xlfn.IFS(orders[[#This Row],[Customer Gender]]="M","Male", orders[[#This Row],[Customer Gender]]="F","Female", orders[[#This Row],[Customer Gender]]="O","Other", TRUE,"Unknown")</f>
        <v>Male</v>
      </c>
    </row>
    <row r="1646" spans="1:15" x14ac:dyDescent="0.2">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f t="array" ref="O1646">_xlfn.IFS(orders[[#This Row],[Customer Gender]]="M","Male", orders[[#This Row],[Customer Gender]]="F","Female", orders[[#This Row],[Customer Gender]]="O","Other", TRUE,"Unknown")</f>
        <v>Male</v>
      </c>
    </row>
    <row r="1647" spans="1:15" x14ac:dyDescent="0.2">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f t="array" ref="O1647">_xlfn.IFS(orders[[#This Row],[Customer Gender]]="M","Male", orders[[#This Row],[Customer Gender]]="F","Female", orders[[#This Row],[Customer Gender]]="O","Other", TRUE,"Unknown")</f>
        <v>Male</v>
      </c>
    </row>
    <row r="1648" spans="1:15" x14ac:dyDescent="0.2">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f t="array" ref="O1648">_xlfn.IFS(orders[[#This Row],[Customer Gender]]="M","Male", orders[[#This Row],[Customer Gender]]="F","Female", orders[[#This Row],[Customer Gender]]="O","Other", TRUE,"Unknown")</f>
        <v>Male</v>
      </c>
    </row>
    <row r="1649" spans="1:15" x14ac:dyDescent="0.2">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f t="array" ref="O1649">_xlfn.IFS(orders[[#This Row],[Customer Gender]]="M","Male", orders[[#This Row],[Customer Gender]]="F","Female", orders[[#This Row],[Customer Gender]]="O","Other", TRUE,"Unknown")</f>
        <v>Male</v>
      </c>
    </row>
    <row r="1650" spans="1:15" x14ac:dyDescent="0.2">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f t="array" ref="O1650">_xlfn.IFS(orders[[#This Row],[Customer Gender]]="M","Male", orders[[#This Row],[Customer Gender]]="F","Female", orders[[#This Row],[Customer Gender]]="O","Other", TRUE,"Unknown")</f>
        <v>Female</v>
      </c>
    </row>
    <row r="1651" spans="1:15" x14ac:dyDescent="0.2">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f t="array" ref="O1651">_xlfn.IFS(orders[[#This Row],[Customer Gender]]="M","Male", orders[[#This Row],[Customer Gender]]="F","Female", orders[[#This Row],[Customer Gender]]="O","Other", TRUE,"Unknown")</f>
        <v>Female</v>
      </c>
    </row>
    <row r="1652" spans="1:15" x14ac:dyDescent="0.2">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f t="array" ref="O1652">_xlfn.IFS(orders[[#This Row],[Customer Gender]]="M","Male", orders[[#This Row],[Customer Gender]]="F","Female", orders[[#This Row],[Customer Gender]]="O","Other", TRUE,"Unknown")</f>
        <v>Female</v>
      </c>
    </row>
    <row r="1653" spans="1:15" x14ac:dyDescent="0.2">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f t="array" ref="O1653">_xlfn.IFS(orders[[#This Row],[Customer Gender]]="M","Male", orders[[#This Row],[Customer Gender]]="F","Female", orders[[#This Row],[Customer Gender]]="O","Other", TRUE,"Unknown")</f>
        <v>Female</v>
      </c>
    </row>
    <row r="1654" spans="1:15" x14ac:dyDescent="0.2">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f t="array" ref="O1654">_xlfn.IFS(orders[[#This Row],[Customer Gender]]="M","Male", orders[[#This Row],[Customer Gender]]="F","Female", orders[[#This Row],[Customer Gender]]="O","Other", TRUE,"Unknown")</f>
        <v>Male</v>
      </c>
    </row>
    <row r="1655" spans="1:15" x14ac:dyDescent="0.2">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f t="array" ref="O1655">_xlfn.IFS(orders[[#This Row],[Customer Gender]]="M","Male", orders[[#This Row],[Customer Gender]]="F","Female", orders[[#This Row],[Customer Gender]]="O","Other", TRUE,"Unknown")</f>
        <v>Female</v>
      </c>
    </row>
    <row r="1656" spans="1:15" x14ac:dyDescent="0.2">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f t="array" ref="O1656">_xlfn.IFS(orders[[#This Row],[Customer Gender]]="M","Male", orders[[#This Row],[Customer Gender]]="F","Female", orders[[#This Row],[Customer Gender]]="O","Other", TRUE,"Unknown")</f>
        <v>Male</v>
      </c>
    </row>
    <row r="1657" spans="1:15" x14ac:dyDescent="0.2">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f t="array" ref="O1657">_xlfn.IFS(orders[[#This Row],[Customer Gender]]="M","Male", orders[[#This Row],[Customer Gender]]="F","Female", orders[[#This Row],[Customer Gender]]="O","Other", TRUE,"Unknown")</f>
        <v>Female</v>
      </c>
    </row>
    <row r="1658" spans="1:15" x14ac:dyDescent="0.2">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f t="array" ref="O1658">_xlfn.IFS(orders[[#This Row],[Customer Gender]]="M","Male", orders[[#This Row],[Customer Gender]]="F","Female", orders[[#This Row],[Customer Gender]]="O","Other", TRUE,"Unknown")</f>
        <v>Male</v>
      </c>
    </row>
    <row r="1659" spans="1:15" x14ac:dyDescent="0.2">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f t="array" ref="O1659">_xlfn.IFS(orders[[#This Row],[Customer Gender]]="M","Male", orders[[#This Row],[Customer Gender]]="F","Female", orders[[#This Row],[Customer Gender]]="O","Other", TRUE,"Unknown")</f>
        <v>Female</v>
      </c>
    </row>
    <row r="1660" spans="1:15" x14ac:dyDescent="0.2">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f t="array" ref="O1660">_xlfn.IFS(orders[[#This Row],[Customer Gender]]="M","Male", orders[[#This Row],[Customer Gender]]="F","Female", orders[[#This Row],[Customer Gender]]="O","Other", TRUE,"Unknown")</f>
        <v>Male</v>
      </c>
    </row>
    <row r="1661" spans="1:15" x14ac:dyDescent="0.2">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f t="array" ref="O1661">_xlfn.IFS(orders[[#This Row],[Customer Gender]]="M","Male", orders[[#This Row],[Customer Gender]]="F","Female", orders[[#This Row],[Customer Gender]]="O","Other", TRUE,"Unknown")</f>
        <v>Female</v>
      </c>
    </row>
    <row r="1662" spans="1:15" x14ac:dyDescent="0.2">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f t="array" ref="O1662">_xlfn.IFS(orders[[#This Row],[Customer Gender]]="M","Male", orders[[#This Row],[Customer Gender]]="F","Female", orders[[#This Row],[Customer Gender]]="O","Other", TRUE,"Unknown")</f>
        <v>Female</v>
      </c>
    </row>
    <row r="1663" spans="1:15" x14ac:dyDescent="0.2">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f t="array" ref="O1663">_xlfn.IFS(orders[[#This Row],[Customer Gender]]="M","Male", orders[[#This Row],[Customer Gender]]="F","Female", orders[[#This Row],[Customer Gender]]="O","Other", TRUE,"Unknown")</f>
        <v>Male</v>
      </c>
    </row>
    <row r="1664" spans="1:15" x14ac:dyDescent="0.2">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f t="array" ref="O1664">_xlfn.IFS(orders[[#This Row],[Customer Gender]]="M","Male", orders[[#This Row],[Customer Gender]]="F","Female", orders[[#This Row],[Customer Gender]]="O","Other", TRUE,"Unknown")</f>
        <v>Male</v>
      </c>
    </row>
    <row r="1665" spans="1:15" x14ac:dyDescent="0.2">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f t="array" ref="O1665">_xlfn.IFS(orders[[#This Row],[Customer Gender]]="M","Male", orders[[#This Row],[Customer Gender]]="F","Female", orders[[#This Row],[Customer Gender]]="O","Other", TRUE,"Unknown")</f>
        <v>Female</v>
      </c>
    </row>
    <row r="1666" spans="1:15" x14ac:dyDescent="0.2">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f t="array" ref="O1666">_xlfn.IFS(orders[[#This Row],[Customer Gender]]="M","Male", orders[[#This Row],[Customer Gender]]="F","Female", orders[[#This Row],[Customer Gender]]="O","Other", TRUE,"Unknown")</f>
        <v>Female</v>
      </c>
    </row>
    <row r="1667" spans="1:15" x14ac:dyDescent="0.2">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f t="array" ref="O1667">_xlfn.IFS(orders[[#This Row],[Customer Gender]]="M","Male", orders[[#This Row],[Customer Gender]]="F","Female", orders[[#This Row],[Customer Gender]]="O","Other", TRUE,"Unknown")</f>
        <v>Female</v>
      </c>
    </row>
    <row r="1668" spans="1:15" x14ac:dyDescent="0.2">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f t="array" ref="O1668">_xlfn.IFS(orders[[#This Row],[Customer Gender]]="M","Male", orders[[#This Row],[Customer Gender]]="F","Female", orders[[#This Row],[Customer Gender]]="O","Other", TRUE,"Unknown")</f>
        <v>Female</v>
      </c>
    </row>
    <row r="1669" spans="1:15" x14ac:dyDescent="0.2">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f t="array" ref="O1669">_xlfn.IFS(orders[[#This Row],[Customer Gender]]="M","Male", orders[[#This Row],[Customer Gender]]="F","Female", orders[[#This Row],[Customer Gender]]="O","Other", TRUE,"Unknown")</f>
        <v>Female</v>
      </c>
    </row>
    <row r="1670" spans="1:15" x14ac:dyDescent="0.2">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f t="array" ref="O1670">_xlfn.IFS(orders[[#This Row],[Customer Gender]]="M","Male", orders[[#This Row],[Customer Gender]]="F","Female", orders[[#This Row],[Customer Gender]]="O","Other", TRUE,"Unknown")</f>
        <v>Male</v>
      </c>
    </row>
    <row r="1671" spans="1:15" x14ac:dyDescent="0.2">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f t="array" ref="O1671">_xlfn.IFS(orders[[#This Row],[Customer Gender]]="M","Male", orders[[#This Row],[Customer Gender]]="F","Female", orders[[#This Row],[Customer Gender]]="O","Other", TRUE,"Unknown")</f>
        <v>Male</v>
      </c>
    </row>
    <row r="1672" spans="1:15" x14ac:dyDescent="0.2">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f t="array" ref="O1672">_xlfn.IFS(orders[[#This Row],[Customer Gender]]="M","Male", orders[[#This Row],[Customer Gender]]="F","Female", orders[[#This Row],[Customer Gender]]="O","Other", TRUE,"Unknown")</f>
        <v>Female</v>
      </c>
    </row>
    <row r="1673" spans="1:15" x14ac:dyDescent="0.2">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f t="array" ref="O1673">_xlfn.IFS(orders[[#This Row],[Customer Gender]]="M","Male", orders[[#This Row],[Customer Gender]]="F","Female", orders[[#This Row],[Customer Gender]]="O","Other", TRUE,"Unknown")</f>
        <v>Male</v>
      </c>
    </row>
    <row r="1674" spans="1:15" x14ac:dyDescent="0.2">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f t="array" ref="O1674">_xlfn.IFS(orders[[#This Row],[Customer Gender]]="M","Male", orders[[#This Row],[Customer Gender]]="F","Female", orders[[#This Row],[Customer Gender]]="O","Other", TRUE,"Unknown")</f>
        <v>Female</v>
      </c>
    </row>
    <row r="1675" spans="1:15" x14ac:dyDescent="0.2">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f t="array" ref="O1675">_xlfn.IFS(orders[[#This Row],[Customer Gender]]="M","Male", orders[[#This Row],[Customer Gender]]="F","Female", orders[[#This Row],[Customer Gender]]="O","Other", TRUE,"Unknown")</f>
        <v>Female</v>
      </c>
    </row>
    <row r="1676" spans="1:15" x14ac:dyDescent="0.2">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f t="array" ref="O1676">_xlfn.IFS(orders[[#This Row],[Customer Gender]]="M","Male", orders[[#This Row],[Customer Gender]]="F","Female", orders[[#This Row],[Customer Gender]]="O","Other", TRUE,"Unknown")</f>
        <v>Female</v>
      </c>
    </row>
    <row r="1677" spans="1:15" x14ac:dyDescent="0.2">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f t="array" ref="O1677">_xlfn.IFS(orders[[#This Row],[Customer Gender]]="M","Male", orders[[#This Row],[Customer Gender]]="F","Female", orders[[#This Row],[Customer Gender]]="O","Other", TRUE,"Unknown")</f>
        <v>Female</v>
      </c>
    </row>
    <row r="1678" spans="1:15" x14ac:dyDescent="0.2">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f t="array" ref="O1678">_xlfn.IFS(orders[[#This Row],[Customer Gender]]="M","Male", orders[[#This Row],[Customer Gender]]="F","Female", orders[[#This Row],[Customer Gender]]="O","Other", TRUE,"Unknown")</f>
        <v>Female</v>
      </c>
    </row>
    <row r="1679" spans="1:15" x14ac:dyDescent="0.2">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f t="array" ref="O1679">_xlfn.IFS(orders[[#This Row],[Customer Gender]]="M","Male", orders[[#This Row],[Customer Gender]]="F","Female", orders[[#This Row],[Customer Gender]]="O","Other", TRUE,"Unknown")</f>
        <v>Other</v>
      </c>
    </row>
    <row r="1680" spans="1:15" x14ac:dyDescent="0.2">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f t="array" ref="O1680">_xlfn.IFS(orders[[#This Row],[Customer Gender]]="M","Male", orders[[#This Row],[Customer Gender]]="F","Female", orders[[#This Row],[Customer Gender]]="O","Other", TRUE,"Unknown")</f>
        <v>Female</v>
      </c>
    </row>
    <row r="1681" spans="1:15" x14ac:dyDescent="0.2">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f t="array" ref="O1681">_xlfn.IFS(orders[[#This Row],[Customer Gender]]="M","Male", orders[[#This Row],[Customer Gender]]="F","Female", orders[[#This Row],[Customer Gender]]="O","Other", TRUE,"Unknown")</f>
        <v>Female</v>
      </c>
    </row>
    <row r="1682" spans="1:15" x14ac:dyDescent="0.2">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f t="array" ref="O1682">_xlfn.IFS(orders[[#This Row],[Customer Gender]]="M","Male", orders[[#This Row],[Customer Gender]]="F","Female", orders[[#This Row],[Customer Gender]]="O","Other", TRUE,"Unknown")</f>
        <v>Male</v>
      </c>
    </row>
    <row r="1683" spans="1:15" x14ac:dyDescent="0.2">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f t="array" ref="O1683">_xlfn.IFS(orders[[#This Row],[Customer Gender]]="M","Male", orders[[#This Row],[Customer Gender]]="F","Female", orders[[#This Row],[Customer Gender]]="O","Other", TRUE,"Unknown")</f>
        <v>Female</v>
      </c>
    </row>
    <row r="1684" spans="1:15" x14ac:dyDescent="0.2">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f t="array" ref="O1684">_xlfn.IFS(orders[[#This Row],[Customer Gender]]="M","Male", orders[[#This Row],[Customer Gender]]="F","Female", orders[[#This Row],[Customer Gender]]="O","Other", TRUE,"Unknown")</f>
        <v>Male</v>
      </c>
    </row>
    <row r="1685" spans="1:15" x14ac:dyDescent="0.2">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f t="array" ref="O1685">_xlfn.IFS(orders[[#This Row],[Customer Gender]]="M","Male", orders[[#This Row],[Customer Gender]]="F","Female", orders[[#This Row],[Customer Gender]]="O","Other", TRUE,"Unknown")</f>
        <v>Female</v>
      </c>
    </row>
    <row r="1686" spans="1:15" x14ac:dyDescent="0.2">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f t="array" ref="O1686">_xlfn.IFS(orders[[#This Row],[Customer Gender]]="M","Male", orders[[#This Row],[Customer Gender]]="F","Female", orders[[#This Row],[Customer Gender]]="O","Other", TRUE,"Unknown")</f>
        <v>Female</v>
      </c>
    </row>
    <row r="1687" spans="1:15" x14ac:dyDescent="0.2">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f t="array" ref="O1687">_xlfn.IFS(orders[[#This Row],[Customer Gender]]="M","Male", orders[[#This Row],[Customer Gender]]="F","Female", orders[[#This Row],[Customer Gender]]="O","Other", TRUE,"Unknown")</f>
        <v>Unknown</v>
      </c>
    </row>
    <row r="1688" spans="1:15" x14ac:dyDescent="0.2">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f t="array" ref="O1688">_xlfn.IFS(orders[[#This Row],[Customer Gender]]="M","Male", orders[[#This Row],[Customer Gender]]="F","Female", orders[[#This Row],[Customer Gender]]="O","Other", TRUE,"Unknown")</f>
        <v>Female</v>
      </c>
    </row>
    <row r="1689" spans="1:15" x14ac:dyDescent="0.2">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f t="array" ref="O1689">_xlfn.IFS(orders[[#This Row],[Customer Gender]]="M","Male", orders[[#This Row],[Customer Gender]]="F","Female", orders[[#This Row],[Customer Gender]]="O","Other", TRUE,"Unknown")</f>
        <v>Female</v>
      </c>
    </row>
    <row r="1690" spans="1:15" x14ac:dyDescent="0.2">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f t="array" ref="O1690">_xlfn.IFS(orders[[#This Row],[Customer Gender]]="M","Male", orders[[#This Row],[Customer Gender]]="F","Female", orders[[#This Row],[Customer Gender]]="O","Other", TRUE,"Unknown")</f>
        <v>Female</v>
      </c>
    </row>
    <row r="1691" spans="1:15" x14ac:dyDescent="0.2">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f t="array" ref="O1691">_xlfn.IFS(orders[[#This Row],[Customer Gender]]="M","Male", orders[[#This Row],[Customer Gender]]="F","Female", orders[[#This Row],[Customer Gender]]="O","Other", TRUE,"Unknown")</f>
        <v>Female</v>
      </c>
    </row>
    <row r="1692" spans="1:15" x14ac:dyDescent="0.2">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f t="array" ref="O1692">_xlfn.IFS(orders[[#This Row],[Customer Gender]]="M","Male", orders[[#This Row],[Customer Gender]]="F","Female", orders[[#This Row],[Customer Gender]]="O","Other", TRUE,"Unknown")</f>
        <v>Female</v>
      </c>
    </row>
    <row r="1693" spans="1:15" x14ac:dyDescent="0.2">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f t="array" ref="O1693">_xlfn.IFS(orders[[#This Row],[Customer Gender]]="M","Male", orders[[#This Row],[Customer Gender]]="F","Female", orders[[#This Row],[Customer Gender]]="O","Other", TRUE,"Unknown")</f>
        <v>Female</v>
      </c>
    </row>
    <row r="1694" spans="1:15" x14ac:dyDescent="0.2">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f t="array" ref="O1694">_xlfn.IFS(orders[[#This Row],[Customer Gender]]="M","Male", orders[[#This Row],[Customer Gender]]="F","Female", orders[[#This Row],[Customer Gender]]="O","Other", TRUE,"Unknown")</f>
        <v>Male</v>
      </c>
    </row>
    <row r="1695" spans="1:15" x14ac:dyDescent="0.2">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f t="array" ref="O1695">_xlfn.IFS(orders[[#This Row],[Customer Gender]]="M","Male", orders[[#This Row],[Customer Gender]]="F","Female", orders[[#This Row],[Customer Gender]]="O","Other", TRUE,"Unknown")</f>
        <v>Female</v>
      </c>
    </row>
    <row r="1696" spans="1:15" x14ac:dyDescent="0.2">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f t="array" ref="O1696">_xlfn.IFS(orders[[#This Row],[Customer Gender]]="M","Male", orders[[#This Row],[Customer Gender]]="F","Female", orders[[#This Row],[Customer Gender]]="O","Other", TRUE,"Unknown")</f>
        <v>Female</v>
      </c>
    </row>
    <row r="1697" spans="1:15" x14ac:dyDescent="0.2">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f t="array" ref="O1697">_xlfn.IFS(orders[[#This Row],[Customer Gender]]="M","Male", orders[[#This Row],[Customer Gender]]="F","Female", orders[[#This Row],[Customer Gender]]="O","Other", TRUE,"Unknown")</f>
        <v>Male</v>
      </c>
    </row>
    <row r="1698" spans="1:15" x14ac:dyDescent="0.2">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f t="array" ref="O1698">_xlfn.IFS(orders[[#This Row],[Customer Gender]]="M","Male", orders[[#This Row],[Customer Gender]]="F","Female", orders[[#This Row],[Customer Gender]]="O","Other", TRUE,"Unknown")</f>
        <v>Female</v>
      </c>
    </row>
    <row r="1699" spans="1:15" x14ac:dyDescent="0.2">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f t="array" ref="O1699">_xlfn.IFS(orders[[#This Row],[Customer Gender]]="M","Male", orders[[#This Row],[Customer Gender]]="F","Female", orders[[#This Row],[Customer Gender]]="O","Other", TRUE,"Unknown")</f>
        <v>Male</v>
      </c>
    </row>
    <row r="1700" spans="1:15" x14ac:dyDescent="0.2">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f t="array" ref="O1700">_xlfn.IFS(orders[[#This Row],[Customer Gender]]="M","Male", orders[[#This Row],[Customer Gender]]="F","Female", orders[[#This Row],[Customer Gender]]="O","Other", TRUE,"Unknown")</f>
        <v>Female</v>
      </c>
    </row>
    <row r="1701" spans="1:15" x14ac:dyDescent="0.2">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f t="array" ref="O1701">_xlfn.IFS(orders[[#This Row],[Customer Gender]]="M","Male", orders[[#This Row],[Customer Gender]]="F","Female", orders[[#This Row],[Customer Gender]]="O","Other", TRUE,"Unknown")</f>
        <v>Female</v>
      </c>
    </row>
    <row r="1702" spans="1:15" x14ac:dyDescent="0.2">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f t="array" ref="O1702">_xlfn.IFS(orders[[#This Row],[Customer Gender]]="M","Male", orders[[#This Row],[Customer Gender]]="F","Female", orders[[#This Row],[Customer Gender]]="O","Other", TRUE,"Unknown")</f>
        <v>Female</v>
      </c>
    </row>
    <row r="1703" spans="1:15" x14ac:dyDescent="0.2">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f t="array" ref="O1703">_xlfn.IFS(orders[[#This Row],[Customer Gender]]="M","Male", orders[[#This Row],[Customer Gender]]="F","Female", orders[[#This Row],[Customer Gender]]="O","Other", TRUE,"Unknown")</f>
        <v>Male</v>
      </c>
    </row>
    <row r="1704" spans="1:15" x14ac:dyDescent="0.2">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f t="array" ref="O1704">_xlfn.IFS(orders[[#This Row],[Customer Gender]]="M","Male", orders[[#This Row],[Customer Gender]]="F","Female", orders[[#This Row],[Customer Gender]]="O","Other", TRUE,"Unknown")</f>
        <v>Male</v>
      </c>
    </row>
    <row r="1705" spans="1:15" x14ac:dyDescent="0.2">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f t="array" ref="O1705">_xlfn.IFS(orders[[#This Row],[Customer Gender]]="M","Male", orders[[#This Row],[Customer Gender]]="F","Female", orders[[#This Row],[Customer Gender]]="O","Other", TRUE,"Unknown")</f>
        <v>Female</v>
      </c>
    </row>
    <row r="1706" spans="1:15" x14ac:dyDescent="0.2">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f t="array" ref="O1706">_xlfn.IFS(orders[[#This Row],[Customer Gender]]="M","Male", orders[[#This Row],[Customer Gender]]="F","Female", orders[[#This Row],[Customer Gender]]="O","Other", TRUE,"Unknown")</f>
        <v>Female</v>
      </c>
    </row>
    <row r="1707" spans="1:15" x14ac:dyDescent="0.2">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f t="array" ref="O1707">_xlfn.IFS(orders[[#This Row],[Customer Gender]]="M","Male", orders[[#This Row],[Customer Gender]]="F","Female", orders[[#This Row],[Customer Gender]]="O","Other", TRUE,"Unknown")</f>
        <v>Female</v>
      </c>
    </row>
    <row r="1708" spans="1:15" x14ac:dyDescent="0.2">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f t="array" ref="O1708">_xlfn.IFS(orders[[#This Row],[Customer Gender]]="M","Male", orders[[#This Row],[Customer Gender]]="F","Female", orders[[#This Row],[Customer Gender]]="O","Other", TRUE,"Unknown")</f>
        <v>Male</v>
      </c>
    </row>
    <row r="1709" spans="1:15" x14ac:dyDescent="0.2">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f t="array" ref="O1709">_xlfn.IFS(orders[[#This Row],[Customer Gender]]="M","Male", orders[[#This Row],[Customer Gender]]="F","Female", orders[[#This Row],[Customer Gender]]="O","Other", TRUE,"Unknown")</f>
        <v>Female</v>
      </c>
    </row>
    <row r="1710" spans="1:15" x14ac:dyDescent="0.2">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f t="array" ref="O1710">_xlfn.IFS(orders[[#This Row],[Customer Gender]]="M","Male", orders[[#This Row],[Customer Gender]]="F","Female", orders[[#This Row],[Customer Gender]]="O","Other", TRUE,"Unknown")</f>
        <v>Female</v>
      </c>
    </row>
    <row r="1711" spans="1:15" x14ac:dyDescent="0.2">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f t="array" ref="O1711">_xlfn.IFS(orders[[#This Row],[Customer Gender]]="M","Male", orders[[#This Row],[Customer Gender]]="F","Female", orders[[#This Row],[Customer Gender]]="O","Other", TRUE,"Unknown")</f>
        <v>Female</v>
      </c>
    </row>
    <row r="1712" spans="1:15" x14ac:dyDescent="0.2">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f t="array" ref="O1712">_xlfn.IFS(orders[[#This Row],[Customer Gender]]="M","Male", orders[[#This Row],[Customer Gender]]="F","Female", orders[[#This Row],[Customer Gender]]="O","Other", TRUE,"Unknown")</f>
        <v>Male</v>
      </c>
    </row>
    <row r="1713" spans="1:15" x14ac:dyDescent="0.2">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f t="array" ref="O1713">_xlfn.IFS(orders[[#This Row],[Customer Gender]]="M","Male", orders[[#This Row],[Customer Gender]]="F","Female", orders[[#This Row],[Customer Gender]]="O","Other", TRUE,"Unknown")</f>
        <v>Male</v>
      </c>
    </row>
    <row r="1714" spans="1:15" x14ac:dyDescent="0.2">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f t="array" ref="O1714">_xlfn.IFS(orders[[#This Row],[Customer Gender]]="M","Male", orders[[#This Row],[Customer Gender]]="F","Female", orders[[#This Row],[Customer Gender]]="O","Other", TRUE,"Unknown")</f>
        <v>Female</v>
      </c>
    </row>
    <row r="1715" spans="1:15" x14ac:dyDescent="0.2">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f t="array" ref="O1715">_xlfn.IFS(orders[[#This Row],[Customer Gender]]="M","Male", orders[[#This Row],[Customer Gender]]="F","Female", orders[[#This Row],[Customer Gender]]="O","Other", TRUE,"Unknown")</f>
        <v>Male</v>
      </c>
    </row>
    <row r="1716" spans="1:15" x14ac:dyDescent="0.2">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f t="array" ref="O1716">_xlfn.IFS(orders[[#This Row],[Customer Gender]]="M","Male", orders[[#This Row],[Customer Gender]]="F","Female", orders[[#This Row],[Customer Gender]]="O","Other", TRUE,"Unknown")</f>
        <v>Female</v>
      </c>
    </row>
    <row r="1717" spans="1:15" x14ac:dyDescent="0.2">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f t="array" ref="O1717">_xlfn.IFS(orders[[#This Row],[Customer Gender]]="M","Male", orders[[#This Row],[Customer Gender]]="F","Female", orders[[#This Row],[Customer Gender]]="O","Other", TRUE,"Unknown")</f>
        <v>Male</v>
      </c>
    </row>
    <row r="1718" spans="1:15" x14ac:dyDescent="0.2">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f t="array" ref="O1718">_xlfn.IFS(orders[[#This Row],[Customer Gender]]="M","Male", orders[[#This Row],[Customer Gender]]="F","Female", orders[[#This Row],[Customer Gender]]="O","Other", TRUE,"Unknown")</f>
        <v>Female</v>
      </c>
    </row>
    <row r="1719" spans="1:15" x14ac:dyDescent="0.2">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f t="array" ref="O1719">_xlfn.IFS(orders[[#This Row],[Customer Gender]]="M","Male", orders[[#This Row],[Customer Gender]]="F","Female", orders[[#This Row],[Customer Gender]]="O","Other", TRUE,"Unknown")</f>
        <v>Female</v>
      </c>
    </row>
    <row r="1720" spans="1:15" x14ac:dyDescent="0.2">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f t="array" ref="O1720">_xlfn.IFS(orders[[#This Row],[Customer Gender]]="M","Male", orders[[#This Row],[Customer Gender]]="F","Female", orders[[#This Row],[Customer Gender]]="O","Other", TRUE,"Unknown")</f>
        <v>Female</v>
      </c>
    </row>
    <row r="1721" spans="1:15" x14ac:dyDescent="0.2">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f t="array" ref="O1721">_xlfn.IFS(orders[[#This Row],[Customer Gender]]="M","Male", orders[[#This Row],[Customer Gender]]="F","Female", orders[[#This Row],[Customer Gender]]="O","Other", TRUE,"Unknown")</f>
        <v>Female</v>
      </c>
    </row>
    <row r="1722" spans="1:15" x14ac:dyDescent="0.2">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f t="array" ref="O1722">_xlfn.IFS(orders[[#This Row],[Customer Gender]]="M","Male", orders[[#This Row],[Customer Gender]]="F","Female", orders[[#This Row],[Customer Gender]]="O","Other", TRUE,"Unknown")</f>
        <v>Female</v>
      </c>
    </row>
    <row r="1723" spans="1:15" x14ac:dyDescent="0.2">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f t="array" ref="O1723">_xlfn.IFS(orders[[#This Row],[Customer Gender]]="M","Male", orders[[#This Row],[Customer Gender]]="F","Female", orders[[#This Row],[Customer Gender]]="O","Other", TRUE,"Unknown")</f>
        <v>Male</v>
      </c>
    </row>
    <row r="1724" spans="1:15" x14ac:dyDescent="0.2">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f t="array" ref="O1724">_xlfn.IFS(orders[[#This Row],[Customer Gender]]="M","Male", orders[[#This Row],[Customer Gender]]="F","Female", orders[[#This Row],[Customer Gender]]="O","Other", TRUE,"Unknown")</f>
        <v>Female</v>
      </c>
    </row>
    <row r="1725" spans="1:15" x14ac:dyDescent="0.2">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f t="array" ref="O1725">_xlfn.IFS(orders[[#This Row],[Customer Gender]]="M","Male", orders[[#This Row],[Customer Gender]]="F","Female", orders[[#This Row],[Customer Gender]]="O","Other", TRUE,"Unknown")</f>
        <v>Male</v>
      </c>
    </row>
    <row r="1726" spans="1:15" x14ac:dyDescent="0.2">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f t="array" ref="O1726">_xlfn.IFS(orders[[#This Row],[Customer Gender]]="M","Male", orders[[#This Row],[Customer Gender]]="F","Female", orders[[#This Row],[Customer Gender]]="O","Other", TRUE,"Unknown")</f>
        <v>Female</v>
      </c>
    </row>
    <row r="1727" spans="1:15" x14ac:dyDescent="0.2">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f t="array" ref="O1727">_xlfn.IFS(orders[[#This Row],[Customer Gender]]="M","Male", orders[[#This Row],[Customer Gender]]="F","Female", orders[[#This Row],[Customer Gender]]="O","Other", TRUE,"Unknown")</f>
        <v>Other</v>
      </c>
    </row>
    <row r="1728" spans="1:15" x14ac:dyDescent="0.2">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f t="array" ref="O1728">_xlfn.IFS(orders[[#This Row],[Customer Gender]]="M","Male", orders[[#This Row],[Customer Gender]]="F","Female", orders[[#This Row],[Customer Gender]]="O","Other", TRUE,"Unknown")</f>
        <v>Male</v>
      </c>
    </row>
    <row r="1729" spans="1:15" x14ac:dyDescent="0.2">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f t="array" ref="O1729">_xlfn.IFS(orders[[#This Row],[Customer Gender]]="M","Male", orders[[#This Row],[Customer Gender]]="F","Female", orders[[#This Row],[Customer Gender]]="O","Other", TRUE,"Unknown")</f>
        <v>Female</v>
      </c>
    </row>
    <row r="1730" spans="1:15" x14ac:dyDescent="0.2">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f t="array" ref="O1730">_xlfn.IFS(orders[[#This Row],[Customer Gender]]="M","Male", orders[[#This Row],[Customer Gender]]="F","Female", orders[[#This Row],[Customer Gender]]="O","Other", TRUE,"Unknown")</f>
        <v>Unknown</v>
      </c>
    </row>
    <row r="1731" spans="1:15" x14ac:dyDescent="0.2">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f t="array" ref="O1731">_xlfn.IFS(orders[[#This Row],[Customer Gender]]="M","Male", orders[[#This Row],[Customer Gender]]="F","Female", orders[[#This Row],[Customer Gender]]="O","Other", TRUE,"Unknown")</f>
        <v>Male</v>
      </c>
    </row>
    <row r="1732" spans="1:15" x14ac:dyDescent="0.2">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f t="array" ref="O1732">_xlfn.IFS(orders[[#This Row],[Customer Gender]]="M","Male", orders[[#This Row],[Customer Gender]]="F","Female", orders[[#This Row],[Customer Gender]]="O","Other", TRUE,"Unknown")</f>
        <v>Female</v>
      </c>
    </row>
    <row r="1733" spans="1:15" x14ac:dyDescent="0.2">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f t="array" ref="O1733">_xlfn.IFS(orders[[#This Row],[Customer Gender]]="M","Male", orders[[#This Row],[Customer Gender]]="F","Female", orders[[#This Row],[Customer Gender]]="O","Other", TRUE,"Unknown")</f>
        <v>Female</v>
      </c>
    </row>
    <row r="1734" spans="1:15" x14ac:dyDescent="0.2">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f t="array" ref="O1734">_xlfn.IFS(orders[[#This Row],[Customer Gender]]="M","Male", orders[[#This Row],[Customer Gender]]="F","Female", orders[[#This Row],[Customer Gender]]="O","Other", TRUE,"Unknown")</f>
        <v>Female</v>
      </c>
    </row>
    <row r="1735" spans="1:15" x14ac:dyDescent="0.2">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f t="array" ref="O1735">_xlfn.IFS(orders[[#This Row],[Customer Gender]]="M","Male", orders[[#This Row],[Customer Gender]]="F","Female", orders[[#This Row],[Customer Gender]]="O","Other", TRUE,"Unknown")</f>
        <v>Male</v>
      </c>
    </row>
    <row r="1736" spans="1:15" x14ac:dyDescent="0.2">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f t="array" ref="O1736">_xlfn.IFS(orders[[#This Row],[Customer Gender]]="M","Male", orders[[#This Row],[Customer Gender]]="F","Female", orders[[#This Row],[Customer Gender]]="O","Other", TRUE,"Unknown")</f>
        <v>Male</v>
      </c>
    </row>
    <row r="1737" spans="1:15" x14ac:dyDescent="0.2">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f t="array" ref="O1737">_xlfn.IFS(orders[[#This Row],[Customer Gender]]="M","Male", orders[[#This Row],[Customer Gender]]="F","Female", orders[[#This Row],[Customer Gender]]="O","Other", TRUE,"Unknown")</f>
        <v>Male</v>
      </c>
    </row>
    <row r="1738" spans="1:15" x14ac:dyDescent="0.2">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f t="array" ref="O1738">_xlfn.IFS(orders[[#This Row],[Customer Gender]]="M","Male", orders[[#This Row],[Customer Gender]]="F","Female", orders[[#This Row],[Customer Gender]]="O","Other", TRUE,"Unknown")</f>
        <v>Female</v>
      </c>
    </row>
    <row r="1739" spans="1:15" x14ac:dyDescent="0.2">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f t="array" ref="O1739">_xlfn.IFS(orders[[#This Row],[Customer Gender]]="M","Male", orders[[#This Row],[Customer Gender]]="F","Female", orders[[#This Row],[Customer Gender]]="O","Other", TRUE,"Unknown")</f>
        <v>Female</v>
      </c>
    </row>
    <row r="1740" spans="1:15" x14ac:dyDescent="0.2">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f t="array" ref="O1740">_xlfn.IFS(orders[[#This Row],[Customer Gender]]="M","Male", orders[[#This Row],[Customer Gender]]="F","Female", orders[[#This Row],[Customer Gender]]="O","Other", TRUE,"Unknown")</f>
        <v>Other</v>
      </c>
    </row>
    <row r="1741" spans="1:15" x14ac:dyDescent="0.2">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f t="array" ref="O1741">_xlfn.IFS(orders[[#This Row],[Customer Gender]]="M","Male", orders[[#This Row],[Customer Gender]]="F","Female", orders[[#This Row],[Customer Gender]]="O","Other", TRUE,"Unknown")</f>
        <v>Female</v>
      </c>
    </row>
    <row r="1742" spans="1:15" x14ac:dyDescent="0.2">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f t="array" ref="O1742">_xlfn.IFS(orders[[#This Row],[Customer Gender]]="M","Male", orders[[#This Row],[Customer Gender]]="F","Female", orders[[#This Row],[Customer Gender]]="O","Other", TRUE,"Unknown")</f>
        <v>Male</v>
      </c>
    </row>
    <row r="1743" spans="1:15" x14ac:dyDescent="0.2">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f t="array" ref="O1743">_xlfn.IFS(orders[[#This Row],[Customer Gender]]="M","Male", orders[[#This Row],[Customer Gender]]="F","Female", orders[[#This Row],[Customer Gender]]="O","Other", TRUE,"Unknown")</f>
        <v>Female</v>
      </c>
    </row>
    <row r="1744" spans="1:15" x14ac:dyDescent="0.2">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f t="array" ref="O1744">_xlfn.IFS(orders[[#This Row],[Customer Gender]]="M","Male", orders[[#This Row],[Customer Gender]]="F","Female", orders[[#This Row],[Customer Gender]]="O","Other", TRUE,"Unknown")</f>
        <v>Male</v>
      </c>
    </row>
    <row r="1745" spans="1:15" x14ac:dyDescent="0.2">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f t="array" ref="O1745">_xlfn.IFS(orders[[#This Row],[Customer Gender]]="M","Male", orders[[#This Row],[Customer Gender]]="F","Female", orders[[#This Row],[Customer Gender]]="O","Other", TRUE,"Unknown")</f>
        <v>Other</v>
      </c>
    </row>
    <row r="1746" spans="1:15" x14ac:dyDescent="0.2">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f t="array" ref="O1746">_xlfn.IFS(orders[[#This Row],[Customer Gender]]="M","Male", orders[[#This Row],[Customer Gender]]="F","Female", orders[[#This Row],[Customer Gender]]="O","Other", TRUE,"Unknown")</f>
        <v>Male</v>
      </c>
    </row>
    <row r="1747" spans="1:15" x14ac:dyDescent="0.2">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f t="array" ref="O1747">_xlfn.IFS(orders[[#This Row],[Customer Gender]]="M","Male", orders[[#This Row],[Customer Gender]]="F","Female", orders[[#This Row],[Customer Gender]]="O","Other", TRUE,"Unknown")</f>
        <v>Female</v>
      </c>
    </row>
    <row r="1748" spans="1:15" x14ac:dyDescent="0.2">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f t="array" ref="O1748">_xlfn.IFS(orders[[#This Row],[Customer Gender]]="M","Male", orders[[#This Row],[Customer Gender]]="F","Female", orders[[#This Row],[Customer Gender]]="O","Other", TRUE,"Unknown")</f>
        <v>Female</v>
      </c>
    </row>
    <row r="1749" spans="1:15" x14ac:dyDescent="0.2">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f t="array" ref="O1749">_xlfn.IFS(orders[[#This Row],[Customer Gender]]="M","Male", orders[[#This Row],[Customer Gender]]="F","Female", orders[[#This Row],[Customer Gender]]="O","Other", TRUE,"Unknown")</f>
        <v>Female</v>
      </c>
    </row>
    <row r="1750" spans="1:15" x14ac:dyDescent="0.2">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f t="array" ref="O1750">_xlfn.IFS(orders[[#This Row],[Customer Gender]]="M","Male", orders[[#This Row],[Customer Gender]]="F","Female", orders[[#This Row],[Customer Gender]]="O","Other", TRUE,"Unknown")</f>
        <v>Male</v>
      </c>
    </row>
    <row r="1751" spans="1:15" x14ac:dyDescent="0.2">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f t="array" ref="O1751">_xlfn.IFS(orders[[#This Row],[Customer Gender]]="M","Male", orders[[#This Row],[Customer Gender]]="F","Female", orders[[#This Row],[Customer Gender]]="O","Other", TRUE,"Unknown")</f>
        <v>Male</v>
      </c>
    </row>
    <row r="1752" spans="1:15" x14ac:dyDescent="0.2">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f t="array" ref="O1752">_xlfn.IFS(orders[[#This Row],[Customer Gender]]="M","Male", orders[[#This Row],[Customer Gender]]="F","Female", orders[[#This Row],[Customer Gender]]="O","Other", TRUE,"Unknown")</f>
        <v>Male</v>
      </c>
    </row>
    <row r="1753" spans="1:15" x14ac:dyDescent="0.2">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f t="array" ref="O1753">_xlfn.IFS(orders[[#This Row],[Customer Gender]]="M","Male", orders[[#This Row],[Customer Gender]]="F","Female", orders[[#This Row],[Customer Gender]]="O","Other", TRUE,"Unknown")</f>
        <v>Female</v>
      </c>
    </row>
    <row r="1754" spans="1:15" x14ac:dyDescent="0.2">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f t="array" ref="O1754">_xlfn.IFS(orders[[#This Row],[Customer Gender]]="M","Male", orders[[#This Row],[Customer Gender]]="F","Female", orders[[#This Row],[Customer Gender]]="O","Other", TRUE,"Unknown")</f>
        <v>Male</v>
      </c>
    </row>
    <row r="1755" spans="1:15" x14ac:dyDescent="0.2">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f t="array" ref="O1755">_xlfn.IFS(orders[[#This Row],[Customer Gender]]="M","Male", orders[[#This Row],[Customer Gender]]="F","Female", orders[[#This Row],[Customer Gender]]="O","Other", TRUE,"Unknown")</f>
        <v>Female</v>
      </c>
    </row>
    <row r="1756" spans="1:15" x14ac:dyDescent="0.2">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f t="array" ref="O1756">_xlfn.IFS(orders[[#This Row],[Customer Gender]]="M","Male", orders[[#This Row],[Customer Gender]]="F","Female", orders[[#This Row],[Customer Gender]]="O","Other", TRUE,"Unknown")</f>
        <v>Male</v>
      </c>
    </row>
    <row r="1757" spans="1:15" x14ac:dyDescent="0.2">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f t="array" ref="O1757">_xlfn.IFS(orders[[#This Row],[Customer Gender]]="M","Male", orders[[#This Row],[Customer Gender]]="F","Female", orders[[#This Row],[Customer Gender]]="O","Other", TRUE,"Unknown")</f>
        <v>Female</v>
      </c>
    </row>
    <row r="1758" spans="1:15" x14ac:dyDescent="0.2">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f t="array" ref="O1758">_xlfn.IFS(orders[[#This Row],[Customer Gender]]="M","Male", orders[[#This Row],[Customer Gender]]="F","Female", orders[[#This Row],[Customer Gender]]="O","Other", TRUE,"Unknown")</f>
        <v>Other</v>
      </c>
    </row>
    <row r="1759" spans="1:15" x14ac:dyDescent="0.2">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f t="array" ref="O1759">_xlfn.IFS(orders[[#This Row],[Customer Gender]]="M","Male", orders[[#This Row],[Customer Gender]]="F","Female", orders[[#This Row],[Customer Gender]]="O","Other", TRUE,"Unknown")</f>
        <v>Male</v>
      </c>
    </row>
    <row r="1760" spans="1:15" x14ac:dyDescent="0.2">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f t="array" ref="O1760">_xlfn.IFS(orders[[#This Row],[Customer Gender]]="M","Male", orders[[#This Row],[Customer Gender]]="F","Female", orders[[#This Row],[Customer Gender]]="O","Other", TRUE,"Unknown")</f>
        <v>Male</v>
      </c>
    </row>
    <row r="1761" spans="1:15" x14ac:dyDescent="0.2">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f t="array" ref="O1761">_xlfn.IFS(orders[[#This Row],[Customer Gender]]="M","Male", orders[[#This Row],[Customer Gender]]="F","Female", orders[[#This Row],[Customer Gender]]="O","Other", TRUE,"Unknown")</f>
        <v>Female</v>
      </c>
    </row>
    <row r="1762" spans="1:15" x14ac:dyDescent="0.2">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f t="array" ref="O1762">_xlfn.IFS(orders[[#This Row],[Customer Gender]]="M","Male", orders[[#This Row],[Customer Gender]]="F","Female", orders[[#This Row],[Customer Gender]]="O","Other", TRUE,"Unknown")</f>
        <v>Male</v>
      </c>
    </row>
    <row r="1763" spans="1:15" x14ac:dyDescent="0.2">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f t="array" ref="O1763">_xlfn.IFS(orders[[#This Row],[Customer Gender]]="M","Male", orders[[#This Row],[Customer Gender]]="F","Female", orders[[#This Row],[Customer Gender]]="O","Other", TRUE,"Unknown")</f>
        <v>Male</v>
      </c>
    </row>
    <row r="1764" spans="1:15" x14ac:dyDescent="0.2">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f t="array" ref="O1764">_xlfn.IFS(orders[[#This Row],[Customer Gender]]="M","Male", orders[[#This Row],[Customer Gender]]="F","Female", orders[[#This Row],[Customer Gender]]="O","Other", TRUE,"Unknown")</f>
        <v>Male</v>
      </c>
    </row>
    <row r="1765" spans="1:15" x14ac:dyDescent="0.2">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f t="array" ref="O1765">_xlfn.IFS(orders[[#This Row],[Customer Gender]]="M","Male", orders[[#This Row],[Customer Gender]]="F","Female", orders[[#This Row],[Customer Gender]]="O","Other", TRUE,"Unknown")</f>
        <v>Male</v>
      </c>
    </row>
    <row r="1766" spans="1:15" x14ac:dyDescent="0.2">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f t="array" ref="O1766">_xlfn.IFS(orders[[#This Row],[Customer Gender]]="M","Male", orders[[#This Row],[Customer Gender]]="F","Female", orders[[#This Row],[Customer Gender]]="O","Other", TRUE,"Unknown")</f>
        <v>Male</v>
      </c>
    </row>
    <row r="1767" spans="1:15" x14ac:dyDescent="0.2">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f t="array" ref="O1767">_xlfn.IFS(orders[[#This Row],[Customer Gender]]="M","Male", orders[[#This Row],[Customer Gender]]="F","Female", orders[[#This Row],[Customer Gender]]="O","Other", TRUE,"Unknown")</f>
        <v>Male</v>
      </c>
    </row>
    <row r="1768" spans="1:15" x14ac:dyDescent="0.2">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f t="array" ref="O1768">_xlfn.IFS(orders[[#This Row],[Customer Gender]]="M","Male", orders[[#This Row],[Customer Gender]]="F","Female", orders[[#This Row],[Customer Gender]]="O","Other", TRUE,"Unknown")</f>
        <v>Male</v>
      </c>
    </row>
    <row r="1769" spans="1:15" x14ac:dyDescent="0.2">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f t="array" ref="O1769">_xlfn.IFS(orders[[#This Row],[Customer Gender]]="M","Male", orders[[#This Row],[Customer Gender]]="F","Female", orders[[#This Row],[Customer Gender]]="O","Other", TRUE,"Unknown")</f>
        <v>Male</v>
      </c>
    </row>
    <row r="1770" spans="1:15" x14ac:dyDescent="0.2">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f t="array" ref="O1770">_xlfn.IFS(orders[[#This Row],[Customer Gender]]="M","Male", orders[[#This Row],[Customer Gender]]="F","Female", orders[[#This Row],[Customer Gender]]="O","Other", TRUE,"Unknown")</f>
        <v>Female</v>
      </c>
    </row>
    <row r="1771" spans="1:15" x14ac:dyDescent="0.2">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f t="array" ref="O1771">_xlfn.IFS(orders[[#This Row],[Customer Gender]]="M","Male", orders[[#This Row],[Customer Gender]]="F","Female", orders[[#This Row],[Customer Gender]]="O","Other", TRUE,"Unknown")</f>
        <v>Female</v>
      </c>
    </row>
    <row r="1772" spans="1:15" x14ac:dyDescent="0.2">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f t="array" ref="O1772">_xlfn.IFS(orders[[#This Row],[Customer Gender]]="M","Male", orders[[#This Row],[Customer Gender]]="F","Female", orders[[#This Row],[Customer Gender]]="O","Other", TRUE,"Unknown")</f>
        <v>Male</v>
      </c>
    </row>
    <row r="1773" spans="1:15" x14ac:dyDescent="0.2">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f t="array" ref="O1773">_xlfn.IFS(orders[[#This Row],[Customer Gender]]="M","Male", orders[[#This Row],[Customer Gender]]="F","Female", orders[[#This Row],[Customer Gender]]="O","Other", TRUE,"Unknown")</f>
        <v>Male</v>
      </c>
    </row>
    <row r="1774" spans="1:15" x14ac:dyDescent="0.2">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f t="array" ref="O1774">_xlfn.IFS(orders[[#This Row],[Customer Gender]]="M","Male", orders[[#This Row],[Customer Gender]]="F","Female", orders[[#This Row],[Customer Gender]]="O","Other", TRUE,"Unknown")</f>
        <v>Female</v>
      </c>
    </row>
    <row r="1775" spans="1:15" x14ac:dyDescent="0.2">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f t="array" ref="O1775">_xlfn.IFS(orders[[#This Row],[Customer Gender]]="M","Male", orders[[#This Row],[Customer Gender]]="F","Female", orders[[#This Row],[Customer Gender]]="O","Other", TRUE,"Unknown")</f>
        <v>Female</v>
      </c>
    </row>
    <row r="1776" spans="1:15" x14ac:dyDescent="0.2">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f t="array" ref="O1776">_xlfn.IFS(orders[[#This Row],[Customer Gender]]="M","Male", orders[[#This Row],[Customer Gender]]="F","Female", orders[[#This Row],[Customer Gender]]="O","Other", TRUE,"Unknown")</f>
        <v>Male</v>
      </c>
    </row>
    <row r="1777" spans="1:15" x14ac:dyDescent="0.2">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f t="array" ref="O1777">_xlfn.IFS(orders[[#This Row],[Customer Gender]]="M","Male", orders[[#This Row],[Customer Gender]]="F","Female", orders[[#This Row],[Customer Gender]]="O","Other", TRUE,"Unknown")</f>
        <v>Male</v>
      </c>
    </row>
    <row r="1778" spans="1:15" x14ac:dyDescent="0.2">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f t="array" ref="O1778">_xlfn.IFS(orders[[#This Row],[Customer Gender]]="M","Male", orders[[#This Row],[Customer Gender]]="F","Female", orders[[#This Row],[Customer Gender]]="O","Other", TRUE,"Unknown")</f>
        <v>Male</v>
      </c>
    </row>
    <row r="1779" spans="1:15" x14ac:dyDescent="0.2">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f t="array" ref="O1779">_xlfn.IFS(orders[[#This Row],[Customer Gender]]="M","Male", orders[[#This Row],[Customer Gender]]="F","Female", orders[[#This Row],[Customer Gender]]="O","Other", TRUE,"Unknown")</f>
        <v>Male</v>
      </c>
    </row>
    <row r="1780" spans="1:15" x14ac:dyDescent="0.2">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f t="array" ref="O1780">_xlfn.IFS(orders[[#This Row],[Customer Gender]]="M","Male", orders[[#This Row],[Customer Gender]]="F","Female", orders[[#This Row],[Customer Gender]]="O","Other", TRUE,"Unknown")</f>
        <v>Female</v>
      </c>
    </row>
    <row r="1781" spans="1:15" x14ac:dyDescent="0.2">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f t="array" ref="O1781">_xlfn.IFS(orders[[#This Row],[Customer Gender]]="M","Male", orders[[#This Row],[Customer Gender]]="F","Female", orders[[#This Row],[Customer Gender]]="O","Other", TRUE,"Unknown")</f>
        <v>Female</v>
      </c>
    </row>
    <row r="1782" spans="1:15" x14ac:dyDescent="0.2">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f t="array" ref="O1782">_xlfn.IFS(orders[[#This Row],[Customer Gender]]="M","Male", orders[[#This Row],[Customer Gender]]="F","Female", orders[[#This Row],[Customer Gender]]="O","Other", TRUE,"Unknown")</f>
        <v>Female</v>
      </c>
    </row>
    <row r="1783" spans="1:15" x14ac:dyDescent="0.2">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f t="array" ref="O1783">_xlfn.IFS(orders[[#This Row],[Customer Gender]]="M","Male", orders[[#This Row],[Customer Gender]]="F","Female", orders[[#This Row],[Customer Gender]]="O","Other", TRUE,"Unknown")</f>
        <v>Female</v>
      </c>
    </row>
    <row r="1784" spans="1:15" x14ac:dyDescent="0.2">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f t="array" ref="O1784">_xlfn.IFS(orders[[#This Row],[Customer Gender]]="M","Male", orders[[#This Row],[Customer Gender]]="F","Female", orders[[#This Row],[Customer Gender]]="O","Other", TRUE,"Unknown")</f>
        <v>Male</v>
      </c>
    </row>
    <row r="1785" spans="1:15" x14ac:dyDescent="0.2">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f t="array" ref="O1785">_xlfn.IFS(orders[[#This Row],[Customer Gender]]="M","Male", orders[[#This Row],[Customer Gender]]="F","Female", orders[[#This Row],[Customer Gender]]="O","Other", TRUE,"Unknown")</f>
        <v>Female</v>
      </c>
    </row>
    <row r="1786" spans="1:15" x14ac:dyDescent="0.2">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f t="array" ref="O1786">_xlfn.IFS(orders[[#This Row],[Customer Gender]]="M","Male", orders[[#This Row],[Customer Gender]]="F","Female", orders[[#This Row],[Customer Gender]]="O","Other", TRUE,"Unknown")</f>
        <v>Female</v>
      </c>
    </row>
    <row r="1787" spans="1:15" x14ac:dyDescent="0.2">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f t="array" ref="O1787">_xlfn.IFS(orders[[#This Row],[Customer Gender]]="M","Male", orders[[#This Row],[Customer Gender]]="F","Female", orders[[#This Row],[Customer Gender]]="O","Other", TRUE,"Unknown")</f>
        <v>Female</v>
      </c>
    </row>
    <row r="1788" spans="1:15" x14ac:dyDescent="0.2">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f t="array" ref="O1788">_xlfn.IFS(orders[[#This Row],[Customer Gender]]="M","Male", orders[[#This Row],[Customer Gender]]="F","Female", orders[[#This Row],[Customer Gender]]="O","Other", TRUE,"Unknown")</f>
        <v>Female</v>
      </c>
    </row>
    <row r="1789" spans="1:15" x14ac:dyDescent="0.2">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f t="array" ref="O1789">_xlfn.IFS(orders[[#This Row],[Customer Gender]]="M","Male", orders[[#This Row],[Customer Gender]]="F","Female", orders[[#This Row],[Customer Gender]]="O","Other", TRUE,"Unknown")</f>
        <v>Male</v>
      </c>
    </row>
    <row r="1790" spans="1:15" x14ac:dyDescent="0.2">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f t="array" ref="O1790">_xlfn.IFS(orders[[#This Row],[Customer Gender]]="M","Male", orders[[#This Row],[Customer Gender]]="F","Female", orders[[#This Row],[Customer Gender]]="O","Other", TRUE,"Unknown")</f>
        <v>Female</v>
      </c>
    </row>
    <row r="1791" spans="1:15" x14ac:dyDescent="0.2">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f t="array" ref="O1791">_xlfn.IFS(orders[[#This Row],[Customer Gender]]="M","Male", orders[[#This Row],[Customer Gender]]="F","Female", orders[[#This Row],[Customer Gender]]="O","Other", TRUE,"Unknown")</f>
        <v>Female</v>
      </c>
    </row>
    <row r="1792" spans="1:15" x14ac:dyDescent="0.2">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f t="array" ref="O1792">_xlfn.IFS(orders[[#This Row],[Customer Gender]]="M","Male", orders[[#This Row],[Customer Gender]]="F","Female", orders[[#This Row],[Customer Gender]]="O","Other", TRUE,"Unknown")</f>
        <v>Male</v>
      </c>
    </row>
    <row r="1793" spans="1:15" x14ac:dyDescent="0.2">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f t="array" ref="O1793">_xlfn.IFS(orders[[#This Row],[Customer Gender]]="M","Male", orders[[#This Row],[Customer Gender]]="F","Female", orders[[#This Row],[Customer Gender]]="O","Other", TRUE,"Unknown")</f>
        <v>Male</v>
      </c>
    </row>
    <row r="1794" spans="1:15" x14ac:dyDescent="0.2">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f t="array" ref="O1794">_xlfn.IFS(orders[[#This Row],[Customer Gender]]="M","Male", orders[[#This Row],[Customer Gender]]="F","Female", orders[[#This Row],[Customer Gender]]="O","Other", TRUE,"Unknown")</f>
        <v>Female</v>
      </c>
    </row>
    <row r="1795" spans="1:15" x14ac:dyDescent="0.2">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f t="array" ref="O1795">_xlfn.IFS(orders[[#This Row],[Customer Gender]]="M","Male", orders[[#This Row],[Customer Gender]]="F","Female", orders[[#This Row],[Customer Gender]]="O","Other", TRUE,"Unknown")</f>
        <v>Male</v>
      </c>
    </row>
    <row r="1796" spans="1:15" x14ac:dyDescent="0.2">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f t="array" ref="O1796">_xlfn.IFS(orders[[#This Row],[Customer Gender]]="M","Male", orders[[#This Row],[Customer Gender]]="F","Female", orders[[#This Row],[Customer Gender]]="O","Other", TRUE,"Unknown")</f>
        <v>Male</v>
      </c>
    </row>
    <row r="1797" spans="1:15" x14ac:dyDescent="0.2">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f t="array" ref="O1797">_xlfn.IFS(orders[[#This Row],[Customer Gender]]="M","Male", orders[[#This Row],[Customer Gender]]="F","Female", orders[[#This Row],[Customer Gender]]="O","Other", TRUE,"Unknown")</f>
        <v>Male</v>
      </c>
    </row>
    <row r="1798" spans="1:15" x14ac:dyDescent="0.2">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f t="array" ref="O1798">_xlfn.IFS(orders[[#This Row],[Customer Gender]]="M","Male", orders[[#This Row],[Customer Gender]]="F","Female", orders[[#This Row],[Customer Gender]]="O","Other", TRUE,"Unknown")</f>
        <v>Female</v>
      </c>
    </row>
    <row r="1799" spans="1:15" x14ac:dyDescent="0.2">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f t="array" ref="O1799">_xlfn.IFS(orders[[#This Row],[Customer Gender]]="M","Male", orders[[#This Row],[Customer Gender]]="F","Female", orders[[#This Row],[Customer Gender]]="O","Other", TRUE,"Unknown")</f>
        <v>Male</v>
      </c>
    </row>
    <row r="1800" spans="1:15" x14ac:dyDescent="0.2">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f t="array" ref="O1800">_xlfn.IFS(orders[[#This Row],[Customer Gender]]="M","Male", orders[[#This Row],[Customer Gender]]="F","Female", orders[[#This Row],[Customer Gender]]="O","Other", TRUE,"Unknown")</f>
        <v>Female</v>
      </c>
    </row>
    <row r="1801" spans="1:15" x14ac:dyDescent="0.2">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f t="array" ref="O1801">_xlfn.IFS(orders[[#This Row],[Customer Gender]]="M","Male", orders[[#This Row],[Customer Gender]]="F","Female", orders[[#This Row],[Customer Gender]]="O","Other", TRUE,"Unknown")</f>
        <v>Female</v>
      </c>
    </row>
    <row r="1802" spans="1:15" x14ac:dyDescent="0.2">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f t="array" ref="O1802">_xlfn.IFS(orders[[#This Row],[Customer Gender]]="M","Male", orders[[#This Row],[Customer Gender]]="F","Female", orders[[#This Row],[Customer Gender]]="O","Other", TRUE,"Unknown")</f>
        <v>Female</v>
      </c>
    </row>
    <row r="1803" spans="1:15" x14ac:dyDescent="0.2">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f t="array" ref="O1803">_xlfn.IFS(orders[[#This Row],[Customer Gender]]="M","Male", orders[[#This Row],[Customer Gender]]="F","Female", orders[[#This Row],[Customer Gender]]="O","Other", TRUE,"Unknown")</f>
        <v>Female</v>
      </c>
    </row>
    <row r="1804" spans="1:15" x14ac:dyDescent="0.2">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f t="array" ref="O1804">_xlfn.IFS(orders[[#This Row],[Customer Gender]]="M","Male", orders[[#This Row],[Customer Gender]]="F","Female", orders[[#This Row],[Customer Gender]]="O","Other", TRUE,"Unknown")</f>
        <v>Female</v>
      </c>
    </row>
    <row r="1805" spans="1:15" x14ac:dyDescent="0.2">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f t="array" ref="O1805">_xlfn.IFS(orders[[#This Row],[Customer Gender]]="M","Male", orders[[#This Row],[Customer Gender]]="F","Female", orders[[#This Row],[Customer Gender]]="O","Other", TRUE,"Unknown")</f>
        <v>Male</v>
      </c>
    </row>
    <row r="1806" spans="1:15" x14ac:dyDescent="0.2">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f t="array" ref="O1806">_xlfn.IFS(orders[[#This Row],[Customer Gender]]="M","Male", orders[[#This Row],[Customer Gender]]="F","Female", orders[[#This Row],[Customer Gender]]="O","Other", TRUE,"Unknown")</f>
        <v>Male</v>
      </c>
    </row>
    <row r="1807" spans="1:15" x14ac:dyDescent="0.2">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f t="array" ref="O1807">_xlfn.IFS(orders[[#This Row],[Customer Gender]]="M","Male", orders[[#This Row],[Customer Gender]]="F","Female", orders[[#This Row],[Customer Gender]]="O","Other", TRUE,"Unknown")</f>
        <v>Female</v>
      </c>
    </row>
    <row r="1808" spans="1:15" x14ac:dyDescent="0.2">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f t="array" ref="O1808">_xlfn.IFS(orders[[#This Row],[Customer Gender]]="M","Male", orders[[#This Row],[Customer Gender]]="F","Female", orders[[#This Row],[Customer Gender]]="O","Other", TRUE,"Unknown")</f>
        <v>Male</v>
      </c>
    </row>
    <row r="1809" spans="1:15" x14ac:dyDescent="0.2">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f t="array" ref="O1809">_xlfn.IFS(orders[[#This Row],[Customer Gender]]="M","Male", orders[[#This Row],[Customer Gender]]="F","Female", orders[[#This Row],[Customer Gender]]="O","Other", TRUE,"Unknown")</f>
        <v>Female</v>
      </c>
    </row>
    <row r="1810" spans="1:15" x14ac:dyDescent="0.2">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f t="array" ref="O1810">_xlfn.IFS(orders[[#This Row],[Customer Gender]]="M","Male", orders[[#This Row],[Customer Gender]]="F","Female", orders[[#This Row],[Customer Gender]]="O","Other", TRUE,"Unknown")</f>
        <v>Female</v>
      </c>
    </row>
    <row r="1811" spans="1:15" x14ac:dyDescent="0.2">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f t="array" ref="O1811">_xlfn.IFS(orders[[#This Row],[Customer Gender]]="M","Male", orders[[#This Row],[Customer Gender]]="F","Female", orders[[#This Row],[Customer Gender]]="O","Other", TRUE,"Unknown")</f>
        <v>Female</v>
      </c>
    </row>
    <row r="1812" spans="1:15" x14ac:dyDescent="0.2">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f t="array" ref="O1812">_xlfn.IFS(orders[[#This Row],[Customer Gender]]="M","Male", orders[[#This Row],[Customer Gender]]="F","Female", orders[[#This Row],[Customer Gender]]="O","Other", TRUE,"Unknown")</f>
        <v>Other</v>
      </c>
    </row>
    <row r="1813" spans="1:15" x14ac:dyDescent="0.2">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f t="array" ref="O1813">_xlfn.IFS(orders[[#This Row],[Customer Gender]]="M","Male", orders[[#This Row],[Customer Gender]]="F","Female", orders[[#This Row],[Customer Gender]]="O","Other", TRUE,"Unknown")</f>
        <v>Female</v>
      </c>
    </row>
    <row r="1814" spans="1:15" x14ac:dyDescent="0.2">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f t="array" ref="O1814">_xlfn.IFS(orders[[#This Row],[Customer Gender]]="M","Male", orders[[#This Row],[Customer Gender]]="F","Female", orders[[#This Row],[Customer Gender]]="O","Other", TRUE,"Unknown")</f>
        <v>Female</v>
      </c>
    </row>
    <row r="1815" spans="1:15" x14ac:dyDescent="0.2">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f t="array" ref="O1815">_xlfn.IFS(orders[[#This Row],[Customer Gender]]="M","Male", orders[[#This Row],[Customer Gender]]="F","Female", orders[[#This Row],[Customer Gender]]="O","Other", TRUE,"Unknown")</f>
        <v>Male</v>
      </c>
    </row>
    <row r="1816" spans="1:15" x14ac:dyDescent="0.2">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f t="array" ref="O1816">_xlfn.IFS(orders[[#This Row],[Customer Gender]]="M","Male", orders[[#This Row],[Customer Gender]]="F","Female", orders[[#This Row],[Customer Gender]]="O","Other", TRUE,"Unknown")</f>
        <v>Female</v>
      </c>
    </row>
    <row r="1817" spans="1:15" x14ac:dyDescent="0.2">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f t="array" ref="O1817">_xlfn.IFS(orders[[#This Row],[Customer Gender]]="M","Male", orders[[#This Row],[Customer Gender]]="F","Female", orders[[#This Row],[Customer Gender]]="O","Other", TRUE,"Unknown")</f>
        <v>Male</v>
      </c>
    </row>
    <row r="1818" spans="1:15" x14ac:dyDescent="0.2">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f t="array" ref="O1818">_xlfn.IFS(orders[[#This Row],[Customer Gender]]="M","Male", orders[[#This Row],[Customer Gender]]="F","Female", orders[[#This Row],[Customer Gender]]="O","Other", TRUE,"Unknown")</f>
        <v>Other</v>
      </c>
    </row>
    <row r="1819" spans="1:15" x14ac:dyDescent="0.2">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f t="array" ref="O1819">_xlfn.IFS(orders[[#This Row],[Customer Gender]]="M","Male", orders[[#This Row],[Customer Gender]]="F","Female", orders[[#This Row],[Customer Gender]]="O","Other", TRUE,"Unknown")</f>
        <v>Female</v>
      </c>
    </row>
    <row r="1820" spans="1:15" x14ac:dyDescent="0.2">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f t="array" ref="O1820">_xlfn.IFS(orders[[#This Row],[Customer Gender]]="M","Male", orders[[#This Row],[Customer Gender]]="F","Female", orders[[#This Row],[Customer Gender]]="O","Other", TRUE,"Unknown")</f>
        <v>Unknown</v>
      </c>
    </row>
    <row r="1821" spans="1:15" x14ac:dyDescent="0.2">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f t="array" ref="O1821">_xlfn.IFS(orders[[#This Row],[Customer Gender]]="M","Male", orders[[#This Row],[Customer Gender]]="F","Female", orders[[#This Row],[Customer Gender]]="O","Other", TRUE,"Unknown")</f>
        <v>Female</v>
      </c>
    </row>
    <row r="1822" spans="1:15" x14ac:dyDescent="0.2">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f t="array" ref="O1822">_xlfn.IFS(orders[[#This Row],[Customer Gender]]="M","Male", orders[[#This Row],[Customer Gender]]="F","Female", orders[[#This Row],[Customer Gender]]="O","Other", TRUE,"Unknown")</f>
        <v>Female</v>
      </c>
    </row>
    <row r="1823" spans="1:15" x14ac:dyDescent="0.2">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f t="array" ref="O1823">_xlfn.IFS(orders[[#This Row],[Customer Gender]]="M","Male", orders[[#This Row],[Customer Gender]]="F","Female", orders[[#This Row],[Customer Gender]]="O","Other", TRUE,"Unknown")</f>
        <v>Unknown</v>
      </c>
    </row>
    <row r="1824" spans="1:15" x14ac:dyDescent="0.2">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f t="array" ref="O1824">_xlfn.IFS(orders[[#This Row],[Customer Gender]]="M","Male", orders[[#This Row],[Customer Gender]]="F","Female", orders[[#This Row],[Customer Gender]]="O","Other", TRUE,"Unknown")</f>
        <v>Male</v>
      </c>
    </row>
    <row r="1825" spans="1:15" x14ac:dyDescent="0.2">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f t="array" ref="O1825">_xlfn.IFS(orders[[#This Row],[Customer Gender]]="M","Male", orders[[#This Row],[Customer Gender]]="F","Female", orders[[#This Row],[Customer Gender]]="O","Other", TRUE,"Unknown")</f>
        <v>Other</v>
      </c>
    </row>
    <row r="1826" spans="1:15" x14ac:dyDescent="0.2">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f t="array" ref="O1826">_xlfn.IFS(orders[[#This Row],[Customer Gender]]="M","Male", orders[[#This Row],[Customer Gender]]="F","Female", orders[[#This Row],[Customer Gender]]="O","Other", TRUE,"Unknown")</f>
        <v>Male</v>
      </c>
    </row>
    <row r="1827" spans="1:15" x14ac:dyDescent="0.2">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f t="array" ref="O1827">_xlfn.IFS(orders[[#This Row],[Customer Gender]]="M","Male", orders[[#This Row],[Customer Gender]]="F","Female", orders[[#This Row],[Customer Gender]]="O","Other", TRUE,"Unknown")</f>
        <v>Female</v>
      </c>
    </row>
    <row r="1828" spans="1:15" x14ac:dyDescent="0.2">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f t="array" ref="O1828">_xlfn.IFS(orders[[#This Row],[Customer Gender]]="M","Male", orders[[#This Row],[Customer Gender]]="F","Female", orders[[#This Row],[Customer Gender]]="O","Other", TRUE,"Unknown")</f>
        <v>Unknown</v>
      </c>
    </row>
    <row r="1829" spans="1:15" x14ac:dyDescent="0.2">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f t="array" ref="O1829">_xlfn.IFS(orders[[#This Row],[Customer Gender]]="M","Male", orders[[#This Row],[Customer Gender]]="F","Female", orders[[#This Row],[Customer Gender]]="O","Other", TRUE,"Unknown")</f>
        <v>Male</v>
      </c>
    </row>
    <row r="1830" spans="1:15" x14ac:dyDescent="0.2">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f t="array" ref="O1830">_xlfn.IFS(orders[[#This Row],[Customer Gender]]="M","Male", orders[[#This Row],[Customer Gender]]="F","Female", orders[[#This Row],[Customer Gender]]="O","Other", TRUE,"Unknown")</f>
        <v>Female</v>
      </c>
    </row>
    <row r="1831" spans="1:15" x14ac:dyDescent="0.2">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f t="array" ref="O1831">_xlfn.IFS(orders[[#This Row],[Customer Gender]]="M","Male", orders[[#This Row],[Customer Gender]]="F","Female", orders[[#This Row],[Customer Gender]]="O","Other", TRUE,"Unknown")</f>
        <v>Male</v>
      </c>
    </row>
    <row r="1832" spans="1:15" x14ac:dyDescent="0.2">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f t="array" ref="O1832">_xlfn.IFS(orders[[#This Row],[Customer Gender]]="M","Male", orders[[#This Row],[Customer Gender]]="F","Female", orders[[#This Row],[Customer Gender]]="O","Other", TRUE,"Unknown")</f>
        <v>Female</v>
      </c>
    </row>
    <row r="1833" spans="1:15" x14ac:dyDescent="0.2">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f t="array" ref="O1833">_xlfn.IFS(orders[[#This Row],[Customer Gender]]="M","Male", orders[[#This Row],[Customer Gender]]="F","Female", orders[[#This Row],[Customer Gender]]="O","Other", TRUE,"Unknown")</f>
        <v>Unknown</v>
      </c>
    </row>
    <row r="1834" spans="1:15" x14ac:dyDescent="0.2">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f t="array" ref="O1834">_xlfn.IFS(orders[[#This Row],[Customer Gender]]="M","Male", orders[[#This Row],[Customer Gender]]="F","Female", orders[[#This Row],[Customer Gender]]="O","Other", TRUE,"Unknown")</f>
        <v>Female</v>
      </c>
    </row>
    <row r="1835" spans="1:15" x14ac:dyDescent="0.2">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f t="array" ref="O1835">_xlfn.IFS(orders[[#This Row],[Customer Gender]]="M","Male", orders[[#This Row],[Customer Gender]]="F","Female", orders[[#This Row],[Customer Gender]]="O","Other", TRUE,"Unknown")</f>
        <v>Male</v>
      </c>
    </row>
    <row r="1836" spans="1:15" x14ac:dyDescent="0.2">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f t="array" ref="O1836">_xlfn.IFS(orders[[#This Row],[Customer Gender]]="M","Male", orders[[#This Row],[Customer Gender]]="F","Female", orders[[#This Row],[Customer Gender]]="O","Other", TRUE,"Unknown")</f>
        <v>Male</v>
      </c>
    </row>
    <row r="1837" spans="1:15" x14ac:dyDescent="0.2">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f t="array" ref="O1837">_xlfn.IFS(orders[[#This Row],[Customer Gender]]="M","Male", orders[[#This Row],[Customer Gender]]="F","Female", orders[[#This Row],[Customer Gender]]="O","Other", TRUE,"Unknown")</f>
        <v>Female</v>
      </c>
    </row>
    <row r="1838" spans="1:15" x14ac:dyDescent="0.2">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f t="array" ref="O1838">_xlfn.IFS(orders[[#This Row],[Customer Gender]]="M","Male", orders[[#This Row],[Customer Gender]]="F","Female", orders[[#This Row],[Customer Gender]]="O","Other", TRUE,"Unknown")</f>
        <v>Female</v>
      </c>
    </row>
    <row r="1839" spans="1:15" x14ac:dyDescent="0.2">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f t="array" ref="O1839">_xlfn.IFS(orders[[#This Row],[Customer Gender]]="M","Male", orders[[#This Row],[Customer Gender]]="F","Female", orders[[#This Row],[Customer Gender]]="O","Other", TRUE,"Unknown")</f>
        <v>Female</v>
      </c>
    </row>
    <row r="1840" spans="1:15" x14ac:dyDescent="0.2">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f t="array" ref="O1840">_xlfn.IFS(orders[[#This Row],[Customer Gender]]="M","Male", orders[[#This Row],[Customer Gender]]="F","Female", orders[[#This Row],[Customer Gender]]="O","Other", TRUE,"Unknown")</f>
        <v>Male</v>
      </c>
    </row>
    <row r="1841" spans="1:15" x14ac:dyDescent="0.2">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f t="array" ref="O1841">_xlfn.IFS(orders[[#This Row],[Customer Gender]]="M","Male", orders[[#This Row],[Customer Gender]]="F","Female", orders[[#This Row],[Customer Gender]]="O","Other", TRUE,"Unknown")</f>
        <v>Female</v>
      </c>
    </row>
    <row r="1842" spans="1:15" x14ac:dyDescent="0.2">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f t="array" ref="O1842">_xlfn.IFS(orders[[#This Row],[Customer Gender]]="M","Male", orders[[#This Row],[Customer Gender]]="F","Female", orders[[#This Row],[Customer Gender]]="O","Other", TRUE,"Unknown")</f>
        <v>Male</v>
      </c>
    </row>
    <row r="1843" spans="1:15" x14ac:dyDescent="0.2">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f t="array" ref="O1843">_xlfn.IFS(orders[[#This Row],[Customer Gender]]="M","Male", orders[[#This Row],[Customer Gender]]="F","Female", orders[[#This Row],[Customer Gender]]="O","Other", TRUE,"Unknown")</f>
        <v>Female</v>
      </c>
    </row>
    <row r="1844" spans="1:15" x14ac:dyDescent="0.2">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f t="array" ref="O1844">_xlfn.IFS(orders[[#This Row],[Customer Gender]]="M","Male", orders[[#This Row],[Customer Gender]]="F","Female", orders[[#This Row],[Customer Gender]]="O","Other", TRUE,"Unknown")</f>
        <v>Unknown</v>
      </c>
    </row>
    <row r="1845" spans="1:15" x14ac:dyDescent="0.2">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f t="array" ref="O1845">_xlfn.IFS(orders[[#This Row],[Customer Gender]]="M","Male", orders[[#This Row],[Customer Gender]]="F","Female", orders[[#This Row],[Customer Gender]]="O","Other", TRUE,"Unknown")</f>
        <v>Female</v>
      </c>
    </row>
    <row r="1846" spans="1:15" x14ac:dyDescent="0.2">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f t="array" ref="O1846">_xlfn.IFS(orders[[#This Row],[Customer Gender]]="M","Male", orders[[#This Row],[Customer Gender]]="F","Female", orders[[#This Row],[Customer Gender]]="O","Other", TRUE,"Unknown")</f>
        <v>Male</v>
      </c>
    </row>
    <row r="1847" spans="1:15" x14ac:dyDescent="0.2">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f t="array" ref="O1847">_xlfn.IFS(orders[[#This Row],[Customer Gender]]="M","Male", orders[[#This Row],[Customer Gender]]="F","Female", orders[[#This Row],[Customer Gender]]="O","Other", TRUE,"Unknown")</f>
        <v>Other</v>
      </c>
    </row>
    <row r="1848" spans="1:15" x14ac:dyDescent="0.2">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f t="array" ref="O1848">_xlfn.IFS(orders[[#This Row],[Customer Gender]]="M","Male", orders[[#This Row],[Customer Gender]]="F","Female", orders[[#This Row],[Customer Gender]]="O","Other", TRUE,"Unknown")</f>
        <v>Female</v>
      </c>
    </row>
    <row r="1849" spans="1:15" x14ac:dyDescent="0.2">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f t="array" ref="O1849">_xlfn.IFS(orders[[#This Row],[Customer Gender]]="M","Male", orders[[#This Row],[Customer Gender]]="F","Female", orders[[#This Row],[Customer Gender]]="O","Other", TRUE,"Unknown")</f>
        <v>Female</v>
      </c>
    </row>
    <row r="1850" spans="1:15" x14ac:dyDescent="0.2">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f t="array" ref="O1850">_xlfn.IFS(orders[[#This Row],[Customer Gender]]="M","Male", orders[[#This Row],[Customer Gender]]="F","Female", orders[[#This Row],[Customer Gender]]="O","Other", TRUE,"Unknown")</f>
        <v>Female</v>
      </c>
    </row>
    <row r="1851" spans="1:15" x14ac:dyDescent="0.2">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f t="array" ref="O1851">_xlfn.IFS(orders[[#This Row],[Customer Gender]]="M","Male", orders[[#This Row],[Customer Gender]]="F","Female", orders[[#This Row],[Customer Gender]]="O","Other", TRUE,"Unknown")</f>
        <v>Male</v>
      </c>
    </row>
    <row r="1852" spans="1:15" x14ac:dyDescent="0.2">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f t="array" ref="O1852">_xlfn.IFS(orders[[#This Row],[Customer Gender]]="M","Male", orders[[#This Row],[Customer Gender]]="F","Female", orders[[#This Row],[Customer Gender]]="O","Other", TRUE,"Unknown")</f>
        <v>Female</v>
      </c>
    </row>
    <row r="1853" spans="1:15" x14ac:dyDescent="0.2">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f t="array" ref="O1853">_xlfn.IFS(orders[[#This Row],[Customer Gender]]="M","Male", orders[[#This Row],[Customer Gender]]="F","Female", orders[[#This Row],[Customer Gender]]="O","Other", TRUE,"Unknown")</f>
        <v>Female</v>
      </c>
    </row>
    <row r="1854" spans="1:15" x14ac:dyDescent="0.2">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f t="array" ref="O1854">_xlfn.IFS(orders[[#This Row],[Customer Gender]]="M","Male", orders[[#This Row],[Customer Gender]]="F","Female", orders[[#This Row],[Customer Gender]]="O","Other", TRUE,"Unknown")</f>
        <v>Female</v>
      </c>
    </row>
    <row r="1855" spans="1:15" x14ac:dyDescent="0.2">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f t="array" ref="O1855">_xlfn.IFS(orders[[#This Row],[Customer Gender]]="M","Male", orders[[#This Row],[Customer Gender]]="F","Female", orders[[#This Row],[Customer Gender]]="O","Other", TRUE,"Unknown")</f>
        <v>Male</v>
      </c>
    </row>
    <row r="1856" spans="1:15" x14ac:dyDescent="0.2">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f t="array" ref="O1856">_xlfn.IFS(orders[[#This Row],[Customer Gender]]="M","Male", orders[[#This Row],[Customer Gender]]="F","Female", orders[[#This Row],[Customer Gender]]="O","Other", TRUE,"Unknown")</f>
        <v>Female</v>
      </c>
    </row>
    <row r="1857" spans="1:15" x14ac:dyDescent="0.2">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f t="array" ref="O1857">_xlfn.IFS(orders[[#This Row],[Customer Gender]]="M","Male", orders[[#This Row],[Customer Gender]]="F","Female", orders[[#This Row],[Customer Gender]]="O","Other", TRUE,"Unknown")</f>
        <v>Male</v>
      </c>
    </row>
    <row r="1858" spans="1:15" x14ac:dyDescent="0.2">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f t="array" ref="O1858">_xlfn.IFS(orders[[#This Row],[Customer Gender]]="M","Male", orders[[#This Row],[Customer Gender]]="F","Female", orders[[#This Row],[Customer Gender]]="O","Other", TRUE,"Unknown")</f>
        <v>Female</v>
      </c>
    </row>
    <row r="1859" spans="1:15" x14ac:dyDescent="0.2">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f t="array" ref="O1859">_xlfn.IFS(orders[[#This Row],[Customer Gender]]="M","Male", orders[[#This Row],[Customer Gender]]="F","Female", orders[[#This Row],[Customer Gender]]="O","Other", TRUE,"Unknown")</f>
        <v>Female</v>
      </c>
    </row>
    <row r="1860" spans="1:15" x14ac:dyDescent="0.2">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f t="array" ref="O1860">_xlfn.IFS(orders[[#This Row],[Customer Gender]]="M","Male", orders[[#This Row],[Customer Gender]]="F","Female", orders[[#This Row],[Customer Gender]]="O","Other", TRUE,"Unknown")</f>
        <v>Female</v>
      </c>
    </row>
    <row r="1861" spans="1:15" x14ac:dyDescent="0.2">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f t="array" ref="O1861">_xlfn.IFS(orders[[#This Row],[Customer Gender]]="M","Male", orders[[#This Row],[Customer Gender]]="F","Female", orders[[#This Row],[Customer Gender]]="O","Other", TRUE,"Unknown")</f>
        <v>Male</v>
      </c>
    </row>
    <row r="1862" spans="1:15" x14ac:dyDescent="0.2">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f t="array" ref="O1862">_xlfn.IFS(orders[[#This Row],[Customer Gender]]="M","Male", orders[[#This Row],[Customer Gender]]="F","Female", orders[[#This Row],[Customer Gender]]="O","Other", TRUE,"Unknown")</f>
        <v>Male</v>
      </c>
    </row>
    <row r="1863" spans="1:15" x14ac:dyDescent="0.2">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f t="array" ref="O1863">_xlfn.IFS(orders[[#This Row],[Customer Gender]]="M","Male", orders[[#This Row],[Customer Gender]]="F","Female", orders[[#This Row],[Customer Gender]]="O","Other", TRUE,"Unknown")</f>
        <v>Other</v>
      </c>
    </row>
    <row r="1864" spans="1:15" x14ac:dyDescent="0.2">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f t="array" ref="O1864">_xlfn.IFS(orders[[#This Row],[Customer Gender]]="M","Male", orders[[#This Row],[Customer Gender]]="F","Female", orders[[#This Row],[Customer Gender]]="O","Other", TRUE,"Unknown")</f>
        <v>Male</v>
      </c>
    </row>
    <row r="1865" spans="1:15" x14ac:dyDescent="0.2">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f t="array" ref="O1865">_xlfn.IFS(orders[[#This Row],[Customer Gender]]="M","Male", orders[[#This Row],[Customer Gender]]="F","Female", orders[[#This Row],[Customer Gender]]="O","Other", TRUE,"Unknown")</f>
        <v>Female</v>
      </c>
    </row>
    <row r="1866" spans="1:15" x14ac:dyDescent="0.2">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f t="array" ref="O1866">_xlfn.IFS(orders[[#This Row],[Customer Gender]]="M","Male", orders[[#This Row],[Customer Gender]]="F","Female", orders[[#This Row],[Customer Gender]]="O","Other", TRUE,"Unknown")</f>
        <v>Female</v>
      </c>
    </row>
    <row r="1867" spans="1:15" x14ac:dyDescent="0.2">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f t="array" ref="O1867">_xlfn.IFS(orders[[#This Row],[Customer Gender]]="M","Male", orders[[#This Row],[Customer Gender]]="F","Female", orders[[#This Row],[Customer Gender]]="O","Other", TRUE,"Unknown")</f>
        <v>Male</v>
      </c>
    </row>
    <row r="1868" spans="1:15" x14ac:dyDescent="0.2">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f t="array" ref="O1868">_xlfn.IFS(orders[[#This Row],[Customer Gender]]="M","Male", orders[[#This Row],[Customer Gender]]="F","Female", orders[[#This Row],[Customer Gender]]="O","Other", TRUE,"Unknown")</f>
        <v>Other</v>
      </c>
    </row>
    <row r="1869" spans="1:15" x14ac:dyDescent="0.2">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f t="array" ref="O1869">_xlfn.IFS(orders[[#This Row],[Customer Gender]]="M","Male", orders[[#This Row],[Customer Gender]]="F","Female", orders[[#This Row],[Customer Gender]]="O","Other", TRUE,"Unknown")</f>
        <v>Female</v>
      </c>
    </row>
    <row r="1870" spans="1:15" x14ac:dyDescent="0.2">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f t="array" ref="O1870">_xlfn.IFS(orders[[#This Row],[Customer Gender]]="M","Male", orders[[#This Row],[Customer Gender]]="F","Female", orders[[#This Row],[Customer Gender]]="O","Other", TRUE,"Unknown")</f>
        <v>Other</v>
      </c>
    </row>
    <row r="1871" spans="1:15" x14ac:dyDescent="0.2">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f t="array" ref="O1871">_xlfn.IFS(orders[[#This Row],[Customer Gender]]="M","Male", orders[[#This Row],[Customer Gender]]="F","Female", orders[[#This Row],[Customer Gender]]="O","Other", TRUE,"Unknown")</f>
        <v>Female</v>
      </c>
    </row>
    <row r="1872" spans="1:15" x14ac:dyDescent="0.2">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f t="array" ref="O1872">_xlfn.IFS(orders[[#This Row],[Customer Gender]]="M","Male", orders[[#This Row],[Customer Gender]]="F","Female", orders[[#This Row],[Customer Gender]]="O","Other", TRUE,"Unknown")</f>
        <v>Female</v>
      </c>
    </row>
    <row r="1873" spans="1:15" x14ac:dyDescent="0.2">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f t="array" ref="O1873">_xlfn.IFS(orders[[#This Row],[Customer Gender]]="M","Male", orders[[#This Row],[Customer Gender]]="F","Female", orders[[#This Row],[Customer Gender]]="O","Other", TRUE,"Unknown")</f>
        <v>Male</v>
      </c>
    </row>
    <row r="1874" spans="1:15" x14ac:dyDescent="0.2">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f t="array" ref="O1874">_xlfn.IFS(orders[[#This Row],[Customer Gender]]="M","Male", orders[[#This Row],[Customer Gender]]="F","Female", orders[[#This Row],[Customer Gender]]="O","Other", TRUE,"Unknown")</f>
        <v>Female</v>
      </c>
    </row>
    <row r="1875" spans="1:15" x14ac:dyDescent="0.2">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f t="array" ref="O1875">_xlfn.IFS(orders[[#This Row],[Customer Gender]]="M","Male", orders[[#This Row],[Customer Gender]]="F","Female", orders[[#This Row],[Customer Gender]]="O","Other", TRUE,"Unknown")</f>
        <v>Other</v>
      </c>
    </row>
    <row r="1876" spans="1:15" x14ac:dyDescent="0.2">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f t="array" ref="O1876">_xlfn.IFS(orders[[#This Row],[Customer Gender]]="M","Male", orders[[#This Row],[Customer Gender]]="F","Female", orders[[#This Row],[Customer Gender]]="O","Other", TRUE,"Unknown")</f>
        <v>Female</v>
      </c>
    </row>
    <row r="1877" spans="1:15" x14ac:dyDescent="0.2">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f t="array" ref="O1877">_xlfn.IFS(orders[[#This Row],[Customer Gender]]="M","Male", orders[[#This Row],[Customer Gender]]="F","Female", orders[[#This Row],[Customer Gender]]="O","Other", TRUE,"Unknown")</f>
        <v>Female</v>
      </c>
    </row>
    <row r="1878" spans="1:15" x14ac:dyDescent="0.2">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f t="array" ref="O1878">_xlfn.IFS(orders[[#This Row],[Customer Gender]]="M","Male", orders[[#This Row],[Customer Gender]]="F","Female", orders[[#This Row],[Customer Gender]]="O","Other", TRUE,"Unknown")</f>
        <v>Female</v>
      </c>
    </row>
    <row r="1879" spans="1:15" x14ac:dyDescent="0.2">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f t="array" ref="O1879">_xlfn.IFS(orders[[#This Row],[Customer Gender]]="M","Male", orders[[#This Row],[Customer Gender]]="F","Female", orders[[#This Row],[Customer Gender]]="O","Other", TRUE,"Unknown")</f>
        <v>Female</v>
      </c>
    </row>
    <row r="1880" spans="1:15" x14ac:dyDescent="0.2">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f t="array" ref="O1880">_xlfn.IFS(orders[[#This Row],[Customer Gender]]="M","Male", orders[[#This Row],[Customer Gender]]="F","Female", orders[[#This Row],[Customer Gender]]="O","Other", TRUE,"Unknown")</f>
        <v>Female</v>
      </c>
    </row>
    <row r="1881" spans="1:15" x14ac:dyDescent="0.2">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f t="array" ref="O1881">_xlfn.IFS(orders[[#This Row],[Customer Gender]]="M","Male", orders[[#This Row],[Customer Gender]]="F","Female", orders[[#This Row],[Customer Gender]]="O","Other", TRUE,"Unknown")</f>
        <v>Male</v>
      </c>
    </row>
    <row r="1882" spans="1:15" x14ac:dyDescent="0.2">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f t="array" ref="O1882">_xlfn.IFS(orders[[#This Row],[Customer Gender]]="M","Male", orders[[#This Row],[Customer Gender]]="F","Female", orders[[#This Row],[Customer Gender]]="O","Other", TRUE,"Unknown")</f>
        <v>Female</v>
      </c>
    </row>
    <row r="1883" spans="1:15" x14ac:dyDescent="0.2">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f t="array" ref="O1883">_xlfn.IFS(orders[[#This Row],[Customer Gender]]="M","Male", orders[[#This Row],[Customer Gender]]="F","Female", orders[[#This Row],[Customer Gender]]="O","Other", TRUE,"Unknown")</f>
        <v>Female</v>
      </c>
    </row>
    <row r="1884" spans="1:15" x14ac:dyDescent="0.2">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f t="array" ref="O1884">_xlfn.IFS(orders[[#This Row],[Customer Gender]]="M","Male", orders[[#This Row],[Customer Gender]]="F","Female", orders[[#This Row],[Customer Gender]]="O","Other", TRUE,"Unknown")</f>
        <v>Male</v>
      </c>
    </row>
    <row r="1885" spans="1:15" x14ac:dyDescent="0.2">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f t="array" ref="O1885">_xlfn.IFS(orders[[#This Row],[Customer Gender]]="M","Male", orders[[#This Row],[Customer Gender]]="F","Female", orders[[#This Row],[Customer Gender]]="O","Other", TRUE,"Unknown")</f>
        <v>Male</v>
      </c>
    </row>
    <row r="1886" spans="1:15" x14ac:dyDescent="0.2">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f t="array" ref="O1886">_xlfn.IFS(orders[[#This Row],[Customer Gender]]="M","Male", orders[[#This Row],[Customer Gender]]="F","Female", orders[[#This Row],[Customer Gender]]="O","Other", TRUE,"Unknown")</f>
        <v>Unknown</v>
      </c>
    </row>
    <row r="1887" spans="1:15" x14ac:dyDescent="0.2">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f t="array" ref="O1887">_xlfn.IFS(orders[[#This Row],[Customer Gender]]="M","Male", orders[[#This Row],[Customer Gender]]="F","Female", orders[[#This Row],[Customer Gender]]="O","Other", TRUE,"Unknown")</f>
        <v>Male</v>
      </c>
    </row>
    <row r="1888" spans="1:15" x14ac:dyDescent="0.2">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f t="array" ref="O1888">_xlfn.IFS(orders[[#This Row],[Customer Gender]]="M","Male", orders[[#This Row],[Customer Gender]]="F","Female", orders[[#This Row],[Customer Gender]]="O","Other", TRUE,"Unknown")</f>
        <v>Female</v>
      </c>
    </row>
    <row r="1889" spans="1:15" x14ac:dyDescent="0.2">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f t="array" ref="O1889">_xlfn.IFS(orders[[#This Row],[Customer Gender]]="M","Male", orders[[#This Row],[Customer Gender]]="F","Female", orders[[#This Row],[Customer Gender]]="O","Other", TRUE,"Unknown")</f>
        <v>Female</v>
      </c>
    </row>
    <row r="1890" spans="1:15" x14ac:dyDescent="0.2">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f t="array" ref="O1890">_xlfn.IFS(orders[[#This Row],[Customer Gender]]="M","Male", orders[[#This Row],[Customer Gender]]="F","Female", orders[[#This Row],[Customer Gender]]="O","Other", TRUE,"Unknown")</f>
        <v>Female</v>
      </c>
    </row>
    <row r="1891" spans="1:15" x14ac:dyDescent="0.2">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f t="array" ref="O1891">_xlfn.IFS(orders[[#This Row],[Customer Gender]]="M","Male", orders[[#This Row],[Customer Gender]]="F","Female", orders[[#This Row],[Customer Gender]]="O","Other", TRUE,"Unknown")</f>
        <v>Male</v>
      </c>
    </row>
    <row r="1892" spans="1:15" x14ac:dyDescent="0.2">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f t="array" ref="O1892">_xlfn.IFS(orders[[#This Row],[Customer Gender]]="M","Male", orders[[#This Row],[Customer Gender]]="F","Female", orders[[#This Row],[Customer Gender]]="O","Other", TRUE,"Unknown")</f>
        <v>Female</v>
      </c>
    </row>
    <row r="1893" spans="1:15" x14ac:dyDescent="0.2">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f t="array" ref="O1893">_xlfn.IFS(orders[[#This Row],[Customer Gender]]="M","Male", orders[[#This Row],[Customer Gender]]="F","Female", orders[[#This Row],[Customer Gender]]="O","Other", TRUE,"Unknown")</f>
        <v>Male</v>
      </c>
    </row>
    <row r="1894" spans="1:15" x14ac:dyDescent="0.2">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f t="array" ref="O1894">_xlfn.IFS(orders[[#This Row],[Customer Gender]]="M","Male", orders[[#This Row],[Customer Gender]]="F","Female", orders[[#This Row],[Customer Gender]]="O","Other", TRUE,"Unknown")</f>
        <v>Male</v>
      </c>
    </row>
    <row r="1895" spans="1:15" x14ac:dyDescent="0.2">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f t="array" ref="O1895">_xlfn.IFS(orders[[#This Row],[Customer Gender]]="M","Male", orders[[#This Row],[Customer Gender]]="F","Female", orders[[#This Row],[Customer Gender]]="O","Other", TRUE,"Unknown")</f>
        <v>Male</v>
      </c>
    </row>
    <row r="1896" spans="1:15" x14ac:dyDescent="0.2">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f t="array" ref="O1896">_xlfn.IFS(orders[[#This Row],[Customer Gender]]="M","Male", orders[[#This Row],[Customer Gender]]="F","Female", orders[[#This Row],[Customer Gender]]="O","Other", TRUE,"Unknown")</f>
        <v>Female</v>
      </c>
    </row>
    <row r="1897" spans="1:15" x14ac:dyDescent="0.2">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f t="array" ref="O1897">_xlfn.IFS(orders[[#This Row],[Customer Gender]]="M","Male", orders[[#This Row],[Customer Gender]]="F","Female", orders[[#This Row],[Customer Gender]]="O","Other", TRUE,"Unknown")</f>
        <v>Male</v>
      </c>
    </row>
    <row r="1898" spans="1:15" x14ac:dyDescent="0.2">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f t="array" ref="O1898">_xlfn.IFS(orders[[#This Row],[Customer Gender]]="M","Male", orders[[#This Row],[Customer Gender]]="F","Female", orders[[#This Row],[Customer Gender]]="O","Other", TRUE,"Unknown")</f>
        <v>Male</v>
      </c>
    </row>
    <row r="1899" spans="1:15" x14ac:dyDescent="0.2">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f t="array" ref="O1899">_xlfn.IFS(orders[[#This Row],[Customer Gender]]="M","Male", orders[[#This Row],[Customer Gender]]="F","Female", orders[[#This Row],[Customer Gender]]="O","Other", TRUE,"Unknown")</f>
        <v>Male</v>
      </c>
    </row>
    <row r="1900" spans="1:15" x14ac:dyDescent="0.2">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f t="array" ref="O1900">_xlfn.IFS(orders[[#This Row],[Customer Gender]]="M","Male", orders[[#This Row],[Customer Gender]]="F","Female", orders[[#This Row],[Customer Gender]]="O","Other", TRUE,"Unknown")</f>
        <v>Female</v>
      </c>
    </row>
    <row r="1901" spans="1:15" x14ac:dyDescent="0.2">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f t="array" ref="O1901">_xlfn.IFS(orders[[#This Row],[Customer Gender]]="M","Male", orders[[#This Row],[Customer Gender]]="F","Female", orders[[#This Row],[Customer Gender]]="O","Other", TRUE,"Unknown")</f>
        <v>Female</v>
      </c>
    </row>
    <row r="1902" spans="1:15" x14ac:dyDescent="0.2">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f t="array" ref="O1902">_xlfn.IFS(orders[[#This Row],[Customer Gender]]="M","Male", orders[[#This Row],[Customer Gender]]="F","Female", orders[[#This Row],[Customer Gender]]="O","Other", TRUE,"Unknown")</f>
        <v>Female</v>
      </c>
    </row>
    <row r="1903" spans="1:15" x14ac:dyDescent="0.2">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f t="array" ref="O1903">_xlfn.IFS(orders[[#This Row],[Customer Gender]]="M","Male", orders[[#This Row],[Customer Gender]]="F","Female", orders[[#This Row],[Customer Gender]]="O","Other", TRUE,"Unknown")</f>
        <v>Female</v>
      </c>
    </row>
    <row r="1904" spans="1:15" x14ac:dyDescent="0.2">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f t="array" ref="O1904">_xlfn.IFS(orders[[#This Row],[Customer Gender]]="M","Male", orders[[#This Row],[Customer Gender]]="F","Female", orders[[#This Row],[Customer Gender]]="O","Other", TRUE,"Unknown")</f>
        <v>Male</v>
      </c>
    </row>
    <row r="1905" spans="1:15" x14ac:dyDescent="0.2">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f t="array" ref="O1905">_xlfn.IFS(orders[[#This Row],[Customer Gender]]="M","Male", orders[[#This Row],[Customer Gender]]="F","Female", orders[[#This Row],[Customer Gender]]="O","Other", TRUE,"Unknown")</f>
        <v>Female</v>
      </c>
    </row>
    <row r="1906" spans="1:15" x14ac:dyDescent="0.2">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f t="array" ref="O1906">_xlfn.IFS(orders[[#This Row],[Customer Gender]]="M","Male", orders[[#This Row],[Customer Gender]]="F","Female", orders[[#This Row],[Customer Gender]]="O","Other", TRUE,"Unknown")</f>
        <v>Female</v>
      </c>
    </row>
    <row r="1907" spans="1:15" x14ac:dyDescent="0.2">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f t="array" ref="O1907">_xlfn.IFS(orders[[#This Row],[Customer Gender]]="M","Male", orders[[#This Row],[Customer Gender]]="F","Female", orders[[#This Row],[Customer Gender]]="O","Other", TRUE,"Unknown")</f>
        <v>Male</v>
      </c>
    </row>
    <row r="1908" spans="1:15" x14ac:dyDescent="0.2">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f t="array" ref="O1908">_xlfn.IFS(orders[[#This Row],[Customer Gender]]="M","Male", orders[[#This Row],[Customer Gender]]="F","Female", orders[[#This Row],[Customer Gender]]="O","Other", TRUE,"Unknown")</f>
        <v>Male</v>
      </c>
    </row>
    <row r="1909" spans="1:15" x14ac:dyDescent="0.2">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f t="array" ref="O1909">_xlfn.IFS(orders[[#This Row],[Customer Gender]]="M","Male", orders[[#This Row],[Customer Gender]]="F","Female", orders[[#This Row],[Customer Gender]]="O","Other", TRUE,"Unknown")</f>
        <v>Female</v>
      </c>
    </row>
    <row r="1910" spans="1:15" x14ac:dyDescent="0.2">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f t="array" ref="O1910">_xlfn.IFS(orders[[#This Row],[Customer Gender]]="M","Male", orders[[#This Row],[Customer Gender]]="F","Female", orders[[#This Row],[Customer Gender]]="O","Other", TRUE,"Unknown")</f>
        <v>Unknown</v>
      </c>
    </row>
    <row r="1911" spans="1:15" x14ac:dyDescent="0.2">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f t="array" ref="O1911">_xlfn.IFS(orders[[#This Row],[Customer Gender]]="M","Male", orders[[#This Row],[Customer Gender]]="F","Female", orders[[#This Row],[Customer Gender]]="O","Other", TRUE,"Unknown")</f>
        <v>Female</v>
      </c>
    </row>
    <row r="1912" spans="1:15" x14ac:dyDescent="0.2">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f t="array" ref="O1912">_xlfn.IFS(orders[[#This Row],[Customer Gender]]="M","Male", orders[[#This Row],[Customer Gender]]="F","Female", orders[[#This Row],[Customer Gender]]="O","Other", TRUE,"Unknown")</f>
        <v>Female</v>
      </c>
    </row>
    <row r="1913" spans="1:15" x14ac:dyDescent="0.2">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f t="array" ref="O1913">_xlfn.IFS(orders[[#This Row],[Customer Gender]]="M","Male", orders[[#This Row],[Customer Gender]]="F","Female", orders[[#This Row],[Customer Gender]]="O","Other", TRUE,"Unknown")</f>
        <v>Other</v>
      </c>
    </row>
    <row r="1914" spans="1:15" x14ac:dyDescent="0.2">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f t="array" ref="O1914">_xlfn.IFS(orders[[#This Row],[Customer Gender]]="M","Male", orders[[#This Row],[Customer Gender]]="F","Female", orders[[#This Row],[Customer Gender]]="O","Other", TRUE,"Unknown")</f>
        <v>Male</v>
      </c>
    </row>
    <row r="1915" spans="1:15" x14ac:dyDescent="0.2">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f t="array" ref="O1915">_xlfn.IFS(orders[[#This Row],[Customer Gender]]="M","Male", orders[[#This Row],[Customer Gender]]="F","Female", orders[[#This Row],[Customer Gender]]="O","Other", TRUE,"Unknown")</f>
        <v>Female</v>
      </c>
    </row>
    <row r="1916" spans="1:15" x14ac:dyDescent="0.2">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f t="array" ref="O1916">_xlfn.IFS(orders[[#This Row],[Customer Gender]]="M","Male", orders[[#This Row],[Customer Gender]]="F","Female", orders[[#This Row],[Customer Gender]]="O","Other", TRUE,"Unknown")</f>
        <v>Female</v>
      </c>
    </row>
    <row r="1917" spans="1:15" x14ac:dyDescent="0.2">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f t="array" ref="O1917">_xlfn.IFS(orders[[#This Row],[Customer Gender]]="M","Male", orders[[#This Row],[Customer Gender]]="F","Female", orders[[#This Row],[Customer Gender]]="O","Other", TRUE,"Unknown")</f>
        <v>Female</v>
      </c>
    </row>
    <row r="1918" spans="1:15" x14ac:dyDescent="0.2">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f t="array" ref="O1918">_xlfn.IFS(orders[[#This Row],[Customer Gender]]="M","Male", orders[[#This Row],[Customer Gender]]="F","Female", orders[[#This Row],[Customer Gender]]="O","Other", TRUE,"Unknown")</f>
        <v>Other</v>
      </c>
    </row>
    <row r="1919" spans="1:15" x14ac:dyDescent="0.2">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f t="array" ref="O1919">_xlfn.IFS(orders[[#This Row],[Customer Gender]]="M","Male", orders[[#This Row],[Customer Gender]]="F","Female", orders[[#This Row],[Customer Gender]]="O","Other", TRUE,"Unknown")</f>
        <v>Female</v>
      </c>
    </row>
    <row r="1920" spans="1:15" x14ac:dyDescent="0.2">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f t="array" ref="O1920">_xlfn.IFS(orders[[#This Row],[Customer Gender]]="M","Male", orders[[#This Row],[Customer Gender]]="F","Female", orders[[#This Row],[Customer Gender]]="O","Other", TRUE,"Unknown")</f>
        <v>Female</v>
      </c>
    </row>
    <row r="1921" spans="1:15" x14ac:dyDescent="0.2">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f t="array" ref="O1921">_xlfn.IFS(orders[[#This Row],[Customer Gender]]="M","Male", orders[[#This Row],[Customer Gender]]="F","Female", orders[[#This Row],[Customer Gender]]="O","Other", TRUE,"Unknown")</f>
        <v>Male</v>
      </c>
    </row>
    <row r="1922" spans="1:15" x14ac:dyDescent="0.2">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f t="array" ref="O1922">_xlfn.IFS(orders[[#This Row],[Customer Gender]]="M","Male", orders[[#This Row],[Customer Gender]]="F","Female", orders[[#This Row],[Customer Gender]]="O","Other", TRUE,"Unknown")</f>
        <v>Male</v>
      </c>
    </row>
    <row r="1923" spans="1:15" x14ac:dyDescent="0.2">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f t="array" ref="O1923">_xlfn.IFS(orders[[#This Row],[Customer Gender]]="M","Male", orders[[#This Row],[Customer Gender]]="F","Female", orders[[#This Row],[Customer Gender]]="O","Other", TRUE,"Unknown")</f>
        <v>Male</v>
      </c>
    </row>
    <row r="1924" spans="1:15" x14ac:dyDescent="0.2">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f t="array" ref="O1924">_xlfn.IFS(orders[[#This Row],[Customer Gender]]="M","Male", orders[[#This Row],[Customer Gender]]="F","Female", orders[[#This Row],[Customer Gender]]="O","Other", TRUE,"Unknown")</f>
        <v>Male</v>
      </c>
    </row>
    <row r="1925" spans="1:15" x14ac:dyDescent="0.2">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f t="array" ref="O1925">_xlfn.IFS(orders[[#This Row],[Customer Gender]]="M","Male", orders[[#This Row],[Customer Gender]]="F","Female", orders[[#This Row],[Customer Gender]]="O","Other", TRUE,"Unknown")</f>
        <v>Female</v>
      </c>
    </row>
    <row r="1926" spans="1:15" x14ac:dyDescent="0.2">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f t="array" ref="O1926">_xlfn.IFS(orders[[#This Row],[Customer Gender]]="M","Male", orders[[#This Row],[Customer Gender]]="F","Female", orders[[#This Row],[Customer Gender]]="O","Other", TRUE,"Unknown")</f>
        <v>Female</v>
      </c>
    </row>
    <row r="1927" spans="1:15" x14ac:dyDescent="0.2">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f t="array" ref="O1927">_xlfn.IFS(orders[[#This Row],[Customer Gender]]="M","Male", orders[[#This Row],[Customer Gender]]="F","Female", orders[[#This Row],[Customer Gender]]="O","Other", TRUE,"Unknown")</f>
        <v>Female</v>
      </c>
    </row>
    <row r="1928" spans="1:15" x14ac:dyDescent="0.2">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f t="array" ref="O1928">_xlfn.IFS(orders[[#This Row],[Customer Gender]]="M","Male", orders[[#This Row],[Customer Gender]]="F","Female", orders[[#This Row],[Customer Gender]]="O","Other", TRUE,"Unknown")</f>
        <v>Unknown</v>
      </c>
    </row>
    <row r="1929" spans="1:15" x14ac:dyDescent="0.2">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f t="array" ref="O1929">_xlfn.IFS(orders[[#This Row],[Customer Gender]]="M","Male", orders[[#This Row],[Customer Gender]]="F","Female", orders[[#This Row],[Customer Gender]]="O","Other", TRUE,"Unknown")</f>
        <v>Other</v>
      </c>
    </row>
    <row r="1930" spans="1:15" x14ac:dyDescent="0.2">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f t="array" ref="O1930">_xlfn.IFS(orders[[#This Row],[Customer Gender]]="M","Male", orders[[#This Row],[Customer Gender]]="F","Female", orders[[#This Row],[Customer Gender]]="O","Other", TRUE,"Unknown")</f>
        <v>Female</v>
      </c>
    </row>
    <row r="1931" spans="1:15" x14ac:dyDescent="0.2">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f t="array" ref="O1931">_xlfn.IFS(orders[[#This Row],[Customer Gender]]="M","Male", orders[[#This Row],[Customer Gender]]="F","Female", orders[[#This Row],[Customer Gender]]="O","Other", TRUE,"Unknown")</f>
        <v>Male</v>
      </c>
    </row>
    <row r="1932" spans="1:15" x14ac:dyDescent="0.2">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f t="array" ref="O1932">_xlfn.IFS(orders[[#This Row],[Customer Gender]]="M","Male", orders[[#This Row],[Customer Gender]]="F","Female", orders[[#This Row],[Customer Gender]]="O","Other", TRUE,"Unknown")</f>
        <v>Male</v>
      </c>
    </row>
    <row r="1933" spans="1:15" x14ac:dyDescent="0.2">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f t="array" ref="O1933">_xlfn.IFS(orders[[#This Row],[Customer Gender]]="M","Male", orders[[#This Row],[Customer Gender]]="F","Female", orders[[#This Row],[Customer Gender]]="O","Other", TRUE,"Unknown")</f>
        <v>Female</v>
      </c>
    </row>
    <row r="1934" spans="1:15" x14ac:dyDescent="0.2">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f t="array" ref="O1934">_xlfn.IFS(orders[[#This Row],[Customer Gender]]="M","Male", orders[[#This Row],[Customer Gender]]="F","Female", orders[[#This Row],[Customer Gender]]="O","Other", TRUE,"Unknown")</f>
        <v>Female</v>
      </c>
    </row>
    <row r="1935" spans="1:15" x14ac:dyDescent="0.2">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f t="array" ref="O1935">_xlfn.IFS(orders[[#This Row],[Customer Gender]]="M","Male", orders[[#This Row],[Customer Gender]]="F","Female", orders[[#This Row],[Customer Gender]]="O","Other", TRUE,"Unknown")</f>
        <v>Male</v>
      </c>
    </row>
    <row r="1936" spans="1:15" x14ac:dyDescent="0.2">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f t="array" ref="O1936">_xlfn.IFS(orders[[#This Row],[Customer Gender]]="M","Male", orders[[#This Row],[Customer Gender]]="F","Female", orders[[#This Row],[Customer Gender]]="O","Other", TRUE,"Unknown")</f>
        <v>Female</v>
      </c>
    </row>
    <row r="1937" spans="1:15" x14ac:dyDescent="0.2">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f t="array" ref="O1937">_xlfn.IFS(orders[[#This Row],[Customer Gender]]="M","Male", orders[[#This Row],[Customer Gender]]="F","Female", orders[[#This Row],[Customer Gender]]="O","Other", TRUE,"Unknown")</f>
        <v>Male</v>
      </c>
    </row>
    <row r="1938" spans="1:15" x14ac:dyDescent="0.2">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f t="array" ref="O1938">_xlfn.IFS(orders[[#This Row],[Customer Gender]]="M","Male", orders[[#This Row],[Customer Gender]]="F","Female", orders[[#This Row],[Customer Gender]]="O","Other", TRUE,"Unknown")</f>
        <v>Female</v>
      </c>
    </row>
    <row r="1939" spans="1:15" x14ac:dyDescent="0.2">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f t="array" ref="O1939">_xlfn.IFS(orders[[#This Row],[Customer Gender]]="M","Male", orders[[#This Row],[Customer Gender]]="F","Female", orders[[#This Row],[Customer Gender]]="O","Other", TRUE,"Unknown")</f>
        <v>Female</v>
      </c>
    </row>
    <row r="1940" spans="1:15" x14ac:dyDescent="0.2">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f t="array" ref="O1940">_xlfn.IFS(orders[[#This Row],[Customer Gender]]="M","Male", orders[[#This Row],[Customer Gender]]="F","Female", orders[[#This Row],[Customer Gender]]="O","Other", TRUE,"Unknown")</f>
        <v>Male</v>
      </c>
    </row>
    <row r="1941" spans="1:15" x14ac:dyDescent="0.2">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f t="array" ref="O1941">_xlfn.IFS(orders[[#This Row],[Customer Gender]]="M","Male", orders[[#This Row],[Customer Gender]]="F","Female", orders[[#This Row],[Customer Gender]]="O","Other", TRUE,"Unknown")</f>
        <v>Male</v>
      </c>
    </row>
    <row r="1942" spans="1:15" x14ac:dyDescent="0.2">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f t="array" ref="O1942">_xlfn.IFS(orders[[#This Row],[Customer Gender]]="M","Male", orders[[#This Row],[Customer Gender]]="F","Female", orders[[#This Row],[Customer Gender]]="O","Other", TRUE,"Unknown")</f>
        <v>Male</v>
      </c>
    </row>
    <row r="1943" spans="1:15" x14ac:dyDescent="0.2">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f t="array" ref="O1943">_xlfn.IFS(orders[[#This Row],[Customer Gender]]="M","Male", orders[[#This Row],[Customer Gender]]="F","Female", orders[[#This Row],[Customer Gender]]="O","Other", TRUE,"Unknown")</f>
        <v>Female</v>
      </c>
    </row>
    <row r="1944" spans="1:15" x14ac:dyDescent="0.2">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f t="array" ref="O1944">_xlfn.IFS(orders[[#This Row],[Customer Gender]]="M","Male", orders[[#This Row],[Customer Gender]]="F","Female", orders[[#This Row],[Customer Gender]]="O","Other", TRUE,"Unknown")</f>
        <v>Male</v>
      </c>
    </row>
    <row r="1945" spans="1:15" x14ac:dyDescent="0.2">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f t="array" ref="O1945">_xlfn.IFS(orders[[#This Row],[Customer Gender]]="M","Male", orders[[#This Row],[Customer Gender]]="F","Female", orders[[#This Row],[Customer Gender]]="O","Other", TRUE,"Unknown")</f>
        <v>Male</v>
      </c>
    </row>
    <row r="1946" spans="1:15" x14ac:dyDescent="0.2">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f t="array" ref="O1946">_xlfn.IFS(orders[[#This Row],[Customer Gender]]="M","Male", orders[[#This Row],[Customer Gender]]="F","Female", orders[[#This Row],[Customer Gender]]="O","Other", TRUE,"Unknown")</f>
        <v>Male</v>
      </c>
    </row>
    <row r="1947" spans="1:15" x14ac:dyDescent="0.2">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f t="array" ref="O1947">_xlfn.IFS(orders[[#This Row],[Customer Gender]]="M","Male", orders[[#This Row],[Customer Gender]]="F","Female", orders[[#This Row],[Customer Gender]]="O","Other", TRUE,"Unknown")</f>
        <v>Male</v>
      </c>
    </row>
    <row r="1948" spans="1:15" x14ac:dyDescent="0.2">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f t="array" ref="O1948">_xlfn.IFS(orders[[#This Row],[Customer Gender]]="M","Male", orders[[#This Row],[Customer Gender]]="F","Female", orders[[#This Row],[Customer Gender]]="O","Other", TRUE,"Unknown")</f>
        <v>Unknown</v>
      </c>
    </row>
    <row r="1949" spans="1:15" x14ac:dyDescent="0.2">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f t="array" ref="O1949">_xlfn.IFS(orders[[#This Row],[Customer Gender]]="M","Male", orders[[#This Row],[Customer Gender]]="F","Female", orders[[#This Row],[Customer Gender]]="O","Other", TRUE,"Unknown")</f>
        <v>Male</v>
      </c>
    </row>
    <row r="1950" spans="1:15" x14ac:dyDescent="0.2">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f t="array" ref="O1950">_xlfn.IFS(orders[[#This Row],[Customer Gender]]="M","Male", orders[[#This Row],[Customer Gender]]="F","Female", orders[[#This Row],[Customer Gender]]="O","Other", TRUE,"Unknown")</f>
        <v>Female</v>
      </c>
    </row>
    <row r="1951" spans="1:15" x14ac:dyDescent="0.2">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f t="array" ref="O1951">_xlfn.IFS(orders[[#This Row],[Customer Gender]]="M","Male", orders[[#This Row],[Customer Gender]]="F","Female", orders[[#This Row],[Customer Gender]]="O","Other", TRUE,"Unknown")</f>
        <v>Female</v>
      </c>
    </row>
    <row r="1952" spans="1:15" x14ac:dyDescent="0.2">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f t="array" ref="O1952">_xlfn.IFS(orders[[#This Row],[Customer Gender]]="M","Male", orders[[#This Row],[Customer Gender]]="F","Female", orders[[#This Row],[Customer Gender]]="O","Other", TRUE,"Unknown")</f>
        <v>Male</v>
      </c>
    </row>
    <row r="1953" spans="1:15" x14ac:dyDescent="0.2">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f t="array" ref="O1953">_xlfn.IFS(orders[[#This Row],[Customer Gender]]="M","Male", orders[[#This Row],[Customer Gender]]="F","Female", orders[[#This Row],[Customer Gender]]="O","Other", TRUE,"Unknown")</f>
        <v>Female</v>
      </c>
    </row>
    <row r="1954" spans="1:15" x14ac:dyDescent="0.2">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f t="array" ref="O1954">_xlfn.IFS(orders[[#This Row],[Customer Gender]]="M","Male", orders[[#This Row],[Customer Gender]]="F","Female", orders[[#This Row],[Customer Gender]]="O","Other", TRUE,"Unknown")</f>
        <v>Male</v>
      </c>
    </row>
    <row r="1955" spans="1:15" x14ac:dyDescent="0.2">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f t="array" ref="O1955">_xlfn.IFS(orders[[#This Row],[Customer Gender]]="M","Male", orders[[#This Row],[Customer Gender]]="F","Female", orders[[#This Row],[Customer Gender]]="O","Other", TRUE,"Unknown")</f>
        <v>Male</v>
      </c>
    </row>
    <row r="1956" spans="1:15" x14ac:dyDescent="0.2">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f t="array" ref="O1956">_xlfn.IFS(orders[[#This Row],[Customer Gender]]="M","Male", orders[[#This Row],[Customer Gender]]="F","Female", orders[[#This Row],[Customer Gender]]="O","Other", TRUE,"Unknown")</f>
        <v>Female</v>
      </c>
    </row>
    <row r="1957" spans="1:15" x14ac:dyDescent="0.2">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f t="array" ref="O1957">_xlfn.IFS(orders[[#This Row],[Customer Gender]]="M","Male", orders[[#This Row],[Customer Gender]]="F","Female", orders[[#This Row],[Customer Gender]]="O","Other", TRUE,"Unknown")</f>
        <v>Female</v>
      </c>
    </row>
    <row r="1958" spans="1:15" x14ac:dyDescent="0.2">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f t="array" ref="O1958">_xlfn.IFS(orders[[#This Row],[Customer Gender]]="M","Male", orders[[#This Row],[Customer Gender]]="F","Female", orders[[#This Row],[Customer Gender]]="O","Other", TRUE,"Unknown")</f>
        <v>Female</v>
      </c>
    </row>
    <row r="1959" spans="1:15" x14ac:dyDescent="0.2">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f t="array" ref="O1959">_xlfn.IFS(orders[[#This Row],[Customer Gender]]="M","Male", orders[[#This Row],[Customer Gender]]="F","Female", orders[[#This Row],[Customer Gender]]="O","Other", TRUE,"Unknown")</f>
        <v>Male</v>
      </c>
    </row>
    <row r="1960" spans="1:15" x14ac:dyDescent="0.2">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f t="array" ref="O1960">_xlfn.IFS(orders[[#This Row],[Customer Gender]]="M","Male", orders[[#This Row],[Customer Gender]]="F","Female", orders[[#This Row],[Customer Gender]]="O","Other", TRUE,"Unknown")</f>
        <v>Female</v>
      </c>
    </row>
    <row r="1961" spans="1:15" x14ac:dyDescent="0.2">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f t="array" ref="O1961">_xlfn.IFS(orders[[#This Row],[Customer Gender]]="M","Male", orders[[#This Row],[Customer Gender]]="F","Female", orders[[#This Row],[Customer Gender]]="O","Other", TRUE,"Unknown")</f>
        <v>Male</v>
      </c>
    </row>
    <row r="1962" spans="1:15" x14ac:dyDescent="0.2">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f t="array" ref="O1962">_xlfn.IFS(orders[[#This Row],[Customer Gender]]="M","Male", orders[[#This Row],[Customer Gender]]="F","Female", orders[[#This Row],[Customer Gender]]="O","Other", TRUE,"Unknown")</f>
        <v>Male</v>
      </c>
    </row>
    <row r="1963" spans="1:15" x14ac:dyDescent="0.2">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f t="array" ref="O1963">_xlfn.IFS(orders[[#This Row],[Customer Gender]]="M","Male", orders[[#This Row],[Customer Gender]]="F","Female", orders[[#This Row],[Customer Gender]]="O","Other", TRUE,"Unknown")</f>
        <v>Male</v>
      </c>
    </row>
    <row r="1964" spans="1:15" x14ac:dyDescent="0.2">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f t="array" ref="O1964">_xlfn.IFS(orders[[#This Row],[Customer Gender]]="M","Male", orders[[#This Row],[Customer Gender]]="F","Female", orders[[#This Row],[Customer Gender]]="O","Other", TRUE,"Unknown")</f>
        <v>Female</v>
      </c>
    </row>
    <row r="1965" spans="1:15" x14ac:dyDescent="0.2">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f t="array" ref="O1965">_xlfn.IFS(orders[[#This Row],[Customer Gender]]="M","Male", orders[[#This Row],[Customer Gender]]="F","Female", orders[[#This Row],[Customer Gender]]="O","Other", TRUE,"Unknown")</f>
        <v>Male</v>
      </c>
    </row>
    <row r="1966" spans="1:15" x14ac:dyDescent="0.2">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f t="array" ref="O1966">_xlfn.IFS(orders[[#This Row],[Customer Gender]]="M","Male", orders[[#This Row],[Customer Gender]]="F","Female", orders[[#This Row],[Customer Gender]]="O","Other", TRUE,"Unknown")</f>
        <v>Female</v>
      </c>
    </row>
    <row r="1967" spans="1:15" x14ac:dyDescent="0.2">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f t="array" ref="O1967">_xlfn.IFS(orders[[#This Row],[Customer Gender]]="M","Male", orders[[#This Row],[Customer Gender]]="F","Female", orders[[#This Row],[Customer Gender]]="O","Other", TRUE,"Unknown")</f>
        <v>Male</v>
      </c>
    </row>
    <row r="1968" spans="1:15" x14ac:dyDescent="0.2">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f t="array" ref="O1968">_xlfn.IFS(orders[[#This Row],[Customer Gender]]="M","Male", orders[[#This Row],[Customer Gender]]="F","Female", orders[[#This Row],[Customer Gender]]="O","Other", TRUE,"Unknown")</f>
        <v>Male</v>
      </c>
    </row>
    <row r="1969" spans="1:15" x14ac:dyDescent="0.2">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f t="array" ref="O1969">_xlfn.IFS(orders[[#This Row],[Customer Gender]]="M","Male", orders[[#This Row],[Customer Gender]]="F","Female", orders[[#This Row],[Customer Gender]]="O","Other", TRUE,"Unknown")</f>
        <v>Female</v>
      </c>
    </row>
    <row r="1970" spans="1:15" x14ac:dyDescent="0.2">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f t="array" ref="O1970">_xlfn.IFS(orders[[#This Row],[Customer Gender]]="M","Male", orders[[#This Row],[Customer Gender]]="F","Female", orders[[#This Row],[Customer Gender]]="O","Other", TRUE,"Unknown")</f>
        <v>Other</v>
      </c>
    </row>
    <row r="1971" spans="1:15" x14ac:dyDescent="0.2">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f t="array" ref="O1971">_xlfn.IFS(orders[[#This Row],[Customer Gender]]="M","Male", orders[[#This Row],[Customer Gender]]="F","Female", orders[[#This Row],[Customer Gender]]="O","Other", TRUE,"Unknown")</f>
        <v>Unknown</v>
      </c>
    </row>
    <row r="1972" spans="1:15" x14ac:dyDescent="0.2">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f t="array" ref="O1972">_xlfn.IFS(orders[[#This Row],[Customer Gender]]="M","Male", orders[[#This Row],[Customer Gender]]="F","Female", orders[[#This Row],[Customer Gender]]="O","Other", TRUE,"Unknown")</f>
        <v>Female</v>
      </c>
    </row>
    <row r="1973" spans="1:15" x14ac:dyDescent="0.2">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f t="array" ref="O1973">_xlfn.IFS(orders[[#This Row],[Customer Gender]]="M","Male", orders[[#This Row],[Customer Gender]]="F","Female", orders[[#This Row],[Customer Gender]]="O","Other", TRUE,"Unknown")</f>
        <v>Male</v>
      </c>
    </row>
    <row r="1974" spans="1:15" x14ac:dyDescent="0.2">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f t="array" ref="O1974">_xlfn.IFS(orders[[#This Row],[Customer Gender]]="M","Male", orders[[#This Row],[Customer Gender]]="F","Female", orders[[#This Row],[Customer Gender]]="O","Other", TRUE,"Unknown")</f>
        <v>Male</v>
      </c>
    </row>
    <row r="1975" spans="1:15" x14ac:dyDescent="0.2">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f t="array" ref="O1975">_xlfn.IFS(orders[[#This Row],[Customer Gender]]="M","Male", orders[[#This Row],[Customer Gender]]="F","Female", orders[[#This Row],[Customer Gender]]="O","Other", TRUE,"Unknown")</f>
        <v>Female</v>
      </c>
    </row>
    <row r="1976" spans="1:15" x14ac:dyDescent="0.2">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f t="array" ref="O1976">_xlfn.IFS(orders[[#This Row],[Customer Gender]]="M","Male", orders[[#This Row],[Customer Gender]]="F","Female", orders[[#This Row],[Customer Gender]]="O","Other", TRUE,"Unknown")</f>
        <v>Female</v>
      </c>
    </row>
    <row r="1977" spans="1:15" x14ac:dyDescent="0.2">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f t="array" ref="O1977">_xlfn.IFS(orders[[#This Row],[Customer Gender]]="M","Male", orders[[#This Row],[Customer Gender]]="F","Female", orders[[#This Row],[Customer Gender]]="O","Other", TRUE,"Unknown")</f>
        <v>Male</v>
      </c>
    </row>
    <row r="1978" spans="1:15" x14ac:dyDescent="0.2">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f t="array" ref="O1978">_xlfn.IFS(orders[[#This Row],[Customer Gender]]="M","Male", orders[[#This Row],[Customer Gender]]="F","Female", orders[[#This Row],[Customer Gender]]="O","Other", TRUE,"Unknown")</f>
        <v>Male</v>
      </c>
    </row>
    <row r="1979" spans="1:15" x14ac:dyDescent="0.2">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f t="array" ref="O1979">_xlfn.IFS(orders[[#This Row],[Customer Gender]]="M","Male", orders[[#This Row],[Customer Gender]]="F","Female", orders[[#This Row],[Customer Gender]]="O","Other", TRUE,"Unknown")</f>
        <v>Other</v>
      </c>
    </row>
    <row r="1980" spans="1:15" x14ac:dyDescent="0.2">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f t="array" ref="O1980">_xlfn.IFS(orders[[#This Row],[Customer Gender]]="M","Male", orders[[#This Row],[Customer Gender]]="F","Female", orders[[#This Row],[Customer Gender]]="O","Other", TRUE,"Unknown")</f>
        <v>Male</v>
      </c>
    </row>
    <row r="1981" spans="1:15" x14ac:dyDescent="0.2">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f t="array" ref="O1981">_xlfn.IFS(orders[[#This Row],[Customer Gender]]="M","Male", orders[[#This Row],[Customer Gender]]="F","Female", orders[[#This Row],[Customer Gender]]="O","Other", TRUE,"Unknown")</f>
        <v>Male</v>
      </c>
    </row>
    <row r="1982" spans="1:15" x14ac:dyDescent="0.2">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f t="array" ref="O1982">_xlfn.IFS(orders[[#This Row],[Customer Gender]]="M","Male", orders[[#This Row],[Customer Gender]]="F","Female", orders[[#This Row],[Customer Gender]]="O","Other", TRUE,"Unknown")</f>
        <v>Female</v>
      </c>
    </row>
    <row r="1983" spans="1:15" x14ac:dyDescent="0.2">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f t="array" ref="O1983">_xlfn.IFS(orders[[#This Row],[Customer Gender]]="M","Male", orders[[#This Row],[Customer Gender]]="F","Female", orders[[#This Row],[Customer Gender]]="O","Other", TRUE,"Unknown")</f>
        <v>Female</v>
      </c>
    </row>
    <row r="1984" spans="1:15" x14ac:dyDescent="0.2">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f t="array" ref="O1984">_xlfn.IFS(orders[[#This Row],[Customer Gender]]="M","Male", orders[[#This Row],[Customer Gender]]="F","Female", orders[[#This Row],[Customer Gender]]="O","Other", TRUE,"Unknown")</f>
        <v>Male</v>
      </c>
    </row>
    <row r="1985" spans="1:15" x14ac:dyDescent="0.2">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f t="array" ref="O1985">_xlfn.IFS(orders[[#This Row],[Customer Gender]]="M","Male", orders[[#This Row],[Customer Gender]]="F","Female", orders[[#This Row],[Customer Gender]]="O","Other", TRUE,"Unknown")</f>
        <v>Female</v>
      </c>
    </row>
    <row r="1986" spans="1:15" x14ac:dyDescent="0.2">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f t="array" ref="O1986">_xlfn.IFS(orders[[#This Row],[Customer Gender]]="M","Male", orders[[#This Row],[Customer Gender]]="F","Female", orders[[#This Row],[Customer Gender]]="O","Other", TRUE,"Unknown")</f>
        <v>Female</v>
      </c>
    </row>
    <row r="1987" spans="1:15" x14ac:dyDescent="0.2">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f t="array" ref="O1987">_xlfn.IFS(orders[[#This Row],[Customer Gender]]="M","Male", orders[[#This Row],[Customer Gender]]="F","Female", orders[[#This Row],[Customer Gender]]="O","Other", TRUE,"Unknown")</f>
        <v>Female</v>
      </c>
    </row>
    <row r="1988" spans="1:15" x14ac:dyDescent="0.2">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f t="array" ref="O1988">_xlfn.IFS(orders[[#This Row],[Customer Gender]]="M","Male", orders[[#This Row],[Customer Gender]]="F","Female", orders[[#This Row],[Customer Gender]]="O","Other", TRUE,"Unknown")</f>
        <v>Male</v>
      </c>
    </row>
    <row r="1989" spans="1:15" x14ac:dyDescent="0.2">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f t="array" ref="O1989">_xlfn.IFS(orders[[#This Row],[Customer Gender]]="M","Male", orders[[#This Row],[Customer Gender]]="F","Female", orders[[#This Row],[Customer Gender]]="O","Other", TRUE,"Unknown")</f>
        <v>Unknown</v>
      </c>
    </row>
    <row r="1990" spans="1:15" x14ac:dyDescent="0.2">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f t="array" ref="O1990">_xlfn.IFS(orders[[#This Row],[Customer Gender]]="M","Male", orders[[#This Row],[Customer Gender]]="F","Female", orders[[#This Row],[Customer Gender]]="O","Other", TRUE,"Unknown")</f>
        <v>Female</v>
      </c>
    </row>
    <row r="1991" spans="1:15" x14ac:dyDescent="0.2">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f t="array" ref="O1991">_xlfn.IFS(orders[[#This Row],[Customer Gender]]="M","Male", orders[[#This Row],[Customer Gender]]="F","Female", orders[[#This Row],[Customer Gender]]="O","Other", TRUE,"Unknown")</f>
        <v>Unknown</v>
      </c>
    </row>
    <row r="1992" spans="1:15" x14ac:dyDescent="0.2">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f t="array" ref="O1992">_xlfn.IFS(orders[[#This Row],[Customer Gender]]="M","Male", orders[[#This Row],[Customer Gender]]="F","Female", orders[[#This Row],[Customer Gender]]="O","Other", TRUE,"Unknown")</f>
        <v>Unknown</v>
      </c>
    </row>
    <row r="1993" spans="1:15" x14ac:dyDescent="0.2">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f t="array" ref="O1993">_xlfn.IFS(orders[[#This Row],[Customer Gender]]="M","Male", orders[[#This Row],[Customer Gender]]="F","Female", orders[[#This Row],[Customer Gender]]="O","Other", TRUE,"Unknown")</f>
        <v>Female</v>
      </c>
    </row>
    <row r="1994" spans="1:15" x14ac:dyDescent="0.2">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f t="array" ref="O1994">_xlfn.IFS(orders[[#This Row],[Customer Gender]]="M","Male", orders[[#This Row],[Customer Gender]]="F","Female", orders[[#This Row],[Customer Gender]]="O","Other", TRUE,"Unknown")</f>
        <v>Female</v>
      </c>
    </row>
    <row r="1995" spans="1:15" x14ac:dyDescent="0.2">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f t="array" ref="O1995">_xlfn.IFS(orders[[#This Row],[Customer Gender]]="M","Male", orders[[#This Row],[Customer Gender]]="F","Female", orders[[#This Row],[Customer Gender]]="O","Other", TRUE,"Unknown")</f>
        <v>Male</v>
      </c>
    </row>
    <row r="1996" spans="1:15" x14ac:dyDescent="0.2">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f t="array" ref="O1996">_xlfn.IFS(orders[[#This Row],[Customer Gender]]="M","Male", orders[[#This Row],[Customer Gender]]="F","Female", orders[[#This Row],[Customer Gender]]="O","Other", TRUE,"Unknown")</f>
        <v>Male</v>
      </c>
    </row>
    <row r="1997" spans="1:15" x14ac:dyDescent="0.2">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f t="array" ref="O1997">_xlfn.IFS(orders[[#This Row],[Customer Gender]]="M","Male", orders[[#This Row],[Customer Gender]]="F","Female", orders[[#This Row],[Customer Gender]]="O","Other", TRUE,"Unknown")</f>
        <v>Female</v>
      </c>
    </row>
    <row r="1998" spans="1:15" x14ac:dyDescent="0.2">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f t="array" ref="O1998">_xlfn.IFS(orders[[#This Row],[Customer Gender]]="M","Male", orders[[#This Row],[Customer Gender]]="F","Female", orders[[#This Row],[Customer Gender]]="O","Other", TRUE,"Unknown")</f>
        <v>Female</v>
      </c>
    </row>
    <row r="1999" spans="1:15" x14ac:dyDescent="0.2">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f t="array" ref="O1999">_xlfn.IFS(orders[[#This Row],[Customer Gender]]="M","Male", orders[[#This Row],[Customer Gender]]="F","Female", orders[[#This Row],[Customer Gender]]="O","Other", TRUE,"Unknown")</f>
        <v>Male</v>
      </c>
    </row>
    <row r="2000" spans="1:15" x14ac:dyDescent="0.2">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f t="array" ref="O2000">_xlfn.IFS(orders[[#This Row],[Customer Gender]]="M","Male", orders[[#This Row],[Customer Gender]]="F","Female", orders[[#This Row],[Customer Gender]]="O","Other", TRUE,"Unknown")</f>
        <v>Male</v>
      </c>
    </row>
    <row r="2001" spans="1:15" x14ac:dyDescent="0.2">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f t="array" ref="O2001">_xlfn.IFS(orders[[#This Row],[Customer Gender]]="M","Male", orders[[#This Row],[Customer Gender]]="F","Female", orders[[#This Row],[Customer Gender]]="O","Other", TRUE,"Unknown")</f>
        <v>Male</v>
      </c>
    </row>
    <row r="2002" spans="1:15" x14ac:dyDescent="0.2">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f t="array" ref="O2002">_xlfn.IFS(orders[[#This Row],[Customer Gender]]="M","Male", orders[[#This Row],[Customer Gender]]="F","Female", orders[[#This Row],[Customer Gender]]="O","Other", TRUE,"Unknown")</f>
        <v>Female</v>
      </c>
    </row>
    <row r="2003" spans="1:15" x14ac:dyDescent="0.2">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f t="array" ref="O2003">_xlfn.IFS(orders[[#This Row],[Customer Gender]]="M","Male", orders[[#This Row],[Customer Gender]]="F","Female", orders[[#This Row],[Customer Gender]]="O","Other", TRUE,"Unknown")</f>
        <v>Male</v>
      </c>
    </row>
    <row r="2004" spans="1:15" x14ac:dyDescent="0.2">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f t="array" ref="O2004">_xlfn.IFS(orders[[#This Row],[Customer Gender]]="M","Male", orders[[#This Row],[Customer Gender]]="F","Female", orders[[#This Row],[Customer Gender]]="O","Other", TRUE,"Unknown")</f>
        <v>Other</v>
      </c>
    </row>
    <row r="2005" spans="1:15" x14ac:dyDescent="0.2">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f t="array" ref="O2005">_xlfn.IFS(orders[[#This Row],[Customer Gender]]="M","Male", orders[[#This Row],[Customer Gender]]="F","Female", orders[[#This Row],[Customer Gender]]="O","Other", TRUE,"Unknown")</f>
        <v>Unknown</v>
      </c>
    </row>
    <row r="2006" spans="1:15" x14ac:dyDescent="0.2">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f t="array" ref="O2006">_xlfn.IFS(orders[[#This Row],[Customer Gender]]="M","Male", orders[[#This Row],[Customer Gender]]="F","Female", orders[[#This Row],[Customer Gender]]="O","Other", TRUE,"Unknown")</f>
        <v>Female</v>
      </c>
    </row>
    <row r="2007" spans="1:15" x14ac:dyDescent="0.2">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f t="array" ref="O2007">_xlfn.IFS(orders[[#This Row],[Customer Gender]]="M","Male", orders[[#This Row],[Customer Gender]]="F","Female", orders[[#This Row],[Customer Gender]]="O","Other", TRUE,"Unknown")</f>
        <v>Unknown</v>
      </c>
    </row>
    <row r="2008" spans="1:15" x14ac:dyDescent="0.2">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f t="array" ref="O2008">_xlfn.IFS(orders[[#This Row],[Customer Gender]]="M","Male", orders[[#This Row],[Customer Gender]]="F","Female", orders[[#This Row],[Customer Gender]]="O","Other", TRUE,"Unknown")</f>
        <v>Male</v>
      </c>
    </row>
    <row r="2009" spans="1:15" x14ac:dyDescent="0.2">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f t="array" ref="O2009">_xlfn.IFS(orders[[#This Row],[Customer Gender]]="M","Male", orders[[#This Row],[Customer Gender]]="F","Female", orders[[#This Row],[Customer Gender]]="O","Other", TRUE,"Unknown")</f>
        <v>Male</v>
      </c>
    </row>
    <row r="2010" spans="1:15" x14ac:dyDescent="0.2">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f t="array" ref="O2010">_xlfn.IFS(orders[[#This Row],[Customer Gender]]="M","Male", orders[[#This Row],[Customer Gender]]="F","Female", orders[[#This Row],[Customer Gender]]="O","Other", TRUE,"Unknown")</f>
        <v>Female</v>
      </c>
    </row>
    <row r="2011" spans="1:15" x14ac:dyDescent="0.2">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f t="array" ref="O2011">_xlfn.IFS(orders[[#This Row],[Customer Gender]]="M","Male", orders[[#This Row],[Customer Gender]]="F","Female", orders[[#This Row],[Customer Gender]]="O","Other", TRUE,"Unknown")</f>
        <v>Female</v>
      </c>
    </row>
    <row r="2012" spans="1:15" x14ac:dyDescent="0.2">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f t="array" ref="O2012">_xlfn.IFS(orders[[#This Row],[Customer Gender]]="M","Male", orders[[#This Row],[Customer Gender]]="F","Female", orders[[#This Row],[Customer Gender]]="O","Other", TRUE,"Unknown")</f>
        <v>Female</v>
      </c>
    </row>
    <row r="2013" spans="1:15" x14ac:dyDescent="0.2">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f t="array" ref="O2013">_xlfn.IFS(orders[[#This Row],[Customer Gender]]="M","Male", orders[[#This Row],[Customer Gender]]="F","Female", orders[[#This Row],[Customer Gender]]="O","Other", TRUE,"Unknown")</f>
        <v>Female</v>
      </c>
    </row>
    <row r="2014" spans="1:15" x14ac:dyDescent="0.2">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f t="array" ref="O2014">_xlfn.IFS(orders[[#This Row],[Customer Gender]]="M","Male", orders[[#This Row],[Customer Gender]]="F","Female", orders[[#This Row],[Customer Gender]]="O","Other", TRUE,"Unknown")</f>
        <v>Male</v>
      </c>
    </row>
    <row r="2015" spans="1:15" x14ac:dyDescent="0.2">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f t="array" ref="O2015">_xlfn.IFS(orders[[#This Row],[Customer Gender]]="M","Male", orders[[#This Row],[Customer Gender]]="F","Female", orders[[#This Row],[Customer Gender]]="O","Other", TRUE,"Unknown")</f>
        <v>Unknown</v>
      </c>
    </row>
    <row r="2016" spans="1:15" x14ac:dyDescent="0.2">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f t="array" ref="O2016">_xlfn.IFS(orders[[#This Row],[Customer Gender]]="M","Male", orders[[#This Row],[Customer Gender]]="F","Female", orders[[#This Row],[Customer Gender]]="O","Other", TRUE,"Unknown")</f>
        <v>Male</v>
      </c>
    </row>
    <row r="2017" spans="1:15" x14ac:dyDescent="0.2">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f t="array" ref="O2017">_xlfn.IFS(orders[[#This Row],[Customer Gender]]="M","Male", orders[[#This Row],[Customer Gender]]="F","Female", orders[[#This Row],[Customer Gender]]="O","Other", TRUE,"Unknown")</f>
        <v>Unknown</v>
      </c>
    </row>
    <row r="2018" spans="1:15" x14ac:dyDescent="0.2">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f t="array" ref="O2018">_xlfn.IFS(orders[[#This Row],[Customer Gender]]="M","Male", orders[[#This Row],[Customer Gender]]="F","Female", orders[[#This Row],[Customer Gender]]="O","Other", TRUE,"Unknown")</f>
        <v>Female</v>
      </c>
    </row>
    <row r="2019" spans="1:15" x14ac:dyDescent="0.2">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f t="array" ref="O2019">_xlfn.IFS(orders[[#This Row],[Customer Gender]]="M","Male", orders[[#This Row],[Customer Gender]]="F","Female", orders[[#This Row],[Customer Gender]]="O","Other", TRUE,"Unknown")</f>
        <v>Male</v>
      </c>
    </row>
    <row r="2020" spans="1:15" x14ac:dyDescent="0.2">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f t="array" ref="O2020">_xlfn.IFS(orders[[#This Row],[Customer Gender]]="M","Male", orders[[#This Row],[Customer Gender]]="F","Female", orders[[#This Row],[Customer Gender]]="O","Other", TRUE,"Unknown")</f>
        <v>Female</v>
      </c>
    </row>
    <row r="2021" spans="1:15" x14ac:dyDescent="0.2">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f t="array" ref="O2021">_xlfn.IFS(orders[[#This Row],[Customer Gender]]="M","Male", orders[[#This Row],[Customer Gender]]="F","Female", orders[[#This Row],[Customer Gender]]="O","Other", TRUE,"Unknown")</f>
        <v>Unknown</v>
      </c>
    </row>
    <row r="2022" spans="1:15" x14ac:dyDescent="0.2">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f t="array" ref="O2022">_xlfn.IFS(orders[[#This Row],[Customer Gender]]="M","Male", orders[[#This Row],[Customer Gender]]="F","Female", orders[[#This Row],[Customer Gender]]="O","Other", TRUE,"Unknown")</f>
        <v>Female</v>
      </c>
    </row>
    <row r="2023" spans="1:15" x14ac:dyDescent="0.2">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f t="array" ref="O2023">_xlfn.IFS(orders[[#This Row],[Customer Gender]]="M","Male", orders[[#This Row],[Customer Gender]]="F","Female", orders[[#This Row],[Customer Gender]]="O","Other", TRUE,"Unknown")</f>
        <v>Male</v>
      </c>
    </row>
    <row r="2024" spans="1:15" x14ac:dyDescent="0.2">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f t="array" ref="O2024">_xlfn.IFS(orders[[#This Row],[Customer Gender]]="M","Male", orders[[#This Row],[Customer Gender]]="F","Female", orders[[#This Row],[Customer Gender]]="O","Other", TRUE,"Unknown")</f>
        <v>Other</v>
      </c>
    </row>
    <row r="2025" spans="1:15" x14ac:dyDescent="0.2">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f t="array" ref="O2025">_xlfn.IFS(orders[[#This Row],[Customer Gender]]="M","Male", orders[[#This Row],[Customer Gender]]="F","Female", orders[[#This Row],[Customer Gender]]="O","Other", TRUE,"Unknown")</f>
        <v>Female</v>
      </c>
    </row>
    <row r="2026" spans="1:15" x14ac:dyDescent="0.2">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f t="array" ref="O2026">_xlfn.IFS(orders[[#This Row],[Customer Gender]]="M","Male", orders[[#This Row],[Customer Gender]]="F","Female", orders[[#This Row],[Customer Gender]]="O","Other", TRUE,"Unknown")</f>
        <v>Male</v>
      </c>
    </row>
    <row r="2027" spans="1:15" x14ac:dyDescent="0.2">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f t="array" ref="O2027">_xlfn.IFS(orders[[#This Row],[Customer Gender]]="M","Male", orders[[#This Row],[Customer Gender]]="F","Female", orders[[#This Row],[Customer Gender]]="O","Other", TRUE,"Unknown")</f>
        <v>Male</v>
      </c>
    </row>
    <row r="2028" spans="1:15" x14ac:dyDescent="0.2">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f t="array" ref="O2028">_xlfn.IFS(orders[[#This Row],[Customer Gender]]="M","Male", orders[[#This Row],[Customer Gender]]="F","Female", orders[[#This Row],[Customer Gender]]="O","Other", TRUE,"Unknown")</f>
        <v>Female</v>
      </c>
    </row>
    <row r="2029" spans="1:15" x14ac:dyDescent="0.2">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f t="array" ref="O2029">_xlfn.IFS(orders[[#This Row],[Customer Gender]]="M","Male", orders[[#This Row],[Customer Gender]]="F","Female", orders[[#This Row],[Customer Gender]]="O","Other", TRUE,"Unknown")</f>
        <v>Female</v>
      </c>
    </row>
    <row r="2030" spans="1:15" x14ac:dyDescent="0.2">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f t="array" ref="O2030">_xlfn.IFS(orders[[#This Row],[Customer Gender]]="M","Male", orders[[#This Row],[Customer Gender]]="F","Female", orders[[#This Row],[Customer Gender]]="O","Other", TRUE,"Unknown")</f>
        <v>Male</v>
      </c>
    </row>
    <row r="2031" spans="1:15" x14ac:dyDescent="0.2">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f t="array" ref="O2031">_xlfn.IFS(orders[[#This Row],[Customer Gender]]="M","Male", orders[[#This Row],[Customer Gender]]="F","Female", orders[[#This Row],[Customer Gender]]="O","Other", TRUE,"Unknown")</f>
        <v>Female</v>
      </c>
    </row>
    <row r="2032" spans="1:15" x14ac:dyDescent="0.2">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f t="array" ref="O2032">_xlfn.IFS(orders[[#This Row],[Customer Gender]]="M","Male", orders[[#This Row],[Customer Gender]]="F","Female", orders[[#This Row],[Customer Gender]]="O","Other", TRUE,"Unknown")</f>
        <v>Female</v>
      </c>
    </row>
    <row r="2033" spans="1:15" x14ac:dyDescent="0.2">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f t="array" ref="O2033">_xlfn.IFS(orders[[#This Row],[Customer Gender]]="M","Male", orders[[#This Row],[Customer Gender]]="F","Female", orders[[#This Row],[Customer Gender]]="O","Other", TRUE,"Unknown")</f>
        <v>Male</v>
      </c>
    </row>
    <row r="2034" spans="1:15" x14ac:dyDescent="0.2">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f t="array" ref="O2034">_xlfn.IFS(orders[[#This Row],[Customer Gender]]="M","Male", orders[[#This Row],[Customer Gender]]="F","Female", orders[[#This Row],[Customer Gender]]="O","Other", TRUE,"Unknown")</f>
        <v>Male</v>
      </c>
    </row>
    <row r="2035" spans="1:15" x14ac:dyDescent="0.2">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f t="array" ref="O2035">_xlfn.IFS(orders[[#This Row],[Customer Gender]]="M","Male", orders[[#This Row],[Customer Gender]]="F","Female", orders[[#This Row],[Customer Gender]]="O","Other", TRUE,"Unknown")</f>
        <v>Female</v>
      </c>
    </row>
    <row r="2036" spans="1:15" x14ac:dyDescent="0.2">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f t="array" ref="O2036">_xlfn.IFS(orders[[#This Row],[Customer Gender]]="M","Male", orders[[#This Row],[Customer Gender]]="F","Female", orders[[#This Row],[Customer Gender]]="O","Other", TRUE,"Unknown")</f>
        <v>Female</v>
      </c>
    </row>
    <row r="2037" spans="1:15" x14ac:dyDescent="0.2">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f t="array" ref="O2037">_xlfn.IFS(orders[[#This Row],[Customer Gender]]="M","Male", orders[[#This Row],[Customer Gender]]="F","Female", orders[[#This Row],[Customer Gender]]="O","Other", TRUE,"Unknown")</f>
        <v>Female</v>
      </c>
    </row>
    <row r="2038" spans="1:15" x14ac:dyDescent="0.2">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f t="array" ref="O2038">_xlfn.IFS(orders[[#This Row],[Customer Gender]]="M","Male", orders[[#This Row],[Customer Gender]]="F","Female", orders[[#This Row],[Customer Gender]]="O","Other", TRUE,"Unknown")</f>
        <v>Male</v>
      </c>
    </row>
    <row r="2039" spans="1:15" x14ac:dyDescent="0.2">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f t="array" ref="O2039">_xlfn.IFS(orders[[#This Row],[Customer Gender]]="M","Male", orders[[#This Row],[Customer Gender]]="F","Female", orders[[#This Row],[Customer Gender]]="O","Other", TRUE,"Unknown")</f>
        <v>Male</v>
      </c>
    </row>
    <row r="2040" spans="1:15" x14ac:dyDescent="0.2">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f t="array" ref="O2040">_xlfn.IFS(orders[[#This Row],[Customer Gender]]="M","Male", orders[[#This Row],[Customer Gender]]="F","Female", orders[[#This Row],[Customer Gender]]="O","Other", TRUE,"Unknown")</f>
        <v>Male</v>
      </c>
    </row>
    <row r="2041" spans="1:15" x14ac:dyDescent="0.2">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f t="array" ref="O2041">_xlfn.IFS(orders[[#This Row],[Customer Gender]]="M","Male", orders[[#This Row],[Customer Gender]]="F","Female", orders[[#This Row],[Customer Gender]]="O","Other", TRUE,"Unknown")</f>
        <v>Male</v>
      </c>
    </row>
    <row r="2042" spans="1:15" x14ac:dyDescent="0.2">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f t="array" ref="O2042">_xlfn.IFS(orders[[#This Row],[Customer Gender]]="M","Male", orders[[#This Row],[Customer Gender]]="F","Female", orders[[#This Row],[Customer Gender]]="O","Other", TRUE,"Unknown")</f>
        <v>Male</v>
      </c>
    </row>
    <row r="2043" spans="1:15" x14ac:dyDescent="0.2">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f t="array" ref="O2043">_xlfn.IFS(orders[[#This Row],[Customer Gender]]="M","Male", orders[[#This Row],[Customer Gender]]="F","Female", orders[[#This Row],[Customer Gender]]="O","Other", TRUE,"Unknown")</f>
        <v>Male</v>
      </c>
    </row>
    <row r="2044" spans="1:15" x14ac:dyDescent="0.2">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f t="array" ref="O2044">_xlfn.IFS(orders[[#This Row],[Customer Gender]]="M","Male", orders[[#This Row],[Customer Gender]]="F","Female", orders[[#This Row],[Customer Gender]]="O","Other", TRUE,"Unknown")</f>
        <v>Female</v>
      </c>
    </row>
    <row r="2045" spans="1:15" x14ac:dyDescent="0.2">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f t="array" ref="O2045">_xlfn.IFS(orders[[#This Row],[Customer Gender]]="M","Male", orders[[#This Row],[Customer Gender]]="F","Female", orders[[#This Row],[Customer Gender]]="O","Other", TRUE,"Unknown")</f>
        <v>Female</v>
      </c>
    </row>
    <row r="2046" spans="1:15" x14ac:dyDescent="0.2">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f t="array" ref="O2046">_xlfn.IFS(orders[[#This Row],[Customer Gender]]="M","Male", orders[[#This Row],[Customer Gender]]="F","Female", orders[[#This Row],[Customer Gender]]="O","Other", TRUE,"Unknown")</f>
        <v>Male</v>
      </c>
    </row>
    <row r="2047" spans="1:15" x14ac:dyDescent="0.2">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f t="array" ref="O2047">_xlfn.IFS(orders[[#This Row],[Customer Gender]]="M","Male", orders[[#This Row],[Customer Gender]]="F","Female", orders[[#This Row],[Customer Gender]]="O","Other", TRUE,"Unknown")</f>
        <v>Female</v>
      </c>
    </row>
    <row r="2048" spans="1:15" x14ac:dyDescent="0.2">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f t="array" ref="O2048">_xlfn.IFS(orders[[#This Row],[Customer Gender]]="M","Male", orders[[#This Row],[Customer Gender]]="F","Female", orders[[#This Row],[Customer Gender]]="O","Other", TRUE,"Unknown")</f>
        <v>Female</v>
      </c>
    </row>
    <row r="2049" spans="1:15" x14ac:dyDescent="0.2">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f t="array" ref="O2049">_xlfn.IFS(orders[[#This Row],[Customer Gender]]="M","Male", orders[[#This Row],[Customer Gender]]="F","Female", orders[[#This Row],[Customer Gender]]="O","Other", TRUE,"Unknown")</f>
        <v>Male</v>
      </c>
    </row>
    <row r="2050" spans="1:15" x14ac:dyDescent="0.2">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f t="array" ref="O2050">_xlfn.IFS(orders[[#This Row],[Customer Gender]]="M","Male", orders[[#This Row],[Customer Gender]]="F","Female", orders[[#This Row],[Customer Gender]]="O","Other", TRUE,"Unknown")</f>
        <v>Female</v>
      </c>
    </row>
    <row r="2051" spans="1:15" x14ac:dyDescent="0.2">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f t="array" ref="O2051">_xlfn.IFS(orders[[#This Row],[Customer Gender]]="M","Male", orders[[#This Row],[Customer Gender]]="F","Female", orders[[#This Row],[Customer Gender]]="O","Other", TRUE,"Unknown")</f>
        <v>Female</v>
      </c>
    </row>
    <row r="2052" spans="1:15" x14ac:dyDescent="0.2">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f t="array" ref="O2052">_xlfn.IFS(orders[[#This Row],[Customer Gender]]="M","Male", orders[[#This Row],[Customer Gender]]="F","Female", orders[[#This Row],[Customer Gender]]="O","Other", TRUE,"Unknown")</f>
        <v>Female</v>
      </c>
    </row>
    <row r="2053" spans="1:15" x14ac:dyDescent="0.2">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f t="array" ref="O2053">_xlfn.IFS(orders[[#This Row],[Customer Gender]]="M","Male", orders[[#This Row],[Customer Gender]]="F","Female", orders[[#This Row],[Customer Gender]]="O","Other", TRUE,"Unknown")</f>
        <v>Male</v>
      </c>
    </row>
    <row r="2054" spans="1:15" x14ac:dyDescent="0.2">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f t="array" ref="O2054">_xlfn.IFS(orders[[#This Row],[Customer Gender]]="M","Male", orders[[#This Row],[Customer Gender]]="F","Female", orders[[#This Row],[Customer Gender]]="O","Other", TRUE,"Unknown")</f>
        <v>Male</v>
      </c>
    </row>
    <row r="2055" spans="1:15" x14ac:dyDescent="0.2">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f t="array" ref="O2055">_xlfn.IFS(orders[[#This Row],[Customer Gender]]="M","Male", orders[[#This Row],[Customer Gender]]="F","Female", orders[[#This Row],[Customer Gender]]="O","Other", TRUE,"Unknown")</f>
        <v>Female</v>
      </c>
    </row>
    <row r="2056" spans="1:15" x14ac:dyDescent="0.2">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f t="array" ref="O2056">_xlfn.IFS(orders[[#This Row],[Customer Gender]]="M","Male", orders[[#This Row],[Customer Gender]]="F","Female", orders[[#This Row],[Customer Gender]]="O","Other", TRUE,"Unknown")</f>
        <v>Female</v>
      </c>
    </row>
    <row r="2057" spans="1:15" x14ac:dyDescent="0.2">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f t="array" ref="O2057">_xlfn.IFS(orders[[#This Row],[Customer Gender]]="M","Male", orders[[#This Row],[Customer Gender]]="F","Female", orders[[#This Row],[Customer Gender]]="O","Other", TRUE,"Unknown")</f>
        <v>Male</v>
      </c>
    </row>
    <row r="2058" spans="1:15" x14ac:dyDescent="0.2">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f t="array" ref="O2058">_xlfn.IFS(orders[[#This Row],[Customer Gender]]="M","Male", orders[[#This Row],[Customer Gender]]="F","Female", orders[[#This Row],[Customer Gender]]="O","Other", TRUE,"Unknown")</f>
        <v>Female</v>
      </c>
    </row>
    <row r="2059" spans="1:15" x14ac:dyDescent="0.2">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f t="array" ref="O2059">_xlfn.IFS(orders[[#This Row],[Customer Gender]]="M","Male", orders[[#This Row],[Customer Gender]]="F","Female", orders[[#This Row],[Customer Gender]]="O","Other", TRUE,"Unknown")</f>
        <v>Female</v>
      </c>
    </row>
    <row r="2060" spans="1:15" x14ac:dyDescent="0.2">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f t="array" ref="O2060">_xlfn.IFS(orders[[#This Row],[Customer Gender]]="M","Male", orders[[#This Row],[Customer Gender]]="F","Female", orders[[#This Row],[Customer Gender]]="O","Other", TRUE,"Unknown")</f>
        <v>Male</v>
      </c>
    </row>
    <row r="2061" spans="1:15" x14ac:dyDescent="0.2">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f t="array" ref="O2061">_xlfn.IFS(orders[[#This Row],[Customer Gender]]="M","Male", orders[[#This Row],[Customer Gender]]="F","Female", orders[[#This Row],[Customer Gender]]="O","Other", TRUE,"Unknown")</f>
        <v>Male</v>
      </c>
    </row>
    <row r="2062" spans="1:15" x14ac:dyDescent="0.2">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f t="array" ref="O2062">_xlfn.IFS(orders[[#This Row],[Customer Gender]]="M","Male", orders[[#This Row],[Customer Gender]]="F","Female", orders[[#This Row],[Customer Gender]]="O","Other", TRUE,"Unknown")</f>
        <v>Female</v>
      </c>
    </row>
    <row r="2063" spans="1:15" x14ac:dyDescent="0.2">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f t="array" ref="O2063">_xlfn.IFS(orders[[#This Row],[Customer Gender]]="M","Male", orders[[#This Row],[Customer Gender]]="F","Female", orders[[#This Row],[Customer Gender]]="O","Other", TRUE,"Unknown")</f>
        <v>Female</v>
      </c>
    </row>
    <row r="2064" spans="1:15" x14ac:dyDescent="0.2">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f t="array" ref="O2064">_xlfn.IFS(orders[[#This Row],[Customer Gender]]="M","Male", orders[[#This Row],[Customer Gender]]="F","Female", orders[[#This Row],[Customer Gender]]="O","Other", TRUE,"Unknown")</f>
        <v>Female</v>
      </c>
    </row>
    <row r="2065" spans="1:15" x14ac:dyDescent="0.2">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f t="array" ref="O2065">_xlfn.IFS(orders[[#This Row],[Customer Gender]]="M","Male", orders[[#This Row],[Customer Gender]]="F","Female", orders[[#This Row],[Customer Gender]]="O","Other", TRUE,"Unknown")</f>
        <v>Female</v>
      </c>
    </row>
    <row r="2066" spans="1:15" x14ac:dyDescent="0.2">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f t="array" ref="O2066">_xlfn.IFS(orders[[#This Row],[Customer Gender]]="M","Male", orders[[#This Row],[Customer Gender]]="F","Female", orders[[#This Row],[Customer Gender]]="O","Other", TRUE,"Unknown")</f>
        <v>Male</v>
      </c>
    </row>
    <row r="2067" spans="1:15" x14ac:dyDescent="0.2">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f t="array" ref="O2067">_xlfn.IFS(orders[[#This Row],[Customer Gender]]="M","Male", orders[[#This Row],[Customer Gender]]="F","Female", orders[[#This Row],[Customer Gender]]="O","Other", TRUE,"Unknown")</f>
        <v>Male</v>
      </c>
    </row>
    <row r="2068" spans="1:15" x14ac:dyDescent="0.2">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f t="array" ref="O2068">_xlfn.IFS(orders[[#This Row],[Customer Gender]]="M","Male", orders[[#This Row],[Customer Gender]]="F","Female", orders[[#This Row],[Customer Gender]]="O","Other", TRUE,"Unknown")</f>
        <v>Female</v>
      </c>
    </row>
    <row r="2069" spans="1:15" x14ac:dyDescent="0.2">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f t="array" ref="O2069">_xlfn.IFS(orders[[#This Row],[Customer Gender]]="M","Male", orders[[#This Row],[Customer Gender]]="F","Female", orders[[#This Row],[Customer Gender]]="O","Other", TRUE,"Unknown")</f>
        <v>Female</v>
      </c>
    </row>
    <row r="2070" spans="1:15" x14ac:dyDescent="0.2">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f t="array" ref="O2070">_xlfn.IFS(orders[[#This Row],[Customer Gender]]="M","Male", orders[[#This Row],[Customer Gender]]="F","Female", orders[[#This Row],[Customer Gender]]="O","Other", TRUE,"Unknown")</f>
        <v>Male</v>
      </c>
    </row>
    <row r="2071" spans="1:15" x14ac:dyDescent="0.2">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f t="array" ref="O2071">_xlfn.IFS(orders[[#This Row],[Customer Gender]]="M","Male", orders[[#This Row],[Customer Gender]]="F","Female", orders[[#This Row],[Customer Gender]]="O","Other", TRUE,"Unknown")</f>
        <v>Female</v>
      </c>
    </row>
    <row r="2072" spans="1:15" x14ac:dyDescent="0.2">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f t="array" ref="O2072">_xlfn.IFS(orders[[#This Row],[Customer Gender]]="M","Male", orders[[#This Row],[Customer Gender]]="F","Female", orders[[#This Row],[Customer Gender]]="O","Other", TRUE,"Unknown")</f>
        <v>Male</v>
      </c>
    </row>
    <row r="2073" spans="1:15" x14ac:dyDescent="0.2">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f t="array" ref="O2073">_xlfn.IFS(orders[[#This Row],[Customer Gender]]="M","Male", orders[[#This Row],[Customer Gender]]="F","Female", orders[[#This Row],[Customer Gender]]="O","Other", TRUE,"Unknown")</f>
        <v>Male</v>
      </c>
    </row>
    <row r="2074" spans="1:15" x14ac:dyDescent="0.2">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f t="array" ref="O2074">_xlfn.IFS(orders[[#This Row],[Customer Gender]]="M","Male", orders[[#This Row],[Customer Gender]]="F","Female", orders[[#This Row],[Customer Gender]]="O","Other", TRUE,"Unknown")</f>
        <v>Male</v>
      </c>
    </row>
    <row r="2075" spans="1:15" x14ac:dyDescent="0.2">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f t="array" ref="O2075">_xlfn.IFS(orders[[#This Row],[Customer Gender]]="M","Male", orders[[#This Row],[Customer Gender]]="F","Female", orders[[#This Row],[Customer Gender]]="O","Other", TRUE,"Unknown")</f>
        <v>Female</v>
      </c>
    </row>
    <row r="2076" spans="1:15" x14ac:dyDescent="0.2">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f t="array" ref="O2076">_xlfn.IFS(orders[[#This Row],[Customer Gender]]="M","Male", orders[[#This Row],[Customer Gender]]="F","Female", orders[[#This Row],[Customer Gender]]="O","Other", TRUE,"Unknown")</f>
        <v>Female</v>
      </c>
    </row>
    <row r="2077" spans="1:15" x14ac:dyDescent="0.2">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f t="array" ref="O2077">_xlfn.IFS(orders[[#This Row],[Customer Gender]]="M","Male", orders[[#This Row],[Customer Gender]]="F","Female", orders[[#This Row],[Customer Gender]]="O","Other", TRUE,"Unknown")</f>
        <v>Male</v>
      </c>
    </row>
    <row r="2078" spans="1:15" x14ac:dyDescent="0.2">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f t="array" ref="O2078">_xlfn.IFS(orders[[#This Row],[Customer Gender]]="M","Male", orders[[#This Row],[Customer Gender]]="F","Female", orders[[#This Row],[Customer Gender]]="O","Other", TRUE,"Unknown")</f>
        <v>Female</v>
      </c>
    </row>
    <row r="2079" spans="1:15" x14ac:dyDescent="0.2">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f t="array" ref="O2079">_xlfn.IFS(orders[[#This Row],[Customer Gender]]="M","Male", orders[[#This Row],[Customer Gender]]="F","Female", orders[[#This Row],[Customer Gender]]="O","Other", TRUE,"Unknown")</f>
        <v>Male</v>
      </c>
    </row>
    <row r="2080" spans="1:15" x14ac:dyDescent="0.2">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f t="array" ref="O2080">_xlfn.IFS(orders[[#This Row],[Customer Gender]]="M","Male", orders[[#This Row],[Customer Gender]]="F","Female", orders[[#This Row],[Customer Gender]]="O","Other", TRUE,"Unknown")</f>
        <v>Female</v>
      </c>
    </row>
    <row r="2081" spans="1:15" x14ac:dyDescent="0.2">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f t="array" ref="O2081">_xlfn.IFS(orders[[#This Row],[Customer Gender]]="M","Male", orders[[#This Row],[Customer Gender]]="F","Female", orders[[#This Row],[Customer Gender]]="O","Other", TRUE,"Unknown")</f>
        <v>Male</v>
      </c>
    </row>
    <row r="2082" spans="1:15" x14ac:dyDescent="0.2">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f t="array" ref="O2082">_xlfn.IFS(orders[[#This Row],[Customer Gender]]="M","Male", orders[[#This Row],[Customer Gender]]="F","Female", orders[[#This Row],[Customer Gender]]="O","Other", TRUE,"Unknown")</f>
        <v>Male</v>
      </c>
    </row>
    <row r="2083" spans="1:15" x14ac:dyDescent="0.2">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f t="array" ref="O2083">_xlfn.IFS(orders[[#This Row],[Customer Gender]]="M","Male", orders[[#This Row],[Customer Gender]]="F","Female", orders[[#This Row],[Customer Gender]]="O","Other", TRUE,"Unknown")</f>
        <v>Female</v>
      </c>
    </row>
    <row r="2084" spans="1:15" x14ac:dyDescent="0.2">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f t="array" ref="O2084">_xlfn.IFS(orders[[#This Row],[Customer Gender]]="M","Male", orders[[#This Row],[Customer Gender]]="F","Female", orders[[#This Row],[Customer Gender]]="O","Other", TRUE,"Unknown")</f>
        <v>Other</v>
      </c>
    </row>
    <row r="2085" spans="1:15" x14ac:dyDescent="0.2">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f t="array" ref="O2085">_xlfn.IFS(orders[[#This Row],[Customer Gender]]="M","Male", orders[[#This Row],[Customer Gender]]="F","Female", orders[[#This Row],[Customer Gender]]="O","Other", TRUE,"Unknown")</f>
        <v>Female</v>
      </c>
    </row>
    <row r="2086" spans="1:15" x14ac:dyDescent="0.2">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f t="array" ref="O2086">_xlfn.IFS(orders[[#This Row],[Customer Gender]]="M","Male", orders[[#This Row],[Customer Gender]]="F","Female", orders[[#This Row],[Customer Gender]]="O","Other", TRUE,"Unknown")</f>
        <v>Female</v>
      </c>
    </row>
    <row r="2087" spans="1:15" x14ac:dyDescent="0.2">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f t="array" ref="O2087">_xlfn.IFS(orders[[#This Row],[Customer Gender]]="M","Male", orders[[#This Row],[Customer Gender]]="F","Female", orders[[#This Row],[Customer Gender]]="O","Other", TRUE,"Unknown")</f>
        <v>Female</v>
      </c>
    </row>
    <row r="2088" spans="1:15" x14ac:dyDescent="0.2">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f t="array" ref="O2088">_xlfn.IFS(orders[[#This Row],[Customer Gender]]="M","Male", orders[[#This Row],[Customer Gender]]="F","Female", orders[[#This Row],[Customer Gender]]="O","Other", TRUE,"Unknown")</f>
        <v>Female</v>
      </c>
    </row>
    <row r="2089" spans="1:15" x14ac:dyDescent="0.2">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f t="array" ref="O2089">_xlfn.IFS(orders[[#This Row],[Customer Gender]]="M","Male", orders[[#This Row],[Customer Gender]]="F","Female", orders[[#This Row],[Customer Gender]]="O","Other", TRUE,"Unknown")</f>
        <v>Male</v>
      </c>
    </row>
    <row r="2090" spans="1:15" x14ac:dyDescent="0.2">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f t="array" ref="O2090">_xlfn.IFS(orders[[#This Row],[Customer Gender]]="M","Male", orders[[#This Row],[Customer Gender]]="F","Female", orders[[#This Row],[Customer Gender]]="O","Other", TRUE,"Unknown")</f>
        <v>Male</v>
      </c>
    </row>
    <row r="2091" spans="1:15" x14ac:dyDescent="0.2">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f t="array" ref="O2091">_xlfn.IFS(orders[[#This Row],[Customer Gender]]="M","Male", orders[[#This Row],[Customer Gender]]="F","Female", orders[[#This Row],[Customer Gender]]="O","Other", TRUE,"Unknown")</f>
        <v>Male</v>
      </c>
    </row>
    <row r="2092" spans="1:15" x14ac:dyDescent="0.2">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f t="array" ref="O2092">_xlfn.IFS(orders[[#This Row],[Customer Gender]]="M","Male", orders[[#This Row],[Customer Gender]]="F","Female", orders[[#This Row],[Customer Gender]]="O","Other", TRUE,"Unknown")</f>
        <v>Female</v>
      </c>
    </row>
    <row r="2093" spans="1:15" x14ac:dyDescent="0.2">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f t="array" ref="O2093">_xlfn.IFS(orders[[#This Row],[Customer Gender]]="M","Male", orders[[#This Row],[Customer Gender]]="F","Female", orders[[#This Row],[Customer Gender]]="O","Other", TRUE,"Unknown")</f>
        <v>Male</v>
      </c>
    </row>
    <row r="2094" spans="1:15" x14ac:dyDescent="0.2">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f t="array" ref="O2094">_xlfn.IFS(orders[[#This Row],[Customer Gender]]="M","Male", orders[[#This Row],[Customer Gender]]="F","Female", orders[[#This Row],[Customer Gender]]="O","Other", TRUE,"Unknown")</f>
        <v>Male</v>
      </c>
    </row>
    <row r="2095" spans="1:15" x14ac:dyDescent="0.2">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f t="array" ref="O2095">_xlfn.IFS(orders[[#This Row],[Customer Gender]]="M","Male", orders[[#This Row],[Customer Gender]]="F","Female", orders[[#This Row],[Customer Gender]]="O","Other", TRUE,"Unknown")</f>
        <v>Male</v>
      </c>
    </row>
    <row r="2096" spans="1:15" x14ac:dyDescent="0.2">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f t="array" ref="O2096">_xlfn.IFS(orders[[#This Row],[Customer Gender]]="M","Male", orders[[#This Row],[Customer Gender]]="F","Female", orders[[#This Row],[Customer Gender]]="O","Other", TRUE,"Unknown")</f>
        <v>Female</v>
      </c>
    </row>
    <row r="2097" spans="1:15" x14ac:dyDescent="0.2">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f t="array" ref="O2097">_xlfn.IFS(orders[[#This Row],[Customer Gender]]="M","Male", orders[[#This Row],[Customer Gender]]="F","Female", orders[[#This Row],[Customer Gender]]="O","Other", TRUE,"Unknown")</f>
        <v>Male</v>
      </c>
    </row>
    <row r="2098" spans="1:15" x14ac:dyDescent="0.2">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f t="array" ref="O2098">_xlfn.IFS(orders[[#This Row],[Customer Gender]]="M","Male", orders[[#This Row],[Customer Gender]]="F","Female", orders[[#This Row],[Customer Gender]]="O","Other", TRUE,"Unknown")</f>
        <v>Female</v>
      </c>
    </row>
    <row r="2099" spans="1:15" x14ac:dyDescent="0.2">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f t="array" ref="O2099">_xlfn.IFS(orders[[#This Row],[Customer Gender]]="M","Male", orders[[#This Row],[Customer Gender]]="F","Female", orders[[#This Row],[Customer Gender]]="O","Other", TRUE,"Unknown")</f>
        <v>Male</v>
      </c>
    </row>
    <row r="2100" spans="1:15" x14ac:dyDescent="0.2">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f t="array" ref="O2100">_xlfn.IFS(orders[[#This Row],[Customer Gender]]="M","Male", orders[[#This Row],[Customer Gender]]="F","Female", orders[[#This Row],[Customer Gender]]="O","Other", TRUE,"Unknown")</f>
        <v>Male</v>
      </c>
    </row>
    <row r="2101" spans="1:15" x14ac:dyDescent="0.2">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f t="array" ref="O2101">_xlfn.IFS(orders[[#This Row],[Customer Gender]]="M","Male", orders[[#This Row],[Customer Gender]]="F","Female", orders[[#This Row],[Customer Gender]]="O","Other", TRUE,"Unknown")</f>
        <v>Male</v>
      </c>
    </row>
    <row r="2102" spans="1:15" x14ac:dyDescent="0.2">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f t="array" ref="O2102">_xlfn.IFS(orders[[#This Row],[Customer Gender]]="M","Male", orders[[#This Row],[Customer Gender]]="F","Female", orders[[#This Row],[Customer Gender]]="O","Other", TRUE,"Unknown")</f>
        <v>Female</v>
      </c>
    </row>
    <row r="2103" spans="1:15" x14ac:dyDescent="0.2">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f t="array" ref="O2103">_xlfn.IFS(orders[[#This Row],[Customer Gender]]="M","Male", orders[[#This Row],[Customer Gender]]="F","Female", orders[[#This Row],[Customer Gender]]="O","Other", TRUE,"Unknown")</f>
        <v>Male</v>
      </c>
    </row>
    <row r="2104" spans="1:15" x14ac:dyDescent="0.2">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f t="array" ref="O2104">_xlfn.IFS(orders[[#This Row],[Customer Gender]]="M","Male", orders[[#This Row],[Customer Gender]]="F","Female", orders[[#This Row],[Customer Gender]]="O","Other", TRUE,"Unknown")</f>
        <v>Female</v>
      </c>
    </row>
    <row r="2105" spans="1:15" x14ac:dyDescent="0.2">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f t="array" ref="O2105">_xlfn.IFS(orders[[#This Row],[Customer Gender]]="M","Male", orders[[#This Row],[Customer Gender]]="F","Female", orders[[#This Row],[Customer Gender]]="O","Other", TRUE,"Unknown")</f>
        <v>Female</v>
      </c>
    </row>
    <row r="2106" spans="1:15" x14ac:dyDescent="0.2">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f t="array" ref="O2106">_xlfn.IFS(orders[[#This Row],[Customer Gender]]="M","Male", orders[[#This Row],[Customer Gender]]="F","Female", orders[[#This Row],[Customer Gender]]="O","Other", TRUE,"Unknown")</f>
        <v>Female</v>
      </c>
    </row>
    <row r="2107" spans="1:15" x14ac:dyDescent="0.2">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f t="array" ref="O2107">_xlfn.IFS(orders[[#This Row],[Customer Gender]]="M","Male", orders[[#This Row],[Customer Gender]]="F","Female", orders[[#This Row],[Customer Gender]]="O","Other", TRUE,"Unknown")</f>
        <v>Female</v>
      </c>
    </row>
    <row r="2108" spans="1:15" x14ac:dyDescent="0.2">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f t="array" ref="O2108">_xlfn.IFS(orders[[#This Row],[Customer Gender]]="M","Male", orders[[#This Row],[Customer Gender]]="F","Female", orders[[#This Row],[Customer Gender]]="O","Other", TRUE,"Unknown")</f>
        <v>Male</v>
      </c>
    </row>
    <row r="2109" spans="1:15" x14ac:dyDescent="0.2">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f t="array" ref="O2109">_xlfn.IFS(orders[[#This Row],[Customer Gender]]="M","Male", orders[[#This Row],[Customer Gender]]="F","Female", orders[[#This Row],[Customer Gender]]="O","Other", TRUE,"Unknown")</f>
        <v>Female</v>
      </c>
    </row>
    <row r="2110" spans="1:15" x14ac:dyDescent="0.2">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f t="array" ref="O2110">_xlfn.IFS(orders[[#This Row],[Customer Gender]]="M","Male", orders[[#This Row],[Customer Gender]]="F","Female", orders[[#This Row],[Customer Gender]]="O","Other", TRUE,"Unknown")</f>
        <v>Male</v>
      </c>
    </row>
    <row r="2111" spans="1:15" x14ac:dyDescent="0.2">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f t="array" ref="O2111">_xlfn.IFS(orders[[#This Row],[Customer Gender]]="M","Male", orders[[#This Row],[Customer Gender]]="F","Female", orders[[#This Row],[Customer Gender]]="O","Other", TRUE,"Unknown")</f>
        <v>Male</v>
      </c>
    </row>
    <row r="2112" spans="1:15" x14ac:dyDescent="0.2">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f t="array" ref="O2112">_xlfn.IFS(orders[[#This Row],[Customer Gender]]="M","Male", orders[[#This Row],[Customer Gender]]="F","Female", orders[[#This Row],[Customer Gender]]="O","Other", TRUE,"Unknown")</f>
        <v>Female</v>
      </c>
    </row>
    <row r="2113" spans="1:15" x14ac:dyDescent="0.2">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f t="array" ref="O2113">_xlfn.IFS(orders[[#This Row],[Customer Gender]]="M","Male", orders[[#This Row],[Customer Gender]]="F","Female", orders[[#This Row],[Customer Gender]]="O","Other", TRUE,"Unknown")</f>
        <v>Other</v>
      </c>
    </row>
    <row r="2114" spans="1:15" x14ac:dyDescent="0.2">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f t="array" ref="O2114">_xlfn.IFS(orders[[#This Row],[Customer Gender]]="M","Male", orders[[#This Row],[Customer Gender]]="F","Female", orders[[#This Row],[Customer Gender]]="O","Other", TRUE,"Unknown")</f>
        <v>Male</v>
      </c>
    </row>
    <row r="2115" spans="1:15" x14ac:dyDescent="0.2">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f t="array" ref="O2115">_xlfn.IFS(orders[[#This Row],[Customer Gender]]="M","Male", orders[[#This Row],[Customer Gender]]="F","Female", orders[[#This Row],[Customer Gender]]="O","Other", TRUE,"Unknown")</f>
        <v>Female</v>
      </c>
    </row>
    <row r="2116" spans="1:15" x14ac:dyDescent="0.2">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f t="array" ref="O2116">_xlfn.IFS(orders[[#This Row],[Customer Gender]]="M","Male", orders[[#This Row],[Customer Gender]]="F","Female", orders[[#This Row],[Customer Gender]]="O","Other", TRUE,"Unknown")</f>
        <v>Female</v>
      </c>
    </row>
    <row r="2117" spans="1:15" x14ac:dyDescent="0.2">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f t="array" ref="O2117">_xlfn.IFS(orders[[#This Row],[Customer Gender]]="M","Male", orders[[#This Row],[Customer Gender]]="F","Female", orders[[#This Row],[Customer Gender]]="O","Other", TRUE,"Unknown")</f>
        <v>Female</v>
      </c>
    </row>
    <row r="2118" spans="1:15" x14ac:dyDescent="0.2">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f t="array" ref="O2118">_xlfn.IFS(orders[[#This Row],[Customer Gender]]="M","Male", orders[[#This Row],[Customer Gender]]="F","Female", orders[[#This Row],[Customer Gender]]="O","Other", TRUE,"Unknown")</f>
        <v>Male</v>
      </c>
    </row>
    <row r="2119" spans="1:15" x14ac:dyDescent="0.2">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f t="array" ref="O2119">_xlfn.IFS(orders[[#This Row],[Customer Gender]]="M","Male", orders[[#This Row],[Customer Gender]]="F","Female", orders[[#This Row],[Customer Gender]]="O","Other", TRUE,"Unknown")</f>
        <v>Male</v>
      </c>
    </row>
    <row r="2120" spans="1:15" x14ac:dyDescent="0.2">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f t="array" ref="O2120">_xlfn.IFS(orders[[#This Row],[Customer Gender]]="M","Male", orders[[#This Row],[Customer Gender]]="F","Female", orders[[#This Row],[Customer Gender]]="O","Other", TRUE,"Unknown")</f>
        <v>Male</v>
      </c>
    </row>
    <row r="2121" spans="1:15" x14ac:dyDescent="0.2">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f t="array" ref="O2121">_xlfn.IFS(orders[[#This Row],[Customer Gender]]="M","Male", orders[[#This Row],[Customer Gender]]="F","Female", orders[[#This Row],[Customer Gender]]="O","Other", TRUE,"Unknown")</f>
        <v>Male</v>
      </c>
    </row>
    <row r="2122" spans="1:15" x14ac:dyDescent="0.2">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f t="array" ref="O2122">_xlfn.IFS(orders[[#This Row],[Customer Gender]]="M","Male", orders[[#This Row],[Customer Gender]]="F","Female", orders[[#This Row],[Customer Gender]]="O","Other", TRUE,"Unknown")</f>
        <v>Female</v>
      </c>
    </row>
    <row r="2123" spans="1:15" x14ac:dyDescent="0.2">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f t="array" ref="O2123">_xlfn.IFS(orders[[#This Row],[Customer Gender]]="M","Male", orders[[#This Row],[Customer Gender]]="F","Female", orders[[#This Row],[Customer Gender]]="O","Other", TRUE,"Unknown")</f>
        <v>Female</v>
      </c>
    </row>
    <row r="2124" spans="1:15" x14ac:dyDescent="0.2">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f t="array" ref="O2124">_xlfn.IFS(orders[[#This Row],[Customer Gender]]="M","Male", orders[[#This Row],[Customer Gender]]="F","Female", orders[[#This Row],[Customer Gender]]="O","Other", TRUE,"Unknown")</f>
        <v>Unknown</v>
      </c>
    </row>
    <row r="2125" spans="1:15" x14ac:dyDescent="0.2">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f t="array" ref="O2125">_xlfn.IFS(orders[[#This Row],[Customer Gender]]="M","Male", orders[[#This Row],[Customer Gender]]="F","Female", orders[[#This Row],[Customer Gender]]="O","Other", TRUE,"Unknown")</f>
        <v>Male</v>
      </c>
    </row>
    <row r="2126" spans="1:15" x14ac:dyDescent="0.2">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f t="array" ref="O2126">_xlfn.IFS(orders[[#This Row],[Customer Gender]]="M","Male", orders[[#This Row],[Customer Gender]]="F","Female", orders[[#This Row],[Customer Gender]]="O","Other", TRUE,"Unknown")</f>
        <v>Female</v>
      </c>
    </row>
    <row r="2127" spans="1:15" x14ac:dyDescent="0.2">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f t="array" ref="O2127">_xlfn.IFS(orders[[#This Row],[Customer Gender]]="M","Male", orders[[#This Row],[Customer Gender]]="F","Female", orders[[#This Row],[Customer Gender]]="O","Other", TRUE,"Unknown")</f>
        <v>Female</v>
      </c>
    </row>
    <row r="2128" spans="1:15" x14ac:dyDescent="0.2">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f t="array" ref="O2128">_xlfn.IFS(orders[[#This Row],[Customer Gender]]="M","Male", orders[[#This Row],[Customer Gender]]="F","Female", orders[[#This Row],[Customer Gender]]="O","Other", TRUE,"Unknown")</f>
        <v>Female</v>
      </c>
    </row>
    <row r="2129" spans="1:15" x14ac:dyDescent="0.2">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f t="array" ref="O2129">_xlfn.IFS(orders[[#This Row],[Customer Gender]]="M","Male", orders[[#This Row],[Customer Gender]]="F","Female", orders[[#This Row],[Customer Gender]]="O","Other", TRUE,"Unknown")</f>
        <v>Female</v>
      </c>
    </row>
    <row r="2130" spans="1:15" x14ac:dyDescent="0.2">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f t="array" ref="O2130">_xlfn.IFS(orders[[#This Row],[Customer Gender]]="M","Male", orders[[#This Row],[Customer Gender]]="F","Female", orders[[#This Row],[Customer Gender]]="O","Other", TRUE,"Unknown")</f>
        <v>Male</v>
      </c>
    </row>
    <row r="2131" spans="1:15" x14ac:dyDescent="0.2">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f t="array" ref="O2131">_xlfn.IFS(orders[[#This Row],[Customer Gender]]="M","Male", orders[[#This Row],[Customer Gender]]="F","Female", orders[[#This Row],[Customer Gender]]="O","Other", TRUE,"Unknown")</f>
        <v>Female</v>
      </c>
    </row>
    <row r="2132" spans="1:15" x14ac:dyDescent="0.2">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f t="array" ref="O2132">_xlfn.IFS(orders[[#This Row],[Customer Gender]]="M","Male", orders[[#This Row],[Customer Gender]]="F","Female", orders[[#This Row],[Customer Gender]]="O","Other", TRUE,"Unknown")</f>
        <v>Unknown</v>
      </c>
    </row>
    <row r="2133" spans="1:15" x14ac:dyDescent="0.2">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f t="array" ref="O2133">_xlfn.IFS(orders[[#This Row],[Customer Gender]]="M","Male", orders[[#This Row],[Customer Gender]]="F","Female", orders[[#This Row],[Customer Gender]]="O","Other", TRUE,"Unknown")</f>
        <v>Female</v>
      </c>
    </row>
    <row r="2134" spans="1:15" x14ac:dyDescent="0.2">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f t="array" ref="O2134">_xlfn.IFS(orders[[#This Row],[Customer Gender]]="M","Male", orders[[#This Row],[Customer Gender]]="F","Female", orders[[#This Row],[Customer Gender]]="O","Other", TRUE,"Unknown")</f>
        <v>Male</v>
      </c>
    </row>
    <row r="2135" spans="1:15" x14ac:dyDescent="0.2">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f t="array" ref="O2135">_xlfn.IFS(orders[[#This Row],[Customer Gender]]="M","Male", orders[[#This Row],[Customer Gender]]="F","Female", orders[[#This Row],[Customer Gender]]="O","Other", TRUE,"Unknown")</f>
        <v>Male</v>
      </c>
    </row>
    <row r="2136" spans="1:15" x14ac:dyDescent="0.2">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f t="array" ref="O2136">_xlfn.IFS(orders[[#This Row],[Customer Gender]]="M","Male", orders[[#This Row],[Customer Gender]]="F","Female", orders[[#This Row],[Customer Gender]]="O","Other", TRUE,"Unknown")</f>
        <v>Male</v>
      </c>
    </row>
    <row r="2137" spans="1:15" x14ac:dyDescent="0.2">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f t="array" ref="O2137">_xlfn.IFS(orders[[#This Row],[Customer Gender]]="M","Male", orders[[#This Row],[Customer Gender]]="F","Female", orders[[#This Row],[Customer Gender]]="O","Other", TRUE,"Unknown")</f>
        <v>Male</v>
      </c>
    </row>
    <row r="2138" spans="1:15" x14ac:dyDescent="0.2">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f t="array" ref="O2138">_xlfn.IFS(orders[[#This Row],[Customer Gender]]="M","Male", orders[[#This Row],[Customer Gender]]="F","Female", orders[[#This Row],[Customer Gender]]="O","Other", TRUE,"Unknown")</f>
        <v>Male</v>
      </c>
    </row>
    <row r="2139" spans="1:15" x14ac:dyDescent="0.2">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f t="array" ref="O2139">_xlfn.IFS(orders[[#This Row],[Customer Gender]]="M","Male", orders[[#This Row],[Customer Gender]]="F","Female", orders[[#This Row],[Customer Gender]]="O","Other", TRUE,"Unknown")</f>
        <v>Male</v>
      </c>
    </row>
    <row r="2140" spans="1:15" x14ac:dyDescent="0.2">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f t="array" ref="O2140">_xlfn.IFS(orders[[#This Row],[Customer Gender]]="M","Male", orders[[#This Row],[Customer Gender]]="F","Female", orders[[#This Row],[Customer Gender]]="O","Other", TRUE,"Unknown")</f>
        <v>Female</v>
      </c>
    </row>
    <row r="2141" spans="1:15" x14ac:dyDescent="0.2">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f t="array" ref="O2141">_xlfn.IFS(orders[[#This Row],[Customer Gender]]="M","Male", orders[[#This Row],[Customer Gender]]="F","Female", orders[[#This Row],[Customer Gender]]="O","Other", TRUE,"Unknown")</f>
        <v>Female</v>
      </c>
    </row>
    <row r="2142" spans="1:15" x14ac:dyDescent="0.2">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f t="array" ref="O2142">_xlfn.IFS(orders[[#This Row],[Customer Gender]]="M","Male", orders[[#This Row],[Customer Gender]]="F","Female", orders[[#This Row],[Customer Gender]]="O","Other", TRUE,"Unknown")</f>
        <v>Male</v>
      </c>
    </row>
    <row r="2143" spans="1:15" x14ac:dyDescent="0.2">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f t="array" ref="O2143">_xlfn.IFS(orders[[#This Row],[Customer Gender]]="M","Male", orders[[#This Row],[Customer Gender]]="F","Female", orders[[#This Row],[Customer Gender]]="O","Other", TRUE,"Unknown")</f>
        <v>Male</v>
      </c>
    </row>
    <row r="2144" spans="1:15" x14ac:dyDescent="0.2">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f t="array" ref="O2144">_xlfn.IFS(orders[[#This Row],[Customer Gender]]="M","Male", orders[[#This Row],[Customer Gender]]="F","Female", orders[[#This Row],[Customer Gender]]="O","Other", TRUE,"Unknown")</f>
        <v>Male</v>
      </c>
    </row>
    <row r="2145" spans="1:15" x14ac:dyDescent="0.2">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f t="array" ref="O2145">_xlfn.IFS(orders[[#This Row],[Customer Gender]]="M","Male", orders[[#This Row],[Customer Gender]]="F","Female", orders[[#This Row],[Customer Gender]]="O","Other", TRUE,"Unknown")</f>
        <v>Female</v>
      </c>
    </row>
    <row r="2146" spans="1:15" x14ac:dyDescent="0.2">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f t="array" ref="O2146">_xlfn.IFS(orders[[#This Row],[Customer Gender]]="M","Male", orders[[#This Row],[Customer Gender]]="F","Female", orders[[#This Row],[Customer Gender]]="O","Other", TRUE,"Unknown")</f>
        <v>Male</v>
      </c>
    </row>
    <row r="2147" spans="1:15" x14ac:dyDescent="0.2">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f t="array" ref="O2147">_xlfn.IFS(orders[[#This Row],[Customer Gender]]="M","Male", orders[[#This Row],[Customer Gender]]="F","Female", orders[[#This Row],[Customer Gender]]="O","Other", TRUE,"Unknown")</f>
        <v>Female</v>
      </c>
    </row>
    <row r="2148" spans="1:15" x14ac:dyDescent="0.2">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f t="array" ref="O2148">_xlfn.IFS(orders[[#This Row],[Customer Gender]]="M","Male", orders[[#This Row],[Customer Gender]]="F","Female", orders[[#This Row],[Customer Gender]]="O","Other", TRUE,"Unknown")</f>
        <v>Female</v>
      </c>
    </row>
    <row r="2149" spans="1:15" x14ac:dyDescent="0.2">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f t="array" ref="O2149">_xlfn.IFS(orders[[#This Row],[Customer Gender]]="M","Male", orders[[#This Row],[Customer Gender]]="F","Female", orders[[#This Row],[Customer Gender]]="O","Other", TRUE,"Unknown")</f>
        <v>Male</v>
      </c>
    </row>
    <row r="2150" spans="1:15" x14ac:dyDescent="0.2">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f t="array" ref="O2150">_xlfn.IFS(orders[[#This Row],[Customer Gender]]="M","Male", orders[[#This Row],[Customer Gender]]="F","Female", orders[[#This Row],[Customer Gender]]="O","Other", TRUE,"Unknown")</f>
        <v>Female</v>
      </c>
    </row>
    <row r="2151" spans="1:15" x14ac:dyDescent="0.2">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f t="array" ref="O2151">_xlfn.IFS(orders[[#This Row],[Customer Gender]]="M","Male", orders[[#This Row],[Customer Gender]]="F","Female", orders[[#This Row],[Customer Gender]]="O","Other", TRUE,"Unknown")</f>
        <v>Male</v>
      </c>
    </row>
    <row r="2152" spans="1:15" x14ac:dyDescent="0.2">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f t="array" ref="O2152">_xlfn.IFS(orders[[#This Row],[Customer Gender]]="M","Male", orders[[#This Row],[Customer Gender]]="F","Female", orders[[#This Row],[Customer Gender]]="O","Other", TRUE,"Unknown")</f>
        <v>Female</v>
      </c>
    </row>
    <row r="2153" spans="1:15" x14ac:dyDescent="0.2">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f t="array" ref="O2153">_xlfn.IFS(orders[[#This Row],[Customer Gender]]="M","Male", orders[[#This Row],[Customer Gender]]="F","Female", orders[[#This Row],[Customer Gender]]="O","Other", TRUE,"Unknown")</f>
        <v>Female</v>
      </c>
    </row>
    <row r="2154" spans="1:15" x14ac:dyDescent="0.2">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f t="array" ref="O2154">_xlfn.IFS(orders[[#This Row],[Customer Gender]]="M","Male", orders[[#This Row],[Customer Gender]]="F","Female", orders[[#This Row],[Customer Gender]]="O","Other", TRUE,"Unknown")</f>
        <v>Female</v>
      </c>
    </row>
    <row r="2155" spans="1:15" x14ac:dyDescent="0.2">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f t="array" ref="O2155">_xlfn.IFS(orders[[#This Row],[Customer Gender]]="M","Male", orders[[#This Row],[Customer Gender]]="F","Female", orders[[#This Row],[Customer Gender]]="O","Other", TRUE,"Unknown")</f>
        <v>Female</v>
      </c>
    </row>
    <row r="2156" spans="1:15" x14ac:dyDescent="0.2">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f t="array" ref="O2156">_xlfn.IFS(orders[[#This Row],[Customer Gender]]="M","Male", orders[[#This Row],[Customer Gender]]="F","Female", orders[[#This Row],[Customer Gender]]="O","Other", TRUE,"Unknown")</f>
        <v>Male</v>
      </c>
    </row>
    <row r="2157" spans="1:15" x14ac:dyDescent="0.2">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f t="array" ref="O2157">_xlfn.IFS(orders[[#This Row],[Customer Gender]]="M","Male", orders[[#This Row],[Customer Gender]]="F","Female", orders[[#This Row],[Customer Gender]]="O","Other", TRUE,"Unknown")</f>
        <v>Male</v>
      </c>
    </row>
    <row r="2158" spans="1:15" x14ac:dyDescent="0.2">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f t="array" ref="O2158">_xlfn.IFS(orders[[#This Row],[Customer Gender]]="M","Male", orders[[#This Row],[Customer Gender]]="F","Female", orders[[#This Row],[Customer Gender]]="O","Other", TRUE,"Unknown")</f>
        <v>Female</v>
      </c>
    </row>
    <row r="2159" spans="1:15" x14ac:dyDescent="0.2">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f t="array" ref="O2159">_xlfn.IFS(orders[[#This Row],[Customer Gender]]="M","Male", orders[[#This Row],[Customer Gender]]="F","Female", orders[[#This Row],[Customer Gender]]="O","Other", TRUE,"Unknown")</f>
        <v>Female</v>
      </c>
    </row>
    <row r="2160" spans="1:15" x14ac:dyDescent="0.2">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f t="array" ref="O2160">_xlfn.IFS(orders[[#This Row],[Customer Gender]]="M","Male", orders[[#This Row],[Customer Gender]]="F","Female", orders[[#This Row],[Customer Gender]]="O","Other", TRUE,"Unknown")</f>
        <v>Unknown</v>
      </c>
    </row>
    <row r="2161" spans="1:15" x14ac:dyDescent="0.2">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f t="array" ref="O2161">_xlfn.IFS(orders[[#This Row],[Customer Gender]]="M","Male", orders[[#This Row],[Customer Gender]]="F","Female", orders[[#This Row],[Customer Gender]]="O","Other", TRUE,"Unknown")</f>
        <v>Male</v>
      </c>
    </row>
    <row r="2162" spans="1:15" x14ac:dyDescent="0.2">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f t="array" ref="O2162">_xlfn.IFS(orders[[#This Row],[Customer Gender]]="M","Male", orders[[#This Row],[Customer Gender]]="F","Female", orders[[#This Row],[Customer Gender]]="O","Other", TRUE,"Unknown")</f>
        <v>Female</v>
      </c>
    </row>
    <row r="2163" spans="1:15" x14ac:dyDescent="0.2">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f t="array" ref="O2163">_xlfn.IFS(orders[[#This Row],[Customer Gender]]="M","Male", orders[[#This Row],[Customer Gender]]="F","Female", orders[[#This Row],[Customer Gender]]="O","Other", TRUE,"Unknown")</f>
        <v>Male</v>
      </c>
    </row>
    <row r="2164" spans="1:15" x14ac:dyDescent="0.2">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f t="array" ref="O2164">_xlfn.IFS(orders[[#This Row],[Customer Gender]]="M","Male", orders[[#This Row],[Customer Gender]]="F","Female", orders[[#This Row],[Customer Gender]]="O","Other", TRUE,"Unknown")</f>
        <v>Male</v>
      </c>
    </row>
    <row r="2165" spans="1:15" x14ac:dyDescent="0.2">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f t="array" ref="O2165">_xlfn.IFS(orders[[#This Row],[Customer Gender]]="M","Male", orders[[#This Row],[Customer Gender]]="F","Female", orders[[#This Row],[Customer Gender]]="O","Other", TRUE,"Unknown")</f>
        <v>Male</v>
      </c>
    </row>
    <row r="2166" spans="1:15" x14ac:dyDescent="0.2">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f t="array" ref="O2166">_xlfn.IFS(orders[[#This Row],[Customer Gender]]="M","Male", orders[[#This Row],[Customer Gender]]="F","Female", orders[[#This Row],[Customer Gender]]="O","Other", TRUE,"Unknown")</f>
        <v>Male</v>
      </c>
    </row>
    <row r="2167" spans="1:15" x14ac:dyDescent="0.2">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f t="array" ref="O2167">_xlfn.IFS(orders[[#This Row],[Customer Gender]]="M","Male", orders[[#This Row],[Customer Gender]]="F","Female", orders[[#This Row],[Customer Gender]]="O","Other", TRUE,"Unknown")</f>
        <v>Male</v>
      </c>
    </row>
    <row r="2168" spans="1:15" x14ac:dyDescent="0.2">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f t="array" ref="O2168">_xlfn.IFS(orders[[#This Row],[Customer Gender]]="M","Male", orders[[#This Row],[Customer Gender]]="F","Female", orders[[#This Row],[Customer Gender]]="O","Other", TRUE,"Unknown")</f>
        <v>Unknown</v>
      </c>
    </row>
    <row r="2169" spans="1:15" x14ac:dyDescent="0.2">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f t="array" ref="O2169">_xlfn.IFS(orders[[#This Row],[Customer Gender]]="M","Male", orders[[#This Row],[Customer Gender]]="F","Female", orders[[#This Row],[Customer Gender]]="O","Other", TRUE,"Unknown")</f>
        <v>Female</v>
      </c>
    </row>
    <row r="2170" spans="1:15" x14ac:dyDescent="0.2">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f t="array" ref="O2170">_xlfn.IFS(orders[[#This Row],[Customer Gender]]="M","Male", orders[[#This Row],[Customer Gender]]="F","Female", orders[[#This Row],[Customer Gender]]="O","Other", TRUE,"Unknown")</f>
        <v>Male</v>
      </c>
    </row>
    <row r="2171" spans="1:15" x14ac:dyDescent="0.2">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f t="array" ref="O2171">_xlfn.IFS(orders[[#This Row],[Customer Gender]]="M","Male", orders[[#This Row],[Customer Gender]]="F","Female", orders[[#This Row],[Customer Gender]]="O","Other", TRUE,"Unknown")</f>
        <v>Male</v>
      </c>
    </row>
    <row r="2172" spans="1:15" x14ac:dyDescent="0.2">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f t="array" ref="O2172">_xlfn.IFS(orders[[#This Row],[Customer Gender]]="M","Male", orders[[#This Row],[Customer Gender]]="F","Female", orders[[#This Row],[Customer Gender]]="O","Other", TRUE,"Unknown")</f>
        <v>Female</v>
      </c>
    </row>
    <row r="2173" spans="1:15" x14ac:dyDescent="0.2">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f t="array" ref="O2173">_xlfn.IFS(orders[[#This Row],[Customer Gender]]="M","Male", orders[[#This Row],[Customer Gender]]="F","Female", orders[[#This Row],[Customer Gender]]="O","Other", TRUE,"Unknown")</f>
        <v>Male</v>
      </c>
    </row>
    <row r="2174" spans="1:15" x14ac:dyDescent="0.2">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f t="array" ref="O2174">_xlfn.IFS(orders[[#This Row],[Customer Gender]]="M","Male", orders[[#This Row],[Customer Gender]]="F","Female", orders[[#This Row],[Customer Gender]]="O","Other", TRUE,"Unknown")</f>
        <v>Male</v>
      </c>
    </row>
    <row r="2175" spans="1:15" x14ac:dyDescent="0.2">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f t="array" ref="O2175">_xlfn.IFS(orders[[#This Row],[Customer Gender]]="M","Male", orders[[#This Row],[Customer Gender]]="F","Female", orders[[#This Row],[Customer Gender]]="O","Other", TRUE,"Unknown")</f>
        <v>Female</v>
      </c>
    </row>
    <row r="2176" spans="1:15" x14ac:dyDescent="0.2">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f t="array" ref="O2176">_xlfn.IFS(orders[[#This Row],[Customer Gender]]="M","Male", orders[[#This Row],[Customer Gender]]="F","Female", orders[[#This Row],[Customer Gender]]="O","Other", TRUE,"Unknown")</f>
        <v>Female</v>
      </c>
    </row>
    <row r="2177" spans="1:15" x14ac:dyDescent="0.2">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f t="array" ref="O2177">_xlfn.IFS(orders[[#This Row],[Customer Gender]]="M","Male", orders[[#This Row],[Customer Gender]]="F","Female", orders[[#This Row],[Customer Gender]]="O","Other", TRUE,"Unknown")</f>
        <v>Male</v>
      </c>
    </row>
    <row r="2178" spans="1:15" x14ac:dyDescent="0.2">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f t="array" ref="O2178">_xlfn.IFS(orders[[#This Row],[Customer Gender]]="M","Male", orders[[#This Row],[Customer Gender]]="F","Female", orders[[#This Row],[Customer Gender]]="O","Other", TRUE,"Unknown")</f>
        <v>Female</v>
      </c>
    </row>
    <row r="2179" spans="1:15" x14ac:dyDescent="0.2">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f t="array" ref="O2179">_xlfn.IFS(orders[[#This Row],[Customer Gender]]="M","Male", orders[[#This Row],[Customer Gender]]="F","Female", orders[[#This Row],[Customer Gender]]="O","Other", TRUE,"Unknown")</f>
        <v>Female</v>
      </c>
    </row>
    <row r="2180" spans="1:15" x14ac:dyDescent="0.2">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f t="array" ref="O2180">_xlfn.IFS(orders[[#This Row],[Customer Gender]]="M","Male", orders[[#This Row],[Customer Gender]]="F","Female", orders[[#This Row],[Customer Gender]]="O","Other", TRUE,"Unknown")</f>
        <v>Female</v>
      </c>
    </row>
    <row r="2181" spans="1:15" x14ac:dyDescent="0.2">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f t="array" ref="O2181">_xlfn.IFS(orders[[#This Row],[Customer Gender]]="M","Male", orders[[#This Row],[Customer Gender]]="F","Female", orders[[#This Row],[Customer Gender]]="O","Other", TRUE,"Unknown")</f>
        <v>Male</v>
      </c>
    </row>
    <row r="2182" spans="1:15" x14ac:dyDescent="0.2">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f t="array" ref="O2182">_xlfn.IFS(orders[[#This Row],[Customer Gender]]="M","Male", orders[[#This Row],[Customer Gender]]="F","Female", orders[[#This Row],[Customer Gender]]="O","Other", TRUE,"Unknown")</f>
        <v>Male</v>
      </c>
    </row>
    <row r="2183" spans="1:15" x14ac:dyDescent="0.2">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f t="array" ref="O2183">_xlfn.IFS(orders[[#This Row],[Customer Gender]]="M","Male", orders[[#This Row],[Customer Gender]]="F","Female", orders[[#This Row],[Customer Gender]]="O","Other", TRUE,"Unknown")</f>
        <v>Male</v>
      </c>
    </row>
    <row r="2184" spans="1:15" x14ac:dyDescent="0.2">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f t="array" ref="O2184">_xlfn.IFS(orders[[#This Row],[Customer Gender]]="M","Male", orders[[#This Row],[Customer Gender]]="F","Female", orders[[#This Row],[Customer Gender]]="O","Other", TRUE,"Unknown")</f>
        <v>Other</v>
      </c>
    </row>
    <row r="2185" spans="1:15" x14ac:dyDescent="0.2">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f t="array" ref="O2185">_xlfn.IFS(orders[[#This Row],[Customer Gender]]="M","Male", orders[[#This Row],[Customer Gender]]="F","Female", orders[[#This Row],[Customer Gender]]="O","Other", TRUE,"Unknown")</f>
        <v>Female</v>
      </c>
    </row>
    <row r="2186" spans="1:15" x14ac:dyDescent="0.2">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f t="array" ref="O2186">_xlfn.IFS(orders[[#This Row],[Customer Gender]]="M","Male", orders[[#This Row],[Customer Gender]]="F","Female", orders[[#This Row],[Customer Gender]]="O","Other", TRUE,"Unknown")</f>
        <v>Male</v>
      </c>
    </row>
    <row r="2187" spans="1:15" x14ac:dyDescent="0.2">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f t="array" ref="O2187">_xlfn.IFS(orders[[#This Row],[Customer Gender]]="M","Male", orders[[#This Row],[Customer Gender]]="F","Female", orders[[#This Row],[Customer Gender]]="O","Other", TRUE,"Unknown")</f>
        <v>Male</v>
      </c>
    </row>
    <row r="2188" spans="1:15" x14ac:dyDescent="0.2">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f t="array" ref="O2188">_xlfn.IFS(orders[[#This Row],[Customer Gender]]="M","Male", orders[[#This Row],[Customer Gender]]="F","Female", orders[[#This Row],[Customer Gender]]="O","Other", TRUE,"Unknown")</f>
        <v>Female</v>
      </c>
    </row>
    <row r="2189" spans="1:15" x14ac:dyDescent="0.2">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f t="array" ref="O2189">_xlfn.IFS(orders[[#This Row],[Customer Gender]]="M","Male", orders[[#This Row],[Customer Gender]]="F","Female", orders[[#This Row],[Customer Gender]]="O","Other", TRUE,"Unknown")</f>
        <v>Female</v>
      </c>
    </row>
    <row r="2190" spans="1:15" x14ac:dyDescent="0.2">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f t="array" ref="O2190">_xlfn.IFS(orders[[#This Row],[Customer Gender]]="M","Male", orders[[#This Row],[Customer Gender]]="F","Female", orders[[#This Row],[Customer Gender]]="O","Other", TRUE,"Unknown")</f>
        <v>Male</v>
      </c>
    </row>
    <row r="2191" spans="1:15" x14ac:dyDescent="0.2">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f t="array" ref="O2191">_xlfn.IFS(orders[[#This Row],[Customer Gender]]="M","Male", orders[[#This Row],[Customer Gender]]="F","Female", orders[[#This Row],[Customer Gender]]="O","Other", TRUE,"Unknown")</f>
        <v>Male</v>
      </c>
    </row>
    <row r="2192" spans="1:15" x14ac:dyDescent="0.2">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f t="array" ref="O2192">_xlfn.IFS(orders[[#This Row],[Customer Gender]]="M","Male", orders[[#This Row],[Customer Gender]]="F","Female", orders[[#This Row],[Customer Gender]]="O","Other", TRUE,"Unknown")</f>
        <v>Male</v>
      </c>
    </row>
    <row r="2193" spans="1:15" x14ac:dyDescent="0.2">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f t="array" ref="O2193">_xlfn.IFS(orders[[#This Row],[Customer Gender]]="M","Male", orders[[#This Row],[Customer Gender]]="F","Female", orders[[#This Row],[Customer Gender]]="O","Other", TRUE,"Unknown")</f>
        <v>Male</v>
      </c>
    </row>
    <row r="2194" spans="1:15" x14ac:dyDescent="0.2">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f t="array" ref="O2194">_xlfn.IFS(orders[[#This Row],[Customer Gender]]="M","Male", orders[[#This Row],[Customer Gender]]="F","Female", orders[[#This Row],[Customer Gender]]="O","Other", TRUE,"Unknown")</f>
        <v>Male</v>
      </c>
    </row>
    <row r="2195" spans="1:15" x14ac:dyDescent="0.2">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f t="array" ref="O2195">_xlfn.IFS(orders[[#This Row],[Customer Gender]]="M","Male", orders[[#This Row],[Customer Gender]]="F","Female", orders[[#This Row],[Customer Gender]]="O","Other", TRUE,"Unknown")</f>
        <v>Female</v>
      </c>
    </row>
    <row r="2196" spans="1:15" x14ac:dyDescent="0.2">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f t="array" ref="O2196">_xlfn.IFS(orders[[#This Row],[Customer Gender]]="M","Male", orders[[#This Row],[Customer Gender]]="F","Female", orders[[#This Row],[Customer Gender]]="O","Other", TRUE,"Unknown")</f>
        <v>Male</v>
      </c>
    </row>
    <row r="2197" spans="1:15" x14ac:dyDescent="0.2">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f t="array" ref="O2197">_xlfn.IFS(orders[[#This Row],[Customer Gender]]="M","Male", orders[[#This Row],[Customer Gender]]="F","Female", orders[[#This Row],[Customer Gender]]="O","Other", TRUE,"Unknown")</f>
        <v>Male</v>
      </c>
    </row>
    <row r="2198" spans="1:15" x14ac:dyDescent="0.2">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f t="array" ref="O2198">_xlfn.IFS(orders[[#This Row],[Customer Gender]]="M","Male", orders[[#This Row],[Customer Gender]]="F","Female", orders[[#This Row],[Customer Gender]]="O","Other", TRUE,"Unknown")</f>
        <v>Female</v>
      </c>
    </row>
    <row r="2199" spans="1:15" x14ac:dyDescent="0.2">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f t="array" ref="O2199">_xlfn.IFS(orders[[#This Row],[Customer Gender]]="M","Male", orders[[#This Row],[Customer Gender]]="F","Female", orders[[#This Row],[Customer Gender]]="O","Other", TRUE,"Unknown")</f>
        <v>Female</v>
      </c>
    </row>
    <row r="2200" spans="1:15" x14ac:dyDescent="0.2">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f t="array" ref="O2200">_xlfn.IFS(orders[[#This Row],[Customer Gender]]="M","Male", orders[[#This Row],[Customer Gender]]="F","Female", orders[[#This Row],[Customer Gender]]="O","Other", TRUE,"Unknown")</f>
        <v>Male</v>
      </c>
    </row>
    <row r="2201" spans="1:15" x14ac:dyDescent="0.2">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f t="array" ref="O2201">_xlfn.IFS(orders[[#This Row],[Customer Gender]]="M","Male", orders[[#This Row],[Customer Gender]]="F","Female", orders[[#This Row],[Customer Gender]]="O","Other", TRUE,"Unknown")</f>
        <v>Male</v>
      </c>
    </row>
    <row r="2202" spans="1:15" x14ac:dyDescent="0.2">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f t="array" ref="O2202">_xlfn.IFS(orders[[#This Row],[Customer Gender]]="M","Male", orders[[#This Row],[Customer Gender]]="F","Female", orders[[#This Row],[Customer Gender]]="O","Other", TRUE,"Unknown")</f>
        <v>Male</v>
      </c>
    </row>
    <row r="2203" spans="1:15" x14ac:dyDescent="0.2">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f t="array" ref="O2203">_xlfn.IFS(orders[[#This Row],[Customer Gender]]="M","Male", orders[[#This Row],[Customer Gender]]="F","Female", orders[[#This Row],[Customer Gender]]="O","Other", TRUE,"Unknown")</f>
        <v>Male</v>
      </c>
    </row>
    <row r="2204" spans="1:15" x14ac:dyDescent="0.2">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f t="array" ref="O2204">_xlfn.IFS(orders[[#This Row],[Customer Gender]]="M","Male", orders[[#This Row],[Customer Gender]]="F","Female", orders[[#This Row],[Customer Gender]]="O","Other", TRUE,"Unknown")</f>
        <v>Male</v>
      </c>
    </row>
    <row r="2205" spans="1:15" x14ac:dyDescent="0.2">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f t="array" ref="O2205">_xlfn.IFS(orders[[#This Row],[Customer Gender]]="M","Male", orders[[#This Row],[Customer Gender]]="F","Female", orders[[#This Row],[Customer Gender]]="O","Other", TRUE,"Unknown")</f>
        <v>Male</v>
      </c>
    </row>
    <row r="2206" spans="1:15" x14ac:dyDescent="0.2">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f t="array" ref="O2206">_xlfn.IFS(orders[[#This Row],[Customer Gender]]="M","Male", orders[[#This Row],[Customer Gender]]="F","Female", orders[[#This Row],[Customer Gender]]="O","Other", TRUE,"Unknown")</f>
        <v>Female</v>
      </c>
    </row>
    <row r="2207" spans="1:15" x14ac:dyDescent="0.2">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f t="array" ref="O2207">_xlfn.IFS(orders[[#This Row],[Customer Gender]]="M","Male", orders[[#This Row],[Customer Gender]]="F","Female", orders[[#This Row],[Customer Gender]]="O","Other", TRUE,"Unknown")</f>
        <v>Female</v>
      </c>
    </row>
    <row r="2208" spans="1:15" x14ac:dyDescent="0.2">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f t="array" ref="O2208">_xlfn.IFS(orders[[#This Row],[Customer Gender]]="M","Male", orders[[#This Row],[Customer Gender]]="F","Female", orders[[#This Row],[Customer Gender]]="O","Other", TRUE,"Unknown")</f>
        <v>Female</v>
      </c>
    </row>
    <row r="2209" spans="1:15" x14ac:dyDescent="0.2">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f t="array" ref="O2209">_xlfn.IFS(orders[[#This Row],[Customer Gender]]="M","Male", orders[[#This Row],[Customer Gender]]="F","Female", orders[[#This Row],[Customer Gender]]="O","Other", TRUE,"Unknown")</f>
        <v>Female</v>
      </c>
    </row>
    <row r="2210" spans="1:15" x14ac:dyDescent="0.2">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f t="array" ref="O2210">_xlfn.IFS(orders[[#This Row],[Customer Gender]]="M","Male", orders[[#This Row],[Customer Gender]]="F","Female", orders[[#This Row],[Customer Gender]]="O","Other", TRUE,"Unknown")</f>
        <v>Female</v>
      </c>
    </row>
    <row r="2211" spans="1:15" x14ac:dyDescent="0.2">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f t="array" ref="O2211">_xlfn.IFS(orders[[#This Row],[Customer Gender]]="M","Male", orders[[#This Row],[Customer Gender]]="F","Female", orders[[#This Row],[Customer Gender]]="O","Other", TRUE,"Unknown")</f>
        <v>Male</v>
      </c>
    </row>
    <row r="2212" spans="1:15" x14ac:dyDescent="0.2">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f t="array" ref="O2212">_xlfn.IFS(orders[[#This Row],[Customer Gender]]="M","Male", orders[[#This Row],[Customer Gender]]="F","Female", orders[[#This Row],[Customer Gender]]="O","Other", TRUE,"Unknown")</f>
        <v>Unknown</v>
      </c>
    </row>
    <row r="2213" spans="1:15" x14ac:dyDescent="0.2">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f t="array" ref="O2213">_xlfn.IFS(orders[[#This Row],[Customer Gender]]="M","Male", orders[[#This Row],[Customer Gender]]="F","Female", orders[[#This Row],[Customer Gender]]="O","Other", TRUE,"Unknown")</f>
        <v>Male</v>
      </c>
    </row>
    <row r="2214" spans="1:15" x14ac:dyDescent="0.2">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f t="array" ref="O2214">_xlfn.IFS(orders[[#This Row],[Customer Gender]]="M","Male", orders[[#This Row],[Customer Gender]]="F","Female", orders[[#This Row],[Customer Gender]]="O","Other", TRUE,"Unknown")</f>
        <v>Female</v>
      </c>
    </row>
    <row r="2215" spans="1:15" x14ac:dyDescent="0.2">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f t="array" ref="O2215">_xlfn.IFS(orders[[#This Row],[Customer Gender]]="M","Male", orders[[#This Row],[Customer Gender]]="F","Female", orders[[#This Row],[Customer Gender]]="O","Other", TRUE,"Unknown")</f>
        <v>Male</v>
      </c>
    </row>
    <row r="2216" spans="1:15" x14ac:dyDescent="0.2">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f t="array" ref="O2216">_xlfn.IFS(orders[[#This Row],[Customer Gender]]="M","Male", orders[[#This Row],[Customer Gender]]="F","Female", orders[[#This Row],[Customer Gender]]="O","Other", TRUE,"Unknown")</f>
        <v>Other</v>
      </c>
    </row>
    <row r="2217" spans="1:15" x14ac:dyDescent="0.2">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f t="array" ref="O2217">_xlfn.IFS(orders[[#This Row],[Customer Gender]]="M","Male", orders[[#This Row],[Customer Gender]]="F","Female", orders[[#This Row],[Customer Gender]]="O","Other", TRUE,"Unknown")</f>
        <v>Female</v>
      </c>
    </row>
    <row r="2218" spans="1:15" x14ac:dyDescent="0.2">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f t="array" ref="O2218">_xlfn.IFS(orders[[#This Row],[Customer Gender]]="M","Male", orders[[#This Row],[Customer Gender]]="F","Female", orders[[#This Row],[Customer Gender]]="O","Other", TRUE,"Unknown")</f>
        <v>Male</v>
      </c>
    </row>
    <row r="2219" spans="1:15" x14ac:dyDescent="0.2">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f t="array" ref="O2219">_xlfn.IFS(orders[[#This Row],[Customer Gender]]="M","Male", orders[[#This Row],[Customer Gender]]="F","Female", orders[[#This Row],[Customer Gender]]="O","Other", TRUE,"Unknown")</f>
        <v>Male</v>
      </c>
    </row>
    <row r="2220" spans="1:15" x14ac:dyDescent="0.2">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f t="array" ref="O2220">_xlfn.IFS(orders[[#This Row],[Customer Gender]]="M","Male", orders[[#This Row],[Customer Gender]]="F","Female", orders[[#This Row],[Customer Gender]]="O","Other", TRUE,"Unknown")</f>
        <v>Male</v>
      </c>
    </row>
    <row r="2221" spans="1:15" x14ac:dyDescent="0.2">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f t="array" ref="O2221">_xlfn.IFS(orders[[#This Row],[Customer Gender]]="M","Male", orders[[#This Row],[Customer Gender]]="F","Female", orders[[#This Row],[Customer Gender]]="O","Other", TRUE,"Unknown")</f>
        <v>Male</v>
      </c>
    </row>
    <row r="2222" spans="1:15" x14ac:dyDescent="0.2">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f t="array" ref="O2222">_xlfn.IFS(orders[[#This Row],[Customer Gender]]="M","Male", orders[[#This Row],[Customer Gender]]="F","Female", orders[[#This Row],[Customer Gender]]="O","Other", TRUE,"Unknown")</f>
        <v>Male</v>
      </c>
    </row>
    <row r="2223" spans="1:15" x14ac:dyDescent="0.2">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f t="array" ref="O2223">_xlfn.IFS(orders[[#This Row],[Customer Gender]]="M","Male", orders[[#This Row],[Customer Gender]]="F","Female", orders[[#This Row],[Customer Gender]]="O","Other", TRUE,"Unknown")</f>
        <v>Male</v>
      </c>
    </row>
    <row r="2224" spans="1:15" x14ac:dyDescent="0.2">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f t="array" ref="O2224">_xlfn.IFS(orders[[#This Row],[Customer Gender]]="M","Male", orders[[#This Row],[Customer Gender]]="F","Female", orders[[#This Row],[Customer Gender]]="O","Other", TRUE,"Unknown")</f>
        <v>Female</v>
      </c>
    </row>
    <row r="2225" spans="1:15" x14ac:dyDescent="0.2">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f t="array" ref="O2225">_xlfn.IFS(orders[[#This Row],[Customer Gender]]="M","Male", orders[[#This Row],[Customer Gender]]="F","Female", orders[[#This Row],[Customer Gender]]="O","Other", TRUE,"Unknown")</f>
        <v>Female</v>
      </c>
    </row>
    <row r="2226" spans="1:15" x14ac:dyDescent="0.2">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f t="array" ref="O2226">_xlfn.IFS(orders[[#This Row],[Customer Gender]]="M","Male", orders[[#This Row],[Customer Gender]]="F","Female", orders[[#This Row],[Customer Gender]]="O","Other", TRUE,"Unknown")</f>
        <v>Female</v>
      </c>
    </row>
    <row r="2227" spans="1:15" x14ac:dyDescent="0.2">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f t="array" ref="O2227">_xlfn.IFS(orders[[#This Row],[Customer Gender]]="M","Male", orders[[#This Row],[Customer Gender]]="F","Female", orders[[#This Row],[Customer Gender]]="O","Other", TRUE,"Unknown")</f>
        <v>Female</v>
      </c>
    </row>
    <row r="2228" spans="1:15" x14ac:dyDescent="0.2">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f t="array" ref="O2228">_xlfn.IFS(orders[[#This Row],[Customer Gender]]="M","Male", orders[[#This Row],[Customer Gender]]="F","Female", orders[[#This Row],[Customer Gender]]="O","Other", TRUE,"Unknown")</f>
        <v>Male</v>
      </c>
    </row>
    <row r="2229" spans="1:15" x14ac:dyDescent="0.2">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f t="array" ref="O2229">_xlfn.IFS(orders[[#This Row],[Customer Gender]]="M","Male", orders[[#This Row],[Customer Gender]]="F","Female", orders[[#This Row],[Customer Gender]]="O","Other", TRUE,"Unknown")</f>
        <v>Male</v>
      </c>
    </row>
    <row r="2230" spans="1:15" x14ac:dyDescent="0.2">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f t="array" ref="O2230">_xlfn.IFS(orders[[#This Row],[Customer Gender]]="M","Male", orders[[#This Row],[Customer Gender]]="F","Female", orders[[#This Row],[Customer Gender]]="O","Other", TRUE,"Unknown")</f>
        <v>Female</v>
      </c>
    </row>
    <row r="2231" spans="1:15" x14ac:dyDescent="0.2">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f t="array" ref="O2231">_xlfn.IFS(orders[[#This Row],[Customer Gender]]="M","Male", orders[[#This Row],[Customer Gender]]="F","Female", orders[[#This Row],[Customer Gender]]="O","Other", TRUE,"Unknown")</f>
        <v>Female</v>
      </c>
    </row>
    <row r="2232" spans="1:15" x14ac:dyDescent="0.2">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f t="array" ref="O2232">_xlfn.IFS(orders[[#This Row],[Customer Gender]]="M","Male", orders[[#This Row],[Customer Gender]]="F","Female", orders[[#This Row],[Customer Gender]]="O","Other", TRUE,"Unknown")</f>
        <v>Female</v>
      </c>
    </row>
    <row r="2233" spans="1:15" x14ac:dyDescent="0.2">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f t="array" ref="O2233">_xlfn.IFS(orders[[#This Row],[Customer Gender]]="M","Male", orders[[#This Row],[Customer Gender]]="F","Female", orders[[#This Row],[Customer Gender]]="O","Other", TRUE,"Unknown")</f>
        <v>Male</v>
      </c>
    </row>
    <row r="2234" spans="1:15" x14ac:dyDescent="0.2">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f t="array" ref="O2234">_xlfn.IFS(orders[[#This Row],[Customer Gender]]="M","Male", orders[[#This Row],[Customer Gender]]="F","Female", orders[[#This Row],[Customer Gender]]="O","Other", TRUE,"Unknown")</f>
        <v>Female</v>
      </c>
    </row>
    <row r="2235" spans="1:15" x14ac:dyDescent="0.2">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f t="array" ref="O2235">_xlfn.IFS(orders[[#This Row],[Customer Gender]]="M","Male", orders[[#This Row],[Customer Gender]]="F","Female", orders[[#This Row],[Customer Gender]]="O","Other", TRUE,"Unknown")</f>
        <v>Male</v>
      </c>
    </row>
    <row r="2236" spans="1:15" x14ac:dyDescent="0.2">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f t="array" ref="O2236">_xlfn.IFS(orders[[#This Row],[Customer Gender]]="M","Male", orders[[#This Row],[Customer Gender]]="F","Female", orders[[#This Row],[Customer Gender]]="O","Other", TRUE,"Unknown")</f>
        <v>Female</v>
      </c>
    </row>
    <row r="2237" spans="1:15" x14ac:dyDescent="0.2">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f t="array" ref="O2237">_xlfn.IFS(orders[[#This Row],[Customer Gender]]="M","Male", orders[[#This Row],[Customer Gender]]="F","Female", orders[[#This Row],[Customer Gender]]="O","Other", TRUE,"Unknown")</f>
        <v>Unknown</v>
      </c>
    </row>
    <row r="2238" spans="1:15" x14ac:dyDescent="0.2">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f t="array" ref="O2238">_xlfn.IFS(orders[[#This Row],[Customer Gender]]="M","Male", orders[[#This Row],[Customer Gender]]="F","Female", orders[[#This Row],[Customer Gender]]="O","Other", TRUE,"Unknown")</f>
        <v>Female</v>
      </c>
    </row>
    <row r="2239" spans="1:15" x14ac:dyDescent="0.2">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f t="array" ref="O2239">_xlfn.IFS(orders[[#This Row],[Customer Gender]]="M","Male", orders[[#This Row],[Customer Gender]]="F","Female", orders[[#This Row],[Customer Gender]]="O","Other", TRUE,"Unknown")</f>
        <v>Female</v>
      </c>
    </row>
    <row r="2240" spans="1:15" x14ac:dyDescent="0.2">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f t="array" ref="O2240">_xlfn.IFS(orders[[#This Row],[Customer Gender]]="M","Male", orders[[#This Row],[Customer Gender]]="F","Female", orders[[#This Row],[Customer Gender]]="O","Other", TRUE,"Unknown")</f>
        <v>Male</v>
      </c>
    </row>
    <row r="2241" spans="1:15" x14ac:dyDescent="0.2">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f t="array" ref="O2241">_xlfn.IFS(orders[[#This Row],[Customer Gender]]="M","Male", orders[[#This Row],[Customer Gender]]="F","Female", orders[[#This Row],[Customer Gender]]="O","Other", TRUE,"Unknown")</f>
        <v>Female</v>
      </c>
    </row>
    <row r="2242" spans="1:15" x14ac:dyDescent="0.2">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f t="array" ref="O2242">_xlfn.IFS(orders[[#This Row],[Customer Gender]]="M","Male", orders[[#This Row],[Customer Gender]]="F","Female", orders[[#This Row],[Customer Gender]]="O","Other", TRUE,"Unknown")</f>
        <v>Female</v>
      </c>
    </row>
    <row r="2243" spans="1:15" x14ac:dyDescent="0.2">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f t="array" ref="O2243">_xlfn.IFS(orders[[#This Row],[Customer Gender]]="M","Male", orders[[#This Row],[Customer Gender]]="F","Female", orders[[#This Row],[Customer Gender]]="O","Other", TRUE,"Unknown")</f>
        <v>Male</v>
      </c>
    </row>
    <row r="2244" spans="1:15" x14ac:dyDescent="0.2">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f t="array" ref="O2244">_xlfn.IFS(orders[[#This Row],[Customer Gender]]="M","Male", orders[[#This Row],[Customer Gender]]="F","Female", orders[[#This Row],[Customer Gender]]="O","Other", TRUE,"Unknown")</f>
        <v>Male</v>
      </c>
    </row>
    <row r="2245" spans="1:15" x14ac:dyDescent="0.2">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f t="array" ref="O2245">_xlfn.IFS(orders[[#This Row],[Customer Gender]]="M","Male", orders[[#This Row],[Customer Gender]]="F","Female", orders[[#This Row],[Customer Gender]]="O","Other", TRUE,"Unknown")</f>
        <v>Female</v>
      </c>
    </row>
    <row r="2246" spans="1:15" x14ac:dyDescent="0.2">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f t="array" ref="O2246">_xlfn.IFS(orders[[#This Row],[Customer Gender]]="M","Male", orders[[#This Row],[Customer Gender]]="F","Female", orders[[#This Row],[Customer Gender]]="O","Other", TRUE,"Unknown")</f>
        <v>Male</v>
      </c>
    </row>
    <row r="2247" spans="1:15" x14ac:dyDescent="0.2">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f t="array" ref="O2247">_xlfn.IFS(orders[[#This Row],[Customer Gender]]="M","Male", orders[[#This Row],[Customer Gender]]="F","Female", orders[[#This Row],[Customer Gender]]="O","Other", TRUE,"Unknown")</f>
        <v>Female</v>
      </c>
    </row>
    <row r="2248" spans="1:15" x14ac:dyDescent="0.2">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f t="array" ref="O2248">_xlfn.IFS(orders[[#This Row],[Customer Gender]]="M","Male", orders[[#This Row],[Customer Gender]]="F","Female", orders[[#This Row],[Customer Gender]]="O","Other", TRUE,"Unknown")</f>
        <v>Female</v>
      </c>
    </row>
    <row r="2249" spans="1:15" x14ac:dyDescent="0.2">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f t="array" ref="O2249">_xlfn.IFS(orders[[#This Row],[Customer Gender]]="M","Male", orders[[#This Row],[Customer Gender]]="F","Female", orders[[#This Row],[Customer Gender]]="O","Other", TRUE,"Unknown")</f>
        <v>Female</v>
      </c>
    </row>
    <row r="2250" spans="1:15" x14ac:dyDescent="0.2">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f t="array" ref="O2250">_xlfn.IFS(orders[[#This Row],[Customer Gender]]="M","Male", orders[[#This Row],[Customer Gender]]="F","Female", orders[[#This Row],[Customer Gender]]="O","Other", TRUE,"Unknown")</f>
        <v>Male</v>
      </c>
    </row>
    <row r="2251" spans="1:15" x14ac:dyDescent="0.2">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f t="array" ref="O2251">_xlfn.IFS(orders[[#This Row],[Customer Gender]]="M","Male", orders[[#This Row],[Customer Gender]]="F","Female", orders[[#This Row],[Customer Gender]]="O","Other", TRUE,"Unknown")</f>
        <v>Female</v>
      </c>
    </row>
    <row r="2252" spans="1:15" x14ac:dyDescent="0.2">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f t="array" ref="O2252">_xlfn.IFS(orders[[#This Row],[Customer Gender]]="M","Male", orders[[#This Row],[Customer Gender]]="F","Female", orders[[#This Row],[Customer Gender]]="O","Other", TRUE,"Unknown")</f>
        <v>Female</v>
      </c>
    </row>
    <row r="2253" spans="1:15" x14ac:dyDescent="0.2">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f t="array" ref="O2253">_xlfn.IFS(orders[[#This Row],[Customer Gender]]="M","Male", orders[[#This Row],[Customer Gender]]="F","Female", orders[[#This Row],[Customer Gender]]="O","Other", TRUE,"Unknown")</f>
        <v>Male</v>
      </c>
    </row>
    <row r="2254" spans="1:15" x14ac:dyDescent="0.2">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f t="array" ref="O2254">_xlfn.IFS(orders[[#This Row],[Customer Gender]]="M","Male", orders[[#This Row],[Customer Gender]]="F","Female", orders[[#This Row],[Customer Gender]]="O","Other", TRUE,"Unknown")</f>
        <v>Male</v>
      </c>
    </row>
    <row r="2255" spans="1:15" x14ac:dyDescent="0.2">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f t="array" ref="O2255">_xlfn.IFS(orders[[#This Row],[Customer Gender]]="M","Male", orders[[#This Row],[Customer Gender]]="F","Female", orders[[#This Row],[Customer Gender]]="O","Other", TRUE,"Unknown")</f>
        <v>Male</v>
      </c>
    </row>
    <row r="2256" spans="1:15" x14ac:dyDescent="0.2">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f t="array" ref="O2256">_xlfn.IFS(orders[[#This Row],[Customer Gender]]="M","Male", orders[[#This Row],[Customer Gender]]="F","Female", orders[[#This Row],[Customer Gender]]="O","Other", TRUE,"Unknown")</f>
        <v>Female</v>
      </c>
    </row>
    <row r="2257" spans="1:15" x14ac:dyDescent="0.2">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f t="array" ref="O2257">_xlfn.IFS(orders[[#This Row],[Customer Gender]]="M","Male", orders[[#This Row],[Customer Gender]]="F","Female", orders[[#This Row],[Customer Gender]]="O","Other", TRUE,"Unknown")</f>
        <v>Female</v>
      </c>
    </row>
    <row r="2258" spans="1:15" x14ac:dyDescent="0.2">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f t="array" ref="O2258">_xlfn.IFS(orders[[#This Row],[Customer Gender]]="M","Male", orders[[#This Row],[Customer Gender]]="F","Female", orders[[#This Row],[Customer Gender]]="O","Other", TRUE,"Unknown")</f>
        <v>Male</v>
      </c>
    </row>
    <row r="2259" spans="1:15" x14ac:dyDescent="0.2">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f t="array" ref="O2259">_xlfn.IFS(orders[[#This Row],[Customer Gender]]="M","Male", orders[[#This Row],[Customer Gender]]="F","Female", orders[[#This Row],[Customer Gender]]="O","Other", TRUE,"Unknown")</f>
        <v>Female</v>
      </c>
    </row>
    <row r="2260" spans="1:15" x14ac:dyDescent="0.2">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f t="array" ref="O2260">_xlfn.IFS(orders[[#This Row],[Customer Gender]]="M","Male", orders[[#This Row],[Customer Gender]]="F","Female", orders[[#This Row],[Customer Gender]]="O","Other", TRUE,"Unknown")</f>
        <v>Female</v>
      </c>
    </row>
    <row r="2261" spans="1:15" x14ac:dyDescent="0.2">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f t="array" ref="O2261">_xlfn.IFS(orders[[#This Row],[Customer Gender]]="M","Male", orders[[#This Row],[Customer Gender]]="F","Female", orders[[#This Row],[Customer Gender]]="O","Other", TRUE,"Unknown")</f>
        <v>Female</v>
      </c>
    </row>
    <row r="2262" spans="1:15" x14ac:dyDescent="0.2">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f t="array" ref="O2262">_xlfn.IFS(orders[[#This Row],[Customer Gender]]="M","Male", orders[[#This Row],[Customer Gender]]="F","Female", orders[[#This Row],[Customer Gender]]="O","Other", TRUE,"Unknown")</f>
        <v>Female</v>
      </c>
    </row>
    <row r="2263" spans="1:15" x14ac:dyDescent="0.2">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f t="array" ref="O2263">_xlfn.IFS(orders[[#This Row],[Customer Gender]]="M","Male", orders[[#This Row],[Customer Gender]]="F","Female", orders[[#This Row],[Customer Gender]]="O","Other", TRUE,"Unknown")</f>
        <v>Male</v>
      </c>
    </row>
    <row r="2264" spans="1:15" x14ac:dyDescent="0.2">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f t="array" ref="O2264">_xlfn.IFS(orders[[#This Row],[Customer Gender]]="M","Male", orders[[#This Row],[Customer Gender]]="F","Female", orders[[#This Row],[Customer Gender]]="O","Other", TRUE,"Unknown")</f>
        <v>Male</v>
      </c>
    </row>
    <row r="2265" spans="1:15" x14ac:dyDescent="0.2">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f t="array" ref="O2265">_xlfn.IFS(orders[[#This Row],[Customer Gender]]="M","Male", orders[[#This Row],[Customer Gender]]="F","Female", orders[[#This Row],[Customer Gender]]="O","Other", TRUE,"Unknown")</f>
        <v>Male</v>
      </c>
    </row>
    <row r="2266" spans="1:15" x14ac:dyDescent="0.2">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f t="array" ref="O2266">_xlfn.IFS(orders[[#This Row],[Customer Gender]]="M","Male", orders[[#This Row],[Customer Gender]]="F","Female", orders[[#This Row],[Customer Gender]]="O","Other", TRUE,"Unknown")</f>
        <v>Male</v>
      </c>
    </row>
    <row r="2267" spans="1:15" x14ac:dyDescent="0.2">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f t="array" ref="O2267">_xlfn.IFS(orders[[#This Row],[Customer Gender]]="M","Male", orders[[#This Row],[Customer Gender]]="F","Female", orders[[#This Row],[Customer Gender]]="O","Other", TRUE,"Unknown")</f>
        <v>Other</v>
      </c>
    </row>
    <row r="2268" spans="1:15" x14ac:dyDescent="0.2">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f t="array" ref="O2268">_xlfn.IFS(orders[[#This Row],[Customer Gender]]="M","Male", orders[[#This Row],[Customer Gender]]="F","Female", orders[[#This Row],[Customer Gender]]="O","Other", TRUE,"Unknown")</f>
        <v>Female</v>
      </c>
    </row>
    <row r="2269" spans="1:15" x14ac:dyDescent="0.2">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f t="array" ref="O2269">_xlfn.IFS(orders[[#This Row],[Customer Gender]]="M","Male", orders[[#This Row],[Customer Gender]]="F","Female", orders[[#This Row],[Customer Gender]]="O","Other", TRUE,"Unknown")</f>
        <v>Female</v>
      </c>
    </row>
    <row r="2270" spans="1:15" x14ac:dyDescent="0.2">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f t="array" ref="O2270">_xlfn.IFS(orders[[#This Row],[Customer Gender]]="M","Male", orders[[#This Row],[Customer Gender]]="F","Female", orders[[#This Row],[Customer Gender]]="O","Other", TRUE,"Unknown")</f>
        <v>Female</v>
      </c>
    </row>
    <row r="2271" spans="1:15" x14ac:dyDescent="0.2">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f t="array" ref="O2271">_xlfn.IFS(orders[[#This Row],[Customer Gender]]="M","Male", orders[[#This Row],[Customer Gender]]="F","Female", orders[[#This Row],[Customer Gender]]="O","Other", TRUE,"Unknown")</f>
        <v>Female</v>
      </c>
    </row>
    <row r="2272" spans="1:15" x14ac:dyDescent="0.2">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f t="array" ref="O2272">_xlfn.IFS(orders[[#This Row],[Customer Gender]]="M","Male", orders[[#This Row],[Customer Gender]]="F","Female", orders[[#This Row],[Customer Gender]]="O","Other", TRUE,"Unknown")</f>
        <v>Female</v>
      </c>
    </row>
    <row r="2273" spans="1:15" x14ac:dyDescent="0.2">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f t="array" ref="O2273">_xlfn.IFS(orders[[#This Row],[Customer Gender]]="M","Male", orders[[#This Row],[Customer Gender]]="F","Female", orders[[#This Row],[Customer Gender]]="O","Other", TRUE,"Unknown")</f>
        <v>Female</v>
      </c>
    </row>
    <row r="2274" spans="1:15" x14ac:dyDescent="0.2">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f t="array" ref="O2274">_xlfn.IFS(orders[[#This Row],[Customer Gender]]="M","Male", orders[[#This Row],[Customer Gender]]="F","Female", orders[[#This Row],[Customer Gender]]="O","Other", TRUE,"Unknown")</f>
        <v>Female</v>
      </c>
    </row>
    <row r="2275" spans="1:15" x14ac:dyDescent="0.2">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f t="array" ref="O2275">_xlfn.IFS(orders[[#This Row],[Customer Gender]]="M","Male", orders[[#This Row],[Customer Gender]]="F","Female", orders[[#This Row],[Customer Gender]]="O","Other", TRUE,"Unknown")</f>
        <v>Male</v>
      </c>
    </row>
    <row r="2276" spans="1:15" x14ac:dyDescent="0.2">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f t="array" ref="O2276">_xlfn.IFS(orders[[#This Row],[Customer Gender]]="M","Male", orders[[#This Row],[Customer Gender]]="F","Female", orders[[#This Row],[Customer Gender]]="O","Other", TRUE,"Unknown")</f>
        <v>Male</v>
      </c>
    </row>
    <row r="2277" spans="1:15" x14ac:dyDescent="0.2">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f t="array" ref="O2277">_xlfn.IFS(orders[[#This Row],[Customer Gender]]="M","Male", orders[[#This Row],[Customer Gender]]="F","Female", orders[[#This Row],[Customer Gender]]="O","Other", TRUE,"Unknown")</f>
        <v>Unknown</v>
      </c>
    </row>
    <row r="2278" spans="1:15" x14ac:dyDescent="0.2">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f t="array" ref="O2278">_xlfn.IFS(orders[[#This Row],[Customer Gender]]="M","Male", orders[[#This Row],[Customer Gender]]="F","Female", orders[[#This Row],[Customer Gender]]="O","Other", TRUE,"Unknown")</f>
        <v>Female</v>
      </c>
    </row>
    <row r="2279" spans="1:15" x14ac:dyDescent="0.2">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f t="array" ref="O2279">_xlfn.IFS(orders[[#This Row],[Customer Gender]]="M","Male", orders[[#This Row],[Customer Gender]]="F","Female", orders[[#This Row],[Customer Gender]]="O","Other", TRUE,"Unknown")</f>
        <v>Male</v>
      </c>
    </row>
    <row r="2280" spans="1:15" x14ac:dyDescent="0.2">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f t="array" ref="O2280">_xlfn.IFS(orders[[#This Row],[Customer Gender]]="M","Male", orders[[#This Row],[Customer Gender]]="F","Female", orders[[#This Row],[Customer Gender]]="O","Other", TRUE,"Unknown")</f>
        <v>Male</v>
      </c>
    </row>
    <row r="2281" spans="1:15" x14ac:dyDescent="0.2">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f t="array" ref="O2281">_xlfn.IFS(orders[[#This Row],[Customer Gender]]="M","Male", orders[[#This Row],[Customer Gender]]="F","Female", orders[[#This Row],[Customer Gender]]="O","Other", TRUE,"Unknown")</f>
        <v>Male</v>
      </c>
    </row>
    <row r="2282" spans="1:15" x14ac:dyDescent="0.2">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f t="array" ref="O2282">_xlfn.IFS(orders[[#This Row],[Customer Gender]]="M","Male", orders[[#This Row],[Customer Gender]]="F","Female", orders[[#This Row],[Customer Gender]]="O","Other", TRUE,"Unknown")</f>
        <v>Male</v>
      </c>
    </row>
    <row r="2283" spans="1:15" x14ac:dyDescent="0.2">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f t="array" ref="O2283">_xlfn.IFS(orders[[#This Row],[Customer Gender]]="M","Male", orders[[#This Row],[Customer Gender]]="F","Female", orders[[#This Row],[Customer Gender]]="O","Other", TRUE,"Unknown")</f>
        <v>Female</v>
      </c>
    </row>
    <row r="2284" spans="1:15" x14ac:dyDescent="0.2">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f t="array" ref="O2284">_xlfn.IFS(orders[[#This Row],[Customer Gender]]="M","Male", orders[[#This Row],[Customer Gender]]="F","Female", orders[[#This Row],[Customer Gender]]="O","Other", TRUE,"Unknown")</f>
        <v>Female</v>
      </c>
    </row>
    <row r="2285" spans="1:15" x14ac:dyDescent="0.2">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f t="array" ref="O2285">_xlfn.IFS(orders[[#This Row],[Customer Gender]]="M","Male", orders[[#This Row],[Customer Gender]]="F","Female", orders[[#This Row],[Customer Gender]]="O","Other", TRUE,"Unknown")</f>
        <v>Male</v>
      </c>
    </row>
    <row r="2286" spans="1:15" x14ac:dyDescent="0.2">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f t="array" ref="O2286">_xlfn.IFS(orders[[#This Row],[Customer Gender]]="M","Male", orders[[#This Row],[Customer Gender]]="F","Female", orders[[#This Row],[Customer Gender]]="O","Other", TRUE,"Unknown")</f>
        <v>Male</v>
      </c>
    </row>
    <row r="2287" spans="1:15" x14ac:dyDescent="0.2">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f t="array" ref="O2287">_xlfn.IFS(orders[[#This Row],[Customer Gender]]="M","Male", orders[[#This Row],[Customer Gender]]="F","Female", orders[[#This Row],[Customer Gender]]="O","Other", TRUE,"Unknown")</f>
        <v>Male</v>
      </c>
    </row>
    <row r="2288" spans="1:15" x14ac:dyDescent="0.2">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f t="array" ref="O2288">_xlfn.IFS(orders[[#This Row],[Customer Gender]]="M","Male", orders[[#This Row],[Customer Gender]]="F","Female", orders[[#This Row],[Customer Gender]]="O","Other", TRUE,"Unknown")</f>
        <v>Male</v>
      </c>
    </row>
    <row r="2289" spans="1:15" x14ac:dyDescent="0.2">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f t="array" ref="O2289">_xlfn.IFS(orders[[#This Row],[Customer Gender]]="M","Male", orders[[#This Row],[Customer Gender]]="F","Female", orders[[#This Row],[Customer Gender]]="O","Other", TRUE,"Unknown")</f>
        <v>Male</v>
      </c>
    </row>
    <row r="2290" spans="1:15" x14ac:dyDescent="0.2">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f t="array" ref="O2290">_xlfn.IFS(orders[[#This Row],[Customer Gender]]="M","Male", orders[[#This Row],[Customer Gender]]="F","Female", orders[[#This Row],[Customer Gender]]="O","Other", TRUE,"Unknown")</f>
        <v>Other</v>
      </c>
    </row>
    <row r="2291" spans="1:15" x14ac:dyDescent="0.2">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f t="array" ref="O2291">_xlfn.IFS(orders[[#This Row],[Customer Gender]]="M","Male", orders[[#This Row],[Customer Gender]]="F","Female", orders[[#This Row],[Customer Gender]]="O","Other", TRUE,"Unknown")</f>
        <v>Male</v>
      </c>
    </row>
    <row r="2292" spans="1:15" x14ac:dyDescent="0.2">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f t="array" ref="O2292">_xlfn.IFS(orders[[#This Row],[Customer Gender]]="M","Male", orders[[#This Row],[Customer Gender]]="F","Female", orders[[#This Row],[Customer Gender]]="O","Other", TRUE,"Unknown")</f>
        <v>Male</v>
      </c>
    </row>
    <row r="2293" spans="1:15" x14ac:dyDescent="0.2">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f t="array" ref="O2293">_xlfn.IFS(orders[[#This Row],[Customer Gender]]="M","Male", orders[[#This Row],[Customer Gender]]="F","Female", orders[[#This Row],[Customer Gender]]="O","Other", TRUE,"Unknown")</f>
        <v>Female</v>
      </c>
    </row>
    <row r="2294" spans="1:15" x14ac:dyDescent="0.2">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f t="array" ref="O2294">_xlfn.IFS(orders[[#This Row],[Customer Gender]]="M","Male", orders[[#This Row],[Customer Gender]]="F","Female", orders[[#This Row],[Customer Gender]]="O","Other", TRUE,"Unknown")</f>
        <v>Male</v>
      </c>
    </row>
    <row r="2295" spans="1:15" x14ac:dyDescent="0.2">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f t="array" ref="O2295">_xlfn.IFS(orders[[#This Row],[Customer Gender]]="M","Male", orders[[#This Row],[Customer Gender]]="F","Female", orders[[#This Row],[Customer Gender]]="O","Other", TRUE,"Unknown")</f>
        <v>Other</v>
      </c>
    </row>
    <row r="2296" spans="1:15" x14ac:dyDescent="0.2">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f t="array" ref="O2296">_xlfn.IFS(orders[[#This Row],[Customer Gender]]="M","Male", orders[[#This Row],[Customer Gender]]="F","Female", orders[[#This Row],[Customer Gender]]="O","Other", TRUE,"Unknown")</f>
        <v>Male</v>
      </c>
    </row>
    <row r="2297" spans="1:15" x14ac:dyDescent="0.2">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f t="array" ref="O2297">_xlfn.IFS(orders[[#This Row],[Customer Gender]]="M","Male", orders[[#This Row],[Customer Gender]]="F","Female", orders[[#This Row],[Customer Gender]]="O","Other", TRUE,"Unknown")</f>
        <v>Female</v>
      </c>
    </row>
    <row r="2298" spans="1:15" x14ac:dyDescent="0.2">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f t="array" ref="O2298">_xlfn.IFS(orders[[#This Row],[Customer Gender]]="M","Male", orders[[#This Row],[Customer Gender]]="F","Female", orders[[#This Row],[Customer Gender]]="O","Other", TRUE,"Unknown")</f>
        <v>Male</v>
      </c>
    </row>
    <row r="2299" spans="1:15" x14ac:dyDescent="0.2">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f t="array" ref="O2299">_xlfn.IFS(orders[[#This Row],[Customer Gender]]="M","Male", orders[[#This Row],[Customer Gender]]="F","Female", orders[[#This Row],[Customer Gender]]="O","Other", TRUE,"Unknown")</f>
        <v>Male</v>
      </c>
    </row>
    <row r="2300" spans="1:15" x14ac:dyDescent="0.2">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f t="array" ref="O2300">_xlfn.IFS(orders[[#This Row],[Customer Gender]]="M","Male", orders[[#This Row],[Customer Gender]]="F","Female", orders[[#This Row],[Customer Gender]]="O","Other", TRUE,"Unknown")</f>
        <v>Male</v>
      </c>
    </row>
    <row r="2301" spans="1:15" x14ac:dyDescent="0.2">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f t="array" ref="O2301">_xlfn.IFS(orders[[#This Row],[Customer Gender]]="M","Male", orders[[#This Row],[Customer Gender]]="F","Female", orders[[#This Row],[Customer Gender]]="O","Other", TRUE,"Unknown")</f>
        <v>Female</v>
      </c>
    </row>
    <row r="2302" spans="1:15" x14ac:dyDescent="0.2">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f t="array" ref="O2302">_xlfn.IFS(orders[[#This Row],[Customer Gender]]="M","Male", orders[[#This Row],[Customer Gender]]="F","Female", orders[[#This Row],[Customer Gender]]="O","Other", TRUE,"Unknown")</f>
        <v>Male</v>
      </c>
    </row>
    <row r="2303" spans="1:15" x14ac:dyDescent="0.2">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f t="array" ref="O2303">_xlfn.IFS(orders[[#This Row],[Customer Gender]]="M","Male", orders[[#This Row],[Customer Gender]]="F","Female", orders[[#This Row],[Customer Gender]]="O","Other", TRUE,"Unknown")</f>
        <v>Male</v>
      </c>
    </row>
    <row r="2304" spans="1:15" x14ac:dyDescent="0.2">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f t="array" ref="O2304">_xlfn.IFS(orders[[#This Row],[Customer Gender]]="M","Male", orders[[#This Row],[Customer Gender]]="F","Female", orders[[#This Row],[Customer Gender]]="O","Other", TRUE,"Unknown")</f>
        <v>Male</v>
      </c>
    </row>
    <row r="2305" spans="1:15" x14ac:dyDescent="0.2">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f t="array" ref="O2305">_xlfn.IFS(orders[[#This Row],[Customer Gender]]="M","Male", orders[[#This Row],[Customer Gender]]="F","Female", orders[[#This Row],[Customer Gender]]="O","Other", TRUE,"Unknown")</f>
        <v>Female</v>
      </c>
    </row>
    <row r="2306" spans="1:15" x14ac:dyDescent="0.2">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f t="array" ref="O2306">_xlfn.IFS(orders[[#This Row],[Customer Gender]]="M","Male", orders[[#This Row],[Customer Gender]]="F","Female", orders[[#This Row],[Customer Gender]]="O","Other", TRUE,"Unknown")</f>
        <v>Female</v>
      </c>
    </row>
    <row r="2307" spans="1:15" x14ac:dyDescent="0.2">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f t="array" ref="O2307">_xlfn.IFS(orders[[#This Row],[Customer Gender]]="M","Male", orders[[#This Row],[Customer Gender]]="F","Female", orders[[#This Row],[Customer Gender]]="O","Other", TRUE,"Unknown")</f>
        <v>Male</v>
      </c>
    </row>
    <row r="2308" spans="1:15" x14ac:dyDescent="0.2">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f t="array" ref="O2308">_xlfn.IFS(orders[[#This Row],[Customer Gender]]="M","Male", orders[[#This Row],[Customer Gender]]="F","Female", orders[[#This Row],[Customer Gender]]="O","Other", TRUE,"Unknown")</f>
        <v>Female</v>
      </c>
    </row>
    <row r="2309" spans="1:15" x14ac:dyDescent="0.2">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f t="array" ref="O2309">_xlfn.IFS(orders[[#This Row],[Customer Gender]]="M","Male", orders[[#This Row],[Customer Gender]]="F","Female", orders[[#This Row],[Customer Gender]]="O","Other", TRUE,"Unknown")</f>
        <v>Unknown</v>
      </c>
    </row>
    <row r="2310" spans="1:15" x14ac:dyDescent="0.2">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f t="array" ref="O2310">_xlfn.IFS(orders[[#This Row],[Customer Gender]]="M","Male", orders[[#This Row],[Customer Gender]]="F","Female", orders[[#This Row],[Customer Gender]]="O","Other", TRUE,"Unknown")</f>
        <v>Male</v>
      </c>
    </row>
    <row r="2311" spans="1:15" x14ac:dyDescent="0.2">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f t="array" ref="O2311">_xlfn.IFS(orders[[#This Row],[Customer Gender]]="M","Male", orders[[#This Row],[Customer Gender]]="F","Female", orders[[#This Row],[Customer Gender]]="O","Other", TRUE,"Unknown")</f>
        <v>Male</v>
      </c>
    </row>
    <row r="2312" spans="1:15" x14ac:dyDescent="0.2">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f t="array" ref="O2312">_xlfn.IFS(orders[[#This Row],[Customer Gender]]="M","Male", orders[[#This Row],[Customer Gender]]="F","Female", orders[[#This Row],[Customer Gender]]="O","Other", TRUE,"Unknown")</f>
        <v>Male</v>
      </c>
    </row>
    <row r="2313" spans="1:15" x14ac:dyDescent="0.2">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f t="array" ref="O2313">_xlfn.IFS(orders[[#This Row],[Customer Gender]]="M","Male", orders[[#This Row],[Customer Gender]]="F","Female", orders[[#This Row],[Customer Gender]]="O","Other", TRUE,"Unknown")</f>
        <v>Female</v>
      </c>
    </row>
    <row r="2314" spans="1:15" x14ac:dyDescent="0.2">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f t="array" ref="O2314">_xlfn.IFS(orders[[#This Row],[Customer Gender]]="M","Male", orders[[#This Row],[Customer Gender]]="F","Female", orders[[#This Row],[Customer Gender]]="O","Other", TRUE,"Unknown")</f>
        <v>Female</v>
      </c>
    </row>
    <row r="2315" spans="1:15" x14ac:dyDescent="0.2">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f t="array" ref="O2315">_xlfn.IFS(orders[[#This Row],[Customer Gender]]="M","Male", orders[[#This Row],[Customer Gender]]="F","Female", orders[[#This Row],[Customer Gender]]="O","Other", TRUE,"Unknown")</f>
        <v>Female</v>
      </c>
    </row>
    <row r="2316" spans="1:15" x14ac:dyDescent="0.2">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f t="array" ref="O2316">_xlfn.IFS(orders[[#This Row],[Customer Gender]]="M","Male", orders[[#This Row],[Customer Gender]]="F","Female", orders[[#This Row],[Customer Gender]]="O","Other", TRUE,"Unknown")</f>
        <v>Female</v>
      </c>
    </row>
    <row r="2317" spans="1:15" x14ac:dyDescent="0.2">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f t="array" ref="O2317">_xlfn.IFS(orders[[#This Row],[Customer Gender]]="M","Male", orders[[#This Row],[Customer Gender]]="F","Female", orders[[#This Row],[Customer Gender]]="O","Other", TRUE,"Unknown")</f>
        <v>Female</v>
      </c>
    </row>
    <row r="2318" spans="1:15" x14ac:dyDescent="0.2">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f t="array" ref="O2318">_xlfn.IFS(orders[[#This Row],[Customer Gender]]="M","Male", orders[[#This Row],[Customer Gender]]="F","Female", orders[[#This Row],[Customer Gender]]="O","Other", TRUE,"Unknown")</f>
        <v>Male</v>
      </c>
    </row>
    <row r="2319" spans="1:15" x14ac:dyDescent="0.2">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f t="array" ref="O2319">_xlfn.IFS(orders[[#This Row],[Customer Gender]]="M","Male", orders[[#This Row],[Customer Gender]]="F","Female", orders[[#This Row],[Customer Gender]]="O","Other", TRUE,"Unknown")</f>
        <v>Unknown</v>
      </c>
    </row>
    <row r="2320" spans="1:15" x14ac:dyDescent="0.2">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f t="array" ref="O2320">_xlfn.IFS(orders[[#This Row],[Customer Gender]]="M","Male", orders[[#This Row],[Customer Gender]]="F","Female", orders[[#This Row],[Customer Gender]]="O","Other", TRUE,"Unknown")</f>
        <v>Unknown</v>
      </c>
    </row>
    <row r="2321" spans="1:15" x14ac:dyDescent="0.2">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f t="array" ref="O2321">_xlfn.IFS(orders[[#This Row],[Customer Gender]]="M","Male", orders[[#This Row],[Customer Gender]]="F","Female", orders[[#This Row],[Customer Gender]]="O","Other", TRUE,"Unknown")</f>
        <v>Male</v>
      </c>
    </row>
    <row r="2322" spans="1:15" x14ac:dyDescent="0.2">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f t="array" ref="O2322">_xlfn.IFS(orders[[#This Row],[Customer Gender]]="M","Male", orders[[#This Row],[Customer Gender]]="F","Female", orders[[#This Row],[Customer Gender]]="O","Other", TRUE,"Unknown")</f>
        <v>Female</v>
      </c>
    </row>
    <row r="2323" spans="1:15" x14ac:dyDescent="0.2">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f t="array" ref="O2323">_xlfn.IFS(orders[[#This Row],[Customer Gender]]="M","Male", orders[[#This Row],[Customer Gender]]="F","Female", orders[[#This Row],[Customer Gender]]="O","Other", TRUE,"Unknown")</f>
        <v>Female</v>
      </c>
    </row>
    <row r="2324" spans="1:15" x14ac:dyDescent="0.2">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f t="array" ref="O2324">_xlfn.IFS(orders[[#This Row],[Customer Gender]]="M","Male", orders[[#This Row],[Customer Gender]]="F","Female", orders[[#This Row],[Customer Gender]]="O","Other", TRUE,"Unknown")</f>
        <v>Female</v>
      </c>
    </row>
    <row r="2325" spans="1:15" x14ac:dyDescent="0.2">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f t="array" ref="O2325">_xlfn.IFS(orders[[#This Row],[Customer Gender]]="M","Male", orders[[#This Row],[Customer Gender]]="F","Female", orders[[#This Row],[Customer Gender]]="O","Other", TRUE,"Unknown")</f>
        <v>Male</v>
      </c>
    </row>
    <row r="2326" spans="1:15" x14ac:dyDescent="0.2">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f t="array" ref="O2326">_xlfn.IFS(orders[[#This Row],[Customer Gender]]="M","Male", orders[[#This Row],[Customer Gender]]="F","Female", orders[[#This Row],[Customer Gender]]="O","Other", TRUE,"Unknown")</f>
        <v>Female</v>
      </c>
    </row>
    <row r="2327" spans="1:15" x14ac:dyDescent="0.2">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f t="array" ref="O2327">_xlfn.IFS(orders[[#This Row],[Customer Gender]]="M","Male", orders[[#This Row],[Customer Gender]]="F","Female", orders[[#This Row],[Customer Gender]]="O","Other", TRUE,"Unknown")</f>
        <v>Female</v>
      </c>
    </row>
    <row r="2328" spans="1:15" x14ac:dyDescent="0.2">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f t="array" ref="O2328">_xlfn.IFS(orders[[#This Row],[Customer Gender]]="M","Male", orders[[#This Row],[Customer Gender]]="F","Female", orders[[#This Row],[Customer Gender]]="O","Other", TRUE,"Unknown")</f>
        <v>Female</v>
      </c>
    </row>
    <row r="2329" spans="1:15" x14ac:dyDescent="0.2">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f t="array" ref="O2329">_xlfn.IFS(orders[[#This Row],[Customer Gender]]="M","Male", orders[[#This Row],[Customer Gender]]="F","Female", orders[[#This Row],[Customer Gender]]="O","Other", TRUE,"Unknown")</f>
        <v>Female</v>
      </c>
    </row>
    <row r="2330" spans="1:15" x14ac:dyDescent="0.2">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f t="array" ref="O2330">_xlfn.IFS(orders[[#This Row],[Customer Gender]]="M","Male", orders[[#This Row],[Customer Gender]]="F","Female", orders[[#This Row],[Customer Gender]]="O","Other", TRUE,"Unknown")</f>
        <v>Female</v>
      </c>
    </row>
    <row r="2331" spans="1:15" x14ac:dyDescent="0.2">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f t="array" ref="O2331">_xlfn.IFS(orders[[#This Row],[Customer Gender]]="M","Male", orders[[#This Row],[Customer Gender]]="F","Female", orders[[#This Row],[Customer Gender]]="O","Other", TRUE,"Unknown")</f>
        <v>Male</v>
      </c>
    </row>
    <row r="2332" spans="1:15" x14ac:dyDescent="0.2">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f t="array" ref="O2332">_xlfn.IFS(orders[[#This Row],[Customer Gender]]="M","Male", orders[[#This Row],[Customer Gender]]="F","Female", orders[[#This Row],[Customer Gender]]="O","Other", TRUE,"Unknown")</f>
        <v>Male</v>
      </c>
    </row>
    <row r="2333" spans="1:15" x14ac:dyDescent="0.2">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f t="array" ref="O2333">_xlfn.IFS(orders[[#This Row],[Customer Gender]]="M","Male", orders[[#This Row],[Customer Gender]]="F","Female", orders[[#This Row],[Customer Gender]]="O","Other", TRUE,"Unknown")</f>
        <v>Female</v>
      </c>
    </row>
    <row r="2334" spans="1:15" x14ac:dyDescent="0.2">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f t="array" ref="O2334">_xlfn.IFS(orders[[#This Row],[Customer Gender]]="M","Male", orders[[#This Row],[Customer Gender]]="F","Female", orders[[#This Row],[Customer Gender]]="O","Other", TRUE,"Unknown")</f>
        <v>Male</v>
      </c>
    </row>
    <row r="2335" spans="1:15" x14ac:dyDescent="0.2">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f t="array" ref="O2335">_xlfn.IFS(orders[[#This Row],[Customer Gender]]="M","Male", orders[[#This Row],[Customer Gender]]="F","Female", orders[[#This Row],[Customer Gender]]="O","Other", TRUE,"Unknown")</f>
        <v>Female</v>
      </c>
    </row>
    <row r="2336" spans="1:15" x14ac:dyDescent="0.2">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f t="array" ref="O2336">_xlfn.IFS(orders[[#This Row],[Customer Gender]]="M","Male", orders[[#This Row],[Customer Gender]]="F","Female", orders[[#This Row],[Customer Gender]]="O","Other", TRUE,"Unknown")</f>
        <v>Male</v>
      </c>
    </row>
    <row r="2337" spans="1:15" x14ac:dyDescent="0.2">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f t="array" ref="O2337">_xlfn.IFS(orders[[#This Row],[Customer Gender]]="M","Male", orders[[#This Row],[Customer Gender]]="F","Female", orders[[#This Row],[Customer Gender]]="O","Other", TRUE,"Unknown")</f>
        <v>Male</v>
      </c>
    </row>
    <row r="2338" spans="1:15" x14ac:dyDescent="0.2">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f t="array" ref="O2338">_xlfn.IFS(orders[[#This Row],[Customer Gender]]="M","Male", orders[[#This Row],[Customer Gender]]="F","Female", orders[[#This Row],[Customer Gender]]="O","Other", TRUE,"Unknown")</f>
        <v>Female</v>
      </c>
    </row>
    <row r="2339" spans="1:15" x14ac:dyDescent="0.2">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f t="array" ref="O2339">_xlfn.IFS(orders[[#This Row],[Customer Gender]]="M","Male", orders[[#This Row],[Customer Gender]]="F","Female", orders[[#This Row],[Customer Gender]]="O","Other", TRUE,"Unknown")</f>
        <v>Male</v>
      </c>
    </row>
    <row r="2340" spans="1:15" x14ac:dyDescent="0.2">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f t="array" ref="O2340">_xlfn.IFS(orders[[#This Row],[Customer Gender]]="M","Male", orders[[#This Row],[Customer Gender]]="F","Female", orders[[#This Row],[Customer Gender]]="O","Other", TRUE,"Unknown")</f>
        <v>Male</v>
      </c>
    </row>
    <row r="2341" spans="1:15" x14ac:dyDescent="0.2">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f t="array" ref="O2341">_xlfn.IFS(orders[[#This Row],[Customer Gender]]="M","Male", orders[[#This Row],[Customer Gender]]="F","Female", orders[[#This Row],[Customer Gender]]="O","Other", TRUE,"Unknown")</f>
        <v>Male</v>
      </c>
    </row>
    <row r="2342" spans="1:15" x14ac:dyDescent="0.2">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f t="array" ref="O2342">_xlfn.IFS(orders[[#This Row],[Customer Gender]]="M","Male", orders[[#This Row],[Customer Gender]]="F","Female", orders[[#This Row],[Customer Gender]]="O","Other", TRUE,"Unknown")</f>
        <v>Male</v>
      </c>
    </row>
    <row r="2343" spans="1:15" x14ac:dyDescent="0.2">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f t="array" ref="O2343">_xlfn.IFS(orders[[#This Row],[Customer Gender]]="M","Male", orders[[#This Row],[Customer Gender]]="F","Female", orders[[#This Row],[Customer Gender]]="O","Other", TRUE,"Unknown")</f>
        <v>Female</v>
      </c>
    </row>
    <row r="2344" spans="1:15" x14ac:dyDescent="0.2">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f t="array" ref="O2344">_xlfn.IFS(orders[[#This Row],[Customer Gender]]="M","Male", orders[[#This Row],[Customer Gender]]="F","Female", orders[[#This Row],[Customer Gender]]="O","Other", TRUE,"Unknown")</f>
        <v>Male</v>
      </c>
    </row>
    <row r="2345" spans="1:15" x14ac:dyDescent="0.2">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f t="array" ref="O2345">_xlfn.IFS(orders[[#This Row],[Customer Gender]]="M","Male", orders[[#This Row],[Customer Gender]]="F","Female", orders[[#This Row],[Customer Gender]]="O","Other", TRUE,"Unknown")</f>
        <v>Other</v>
      </c>
    </row>
    <row r="2346" spans="1:15" x14ac:dyDescent="0.2">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f t="array" ref="O2346">_xlfn.IFS(orders[[#This Row],[Customer Gender]]="M","Male", orders[[#This Row],[Customer Gender]]="F","Female", orders[[#This Row],[Customer Gender]]="O","Other", TRUE,"Unknown")</f>
        <v>Female</v>
      </c>
    </row>
    <row r="2347" spans="1:15" x14ac:dyDescent="0.2">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f t="array" ref="O2347">_xlfn.IFS(orders[[#This Row],[Customer Gender]]="M","Male", orders[[#This Row],[Customer Gender]]="F","Female", orders[[#This Row],[Customer Gender]]="O","Other", TRUE,"Unknown")</f>
        <v>Female</v>
      </c>
    </row>
    <row r="2348" spans="1:15" x14ac:dyDescent="0.2">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f t="array" ref="O2348">_xlfn.IFS(orders[[#This Row],[Customer Gender]]="M","Male", orders[[#This Row],[Customer Gender]]="F","Female", orders[[#This Row],[Customer Gender]]="O","Other", TRUE,"Unknown")</f>
        <v>Female</v>
      </c>
    </row>
    <row r="2349" spans="1:15" x14ac:dyDescent="0.2">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f t="array" ref="O2349">_xlfn.IFS(orders[[#This Row],[Customer Gender]]="M","Male", orders[[#This Row],[Customer Gender]]="F","Female", orders[[#This Row],[Customer Gender]]="O","Other", TRUE,"Unknown")</f>
        <v>Female</v>
      </c>
    </row>
    <row r="2350" spans="1:15" x14ac:dyDescent="0.2">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f t="array" ref="O2350">_xlfn.IFS(orders[[#This Row],[Customer Gender]]="M","Male", orders[[#This Row],[Customer Gender]]="F","Female", orders[[#This Row],[Customer Gender]]="O","Other", TRUE,"Unknown")</f>
        <v>Other</v>
      </c>
    </row>
    <row r="2351" spans="1:15" x14ac:dyDescent="0.2">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f t="array" ref="O2351">_xlfn.IFS(orders[[#This Row],[Customer Gender]]="M","Male", orders[[#This Row],[Customer Gender]]="F","Female", orders[[#This Row],[Customer Gender]]="O","Other", TRUE,"Unknown")</f>
        <v>Female</v>
      </c>
    </row>
    <row r="2352" spans="1:15" x14ac:dyDescent="0.2">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f t="array" ref="O2352">_xlfn.IFS(orders[[#This Row],[Customer Gender]]="M","Male", orders[[#This Row],[Customer Gender]]="F","Female", orders[[#This Row],[Customer Gender]]="O","Other", TRUE,"Unknown")</f>
        <v>Female</v>
      </c>
    </row>
    <row r="2353" spans="1:15" x14ac:dyDescent="0.2">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f t="array" ref="O2353">_xlfn.IFS(orders[[#This Row],[Customer Gender]]="M","Male", orders[[#This Row],[Customer Gender]]="F","Female", orders[[#This Row],[Customer Gender]]="O","Other", TRUE,"Unknown")</f>
        <v>Female</v>
      </c>
    </row>
    <row r="2354" spans="1:15" x14ac:dyDescent="0.2">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f t="array" ref="O2354">_xlfn.IFS(orders[[#This Row],[Customer Gender]]="M","Male", orders[[#This Row],[Customer Gender]]="F","Female", orders[[#This Row],[Customer Gender]]="O","Other", TRUE,"Unknown")</f>
        <v>Female</v>
      </c>
    </row>
    <row r="2355" spans="1:15" x14ac:dyDescent="0.2">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f t="array" ref="O2355">_xlfn.IFS(orders[[#This Row],[Customer Gender]]="M","Male", orders[[#This Row],[Customer Gender]]="F","Female", orders[[#This Row],[Customer Gender]]="O","Other", TRUE,"Unknown")</f>
        <v>Unknown</v>
      </c>
    </row>
    <row r="2356" spans="1:15" x14ac:dyDescent="0.2">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f t="array" ref="O2356">_xlfn.IFS(orders[[#This Row],[Customer Gender]]="M","Male", orders[[#This Row],[Customer Gender]]="F","Female", orders[[#This Row],[Customer Gender]]="O","Other", TRUE,"Unknown")</f>
        <v>Female</v>
      </c>
    </row>
    <row r="2357" spans="1:15" x14ac:dyDescent="0.2">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f t="array" ref="O2357">_xlfn.IFS(orders[[#This Row],[Customer Gender]]="M","Male", orders[[#This Row],[Customer Gender]]="F","Female", orders[[#This Row],[Customer Gender]]="O","Other", TRUE,"Unknown")</f>
        <v>Female</v>
      </c>
    </row>
    <row r="2358" spans="1:15" x14ac:dyDescent="0.2">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f t="array" ref="O2358">_xlfn.IFS(orders[[#This Row],[Customer Gender]]="M","Male", orders[[#This Row],[Customer Gender]]="F","Female", orders[[#This Row],[Customer Gender]]="O","Other", TRUE,"Unknown")</f>
        <v>Female</v>
      </c>
    </row>
    <row r="2359" spans="1:15" x14ac:dyDescent="0.2">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f t="array" ref="O2359">_xlfn.IFS(orders[[#This Row],[Customer Gender]]="M","Male", orders[[#This Row],[Customer Gender]]="F","Female", orders[[#This Row],[Customer Gender]]="O","Other", TRUE,"Unknown")</f>
        <v>Male</v>
      </c>
    </row>
    <row r="2360" spans="1:15" x14ac:dyDescent="0.2">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f t="array" ref="O2360">_xlfn.IFS(orders[[#This Row],[Customer Gender]]="M","Male", orders[[#This Row],[Customer Gender]]="F","Female", orders[[#This Row],[Customer Gender]]="O","Other", TRUE,"Unknown")</f>
        <v>Male</v>
      </c>
    </row>
    <row r="2361" spans="1:15" x14ac:dyDescent="0.2">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f t="array" ref="O2361">_xlfn.IFS(orders[[#This Row],[Customer Gender]]="M","Male", orders[[#This Row],[Customer Gender]]="F","Female", orders[[#This Row],[Customer Gender]]="O","Other", TRUE,"Unknown")</f>
        <v>Female</v>
      </c>
    </row>
    <row r="2362" spans="1:15" x14ac:dyDescent="0.2">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f t="array" ref="O2362">_xlfn.IFS(orders[[#This Row],[Customer Gender]]="M","Male", orders[[#This Row],[Customer Gender]]="F","Female", orders[[#This Row],[Customer Gender]]="O","Other", TRUE,"Unknown")</f>
        <v>Male</v>
      </c>
    </row>
    <row r="2363" spans="1:15" x14ac:dyDescent="0.2">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f t="array" ref="O2363">_xlfn.IFS(orders[[#This Row],[Customer Gender]]="M","Male", orders[[#This Row],[Customer Gender]]="F","Female", orders[[#This Row],[Customer Gender]]="O","Other", TRUE,"Unknown")</f>
        <v>Female</v>
      </c>
    </row>
    <row r="2364" spans="1:15" x14ac:dyDescent="0.2">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f t="array" ref="O2364">_xlfn.IFS(orders[[#This Row],[Customer Gender]]="M","Male", orders[[#This Row],[Customer Gender]]="F","Female", orders[[#This Row],[Customer Gender]]="O","Other", TRUE,"Unknown")</f>
        <v>Female</v>
      </c>
    </row>
    <row r="2365" spans="1:15" x14ac:dyDescent="0.2">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f t="array" ref="O2365">_xlfn.IFS(orders[[#This Row],[Customer Gender]]="M","Male", orders[[#This Row],[Customer Gender]]="F","Female", orders[[#This Row],[Customer Gender]]="O","Other", TRUE,"Unknown")</f>
        <v>Male</v>
      </c>
    </row>
    <row r="2366" spans="1:15" x14ac:dyDescent="0.2">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f t="array" ref="O2366">_xlfn.IFS(orders[[#This Row],[Customer Gender]]="M","Male", orders[[#This Row],[Customer Gender]]="F","Female", orders[[#This Row],[Customer Gender]]="O","Other", TRUE,"Unknown")</f>
        <v>Male</v>
      </c>
    </row>
    <row r="2367" spans="1:15" x14ac:dyDescent="0.2">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f t="array" ref="O2367">_xlfn.IFS(orders[[#This Row],[Customer Gender]]="M","Male", orders[[#This Row],[Customer Gender]]="F","Female", orders[[#This Row],[Customer Gender]]="O","Other", TRUE,"Unknown")</f>
        <v>Female</v>
      </c>
    </row>
    <row r="2368" spans="1:15" x14ac:dyDescent="0.2">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f t="array" ref="O2368">_xlfn.IFS(orders[[#This Row],[Customer Gender]]="M","Male", orders[[#This Row],[Customer Gender]]="F","Female", orders[[#This Row],[Customer Gender]]="O","Other", TRUE,"Unknown")</f>
        <v>Male</v>
      </c>
    </row>
    <row r="2369" spans="1:15" x14ac:dyDescent="0.2">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f t="array" ref="O2369">_xlfn.IFS(orders[[#This Row],[Customer Gender]]="M","Male", orders[[#This Row],[Customer Gender]]="F","Female", orders[[#This Row],[Customer Gender]]="O","Other", TRUE,"Unknown")</f>
        <v>Unknown</v>
      </c>
    </row>
    <row r="2370" spans="1:15" x14ac:dyDescent="0.2">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f t="array" ref="O2370">_xlfn.IFS(orders[[#This Row],[Customer Gender]]="M","Male", orders[[#This Row],[Customer Gender]]="F","Female", orders[[#This Row],[Customer Gender]]="O","Other", TRUE,"Unknown")</f>
        <v>Male</v>
      </c>
    </row>
    <row r="2371" spans="1:15" x14ac:dyDescent="0.2">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f t="array" ref="O2371">_xlfn.IFS(orders[[#This Row],[Customer Gender]]="M","Male", orders[[#This Row],[Customer Gender]]="F","Female", orders[[#This Row],[Customer Gender]]="O","Other", TRUE,"Unknown")</f>
        <v>Male</v>
      </c>
    </row>
    <row r="2372" spans="1:15" x14ac:dyDescent="0.2">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f t="array" ref="O2372">_xlfn.IFS(orders[[#This Row],[Customer Gender]]="M","Male", orders[[#This Row],[Customer Gender]]="F","Female", orders[[#This Row],[Customer Gender]]="O","Other", TRUE,"Unknown")</f>
        <v>Female</v>
      </c>
    </row>
    <row r="2373" spans="1:15" x14ac:dyDescent="0.2">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f t="array" ref="O2373">_xlfn.IFS(orders[[#This Row],[Customer Gender]]="M","Male", orders[[#This Row],[Customer Gender]]="F","Female", orders[[#This Row],[Customer Gender]]="O","Other", TRUE,"Unknown")</f>
        <v>Male</v>
      </c>
    </row>
    <row r="2374" spans="1:15" x14ac:dyDescent="0.2">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f t="array" ref="O2374">_xlfn.IFS(orders[[#This Row],[Customer Gender]]="M","Male", orders[[#This Row],[Customer Gender]]="F","Female", orders[[#This Row],[Customer Gender]]="O","Other", TRUE,"Unknown")</f>
        <v>Female</v>
      </c>
    </row>
    <row r="2375" spans="1:15" x14ac:dyDescent="0.2">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f t="array" ref="O2375">_xlfn.IFS(orders[[#This Row],[Customer Gender]]="M","Male", orders[[#This Row],[Customer Gender]]="F","Female", orders[[#This Row],[Customer Gender]]="O","Other", TRUE,"Unknown")</f>
        <v>Female</v>
      </c>
    </row>
    <row r="2376" spans="1:15" x14ac:dyDescent="0.2">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f t="array" ref="O2376">_xlfn.IFS(orders[[#This Row],[Customer Gender]]="M","Male", orders[[#This Row],[Customer Gender]]="F","Female", orders[[#This Row],[Customer Gender]]="O","Other", TRUE,"Unknown")</f>
        <v>Male</v>
      </c>
    </row>
    <row r="2377" spans="1:15" x14ac:dyDescent="0.2">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f t="array" ref="O2377">_xlfn.IFS(orders[[#This Row],[Customer Gender]]="M","Male", orders[[#This Row],[Customer Gender]]="F","Female", orders[[#This Row],[Customer Gender]]="O","Other", TRUE,"Unknown")</f>
        <v>Unknown</v>
      </c>
    </row>
    <row r="2378" spans="1:15" x14ac:dyDescent="0.2">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f t="array" ref="O2378">_xlfn.IFS(orders[[#This Row],[Customer Gender]]="M","Male", orders[[#This Row],[Customer Gender]]="F","Female", orders[[#This Row],[Customer Gender]]="O","Other", TRUE,"Unknown")</f>
        <v>Female</v>
      </c>
    </row>
    <row r="2379" spans="1:15" x14ac:dyDescent="0.2">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f t="array" ref="O2379">_xlfn.IFS(orders[[#This Row],[Customer Gender]]="M","Male", orders[[#This Row],[Customer Gender]]="F","Female", orders[[#This Row],[Customer Gender]]="O","Other", TRUE,"Unknown")</f>
        <v>Female</v>
      </c>
    </row>
    <row r="2380" spans="1:15" x14ac:dyDescent="0.2">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f t="array" ref="O2380">_xlfn.IFS(orders[[#This Row],[Customer Gender]]="M","Male", orders[[#This Row],[Customer Gender]]="F","Female", orders[[#This Row],[Customer Gender]]="O","Other", TRUE,"Unknown")</f>
        <v>Female</v>
      </c>
    </row>
    <row r="2381" spans="1:15" x14ac:dyDescent="0.2">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f t="array" ref="O2381">_xlfn.IFS(orders[[#This Row],[Customer Gender]]="M","Male", orders[[#This Row],[Customer Gender]]="F","Female", orders[[#This Row],[Customer Gender]]="O","Other", TRUE,"Unknown")</f>
        <v>Female</v>
      </c>
    </row>
    <row r="2382" spans="1:15" x14ac:dyDescent="0.2">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f t="array" ref="O2382">_xlfn.IFS(orders[[#This Row],[Customer Gender]]="M","Male", orders[[#This Row],[Customer Gender]]="F","Female", orders[[#This Row],[Customer Gender]]="O","Other", TRUE,"Unknown")</f>
        <v>Female</v>
      </c>
    </row>
    <row r="2383" spans="1:15" x14ac:dyDescent="0.2">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f t="array" ref="O2383">_xlfn.IFS(orders[[#This Row],[Customer Gender]]="M","Male", orders[[#This Row],[Customer Gender]]="F","Female", orders[[#This Row],[Customer Gender]]="O","Other", TRUE,"Unknown")</f>
        <v>Male</v>
      </c>
    </row>
    <row r="2384" spans="1:15" x14ac:dyDescent="0.2">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f t="array" ref="O2384">_xlfn.IFS(orders[[#This Row],[Customer Gender]]="M","Male", orders[[#This Row],[Customer Gender]]="F","Female", orders[[#This Row],[Customer Gender]]="O","Other", TRUE,"Unknown")</f>
        <v>Unknown</v>
      </c>
    </row>
    <row r="2385" spans="1:15" x14ac:dyDescent="0.2">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f t="array" ref="O2385">_xlfn.IFS(orders[[#This Row],[Customer Gender]]="M","Male", orders[[#This Row],[Customer Gender]]="F","Female", orders[[#This Row],[Customer Gender]]="O","Other", TRUE,"Unknown")</f>
        <v>Male</v>
      </c>
    </row>
    <row r="2386" spans="1:15" x14ac:dyDescent="0.2">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f t="array" ref="O2386">_xlfn.IFS(orders[[#This Row],[Customer Gender]]="M","Male", orders[[#This Row],[Customer Gender]]="F","Female", orders[[#This Row],[Customer Gender]]="O","Other", TRUE,"Unknown")</f>
        <v>Male</v>
      </c>
    </row>
    <row r="2387" spans="1:15" x14ac:dyDescent="0.2">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f t="array" ref="O2387">_xlfn.IFS(orders[[#This Row],[Customer Gender]]="M","Male", orders[[#This Row],[Customer Gender]]="F","Female", orders[[#This Row],[Customer Gender]]="O","Other", TRUE,"Unknown")</f>
        <v>Male</v>
      </c>
    </row>
    <row r="2388" spans="1:15" x14ac:dyDescent="0.2">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f t="array" ref="O2388">_xlfn.IFS(orders[[#This Row],[Customer Gender]]="M","Male", orders[[#This Row],[Customer Gender]]="F","Female", orders[[#This Row],[Customer Gender]]="O","Other", TRUE,"Unknown")</f>
        <v>Female</v>
      </c>
    </row>
    <row r="2389" spans="1:15" x14ac:dyDescent="0.2">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f t="array" ref="O2389">_xlfn.IFS(orders[[#This Row],[Customer Gender]]="M","Male", orders[[#This Row],[Customer Gender]]="F","Female", orders[[#This Row],[Customer Gender]]="O","Other", TRUE,"Unknown")</f>
        <v>Male</v>
      </c>
    </row>
    <row r="2390" spans="1:15" x14ac:dyDescent="0.2">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f t="array" ref="O2390">_xlfn.IFS(orders[[#This Row],[Customer Gender]]="M","Male", orders[[#This Row],[Customer Gender]]="F","Female", orders[[#This Row],[Customer Gender]]="O","Other", TRUE,"Unknown")</f>
        <v>Male</v>
      </c>
    </row>
    <row r="2391" spans="1:15" x14ac:dyDescent="0.2">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f t="array" ref="O2391">_xlfn.IFS(orders[[#This Row],[Customer Gender]]="M","Male", orders[[#This Row],[Customer Gender]]="F","Female", orders[[#This Row],[Customer Gender]]="O","Other", TRUE,"Unknown")</f>
        <v>Female</v>
      </c>
    </row>
    <row r="2392" spans="1:15" x14ac:dyDescent="0.2">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f t="array" ref="O2392">_xlfn.IFS(orders[[#This Row],[Customer Gender]]="M","Male", orders[[#This Row],[Customer Gender]]="F","Female", orders[[#This Row],[Customer Gender]]="O","Other", TRUE,"Unknown")</f>
        <v>Female</v>
      </c>
    </row>
    <row r="2393" spans="1:15" x14ac:dyDescent="0.2">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f t="array" ref="O2393">_xlfn.IFS(orders[[#This Row],[Customer Gender]]="M","Male", orders[[#This Row],[Customer Gender]]="F","Female", orders[[#This Row],[Customer Gender]]="O","Other", TRUE,"Unknown")</f>
        <v>Unknown</v>
      </c>
    </row>
    <row r="2394" spans="1:15" x14ac:dyDescent="0.2">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f t="array" ref="O2394">_xlfn.IFS(orders[[#This Row],[Customer Gender]]="M","Male", orders[[#This Row],[Customer Gender]]="F","Female", orders[[#This Row],[Customer Gender]]="O","Other", TRUE,"Unknown")</f>
        <v>Male</v>
      </c>
    </row>
    <row r="2395" spans="1:15" x14ac:dyDescent="0.2">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f t="array" ref="O2395">_xlfn.IFS(orders[[#This Row],[Customer Gender]]="M","Male", orders[[#This Row],[Customer Gender]]="F","Female", orders[[#This Row],[Customer Gender]]="O","Other", TRUE,"Unknown")</f>
        <v>Male</v>
      </c>
    </row>
    <row r="2396" spans="1:15" x14ac:dyDescent="0.2">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f t="array" ref="O2396">_xlfn.IFS(orders[[#This Row],[Customer Gender]]="M","Male", orders[[#This Row],[Customer Gender]]="F","Female", orders[[#This Row],[Customer Gender]]="O","Other", TRUE,"Unknown")</f>
        <v>Male</v>
      </c>
    </row>
    <row r="2397" spans="1:15" x14ac:dyDescent="0.2">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f t="array" ref="O2397">_xlfn.IFS(orders[[#This Row],[Customer Gender]]="M","Male", orders[[#This Row],[Customer Gender]]="F","Female", orders[[#This Row],[Customer Gender]]="O","Other", TRUE,"Unknown")</f>
        <v>Male</v>
      </c>
    </row>
    <row r="2398" spans="1:15" x14ac:dyDescent="0.2">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f t="array" ref="O2398">_xlfn.IFS(orders[[#This Row],[Customer Gender]]="M","Male", orders[[#This Row],[Customer Gender]]="F","Female", orders[[#This Row],[Customer Gender]]="O","Other", TRUE,"Unknown")</f>
        <v>Male</v>
      </c>
    </row>
    <row r="2399" spans="1:15" x14ac:dyDescent="0.2">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f t="array" ref="O2399">_xlfn.IFS(orders[[#This Row],[Customer Gender]]="M","Male", orders[[#This Row],[Customer Gender]]="F","Female", orders[[#This Row],[Customer Gender]]="O","Other", TRUE,"Unknown")</f>
        <v>Female</v>
      </c>
    </row>
    <row r="2400" spans="1:15" x14ac:dyDescent="0.2">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f t="array" ref="O2400">_xlfn.IFS(orders[[#This Row],[Customer Gender]]="M","Male", orders[[#This Row],[Customer Gender]]="F","Female", orders[[#This Row],[Customer Gender]]="O","Other", TRUE,"Unknown")</f>
        <v>Female</v>
      </c>
    </row>
    <row r="2401" spans="1:15" x14ac:dyDescent="0.2">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9" sqref="B19"/>
    </sheetView>
  </sheetViews>
  <sheetFormatPr defaultRowHeight="15" x14ac:dyDescent="0.2"/>
  <cols>
    <col min="1" max="1" width="3.62890625" customWidth="1"/>
    <col min="2" max="2" width="52.73046875" customWidth="1"/>
  </cols>
  <sheetData>
    <row r="2" spans="2:2" x14ac:dyDescent="0.2">
      <c r="B2" s="3" t="s">
        <v>2503</v>
      </c>
    </row>
    <row r="3" spans="2:2" x14ac:dyDescent="0.2">
      <c r="B3" s="4" t="s">
        <v>2504</v>
      </c>
    </row>
    <row r="4" spans="2:2" x14ac:dyDescent="0.2">
      <c r="B4" s="4" t="s">
        <v>2505</v>
      </c>
    </row>
    <row r="5" spans="2:2" x14ac:dyDescent="0.2">
      <c r="B5" s="4" t="s">
        <v>2506</v>
      </c>
    </row>
    <row r="6" spans="2:2" x14ac:dyDescent="0.2">
      <c r="B6" s="4" t="s">
        <v>2507</v>
      </c>
    </row>
    <row r="7" spans="2:2" x14ac:dyDescent="0.2">
      <c r="B7" s="4" t="s">
        <v>2508</v>
      </c>
    </row>
    <row r="10" spans="2:2" x14ac:dyDescent="0.2">
      <c r="B10" s="3" t="s">
        <v>2509</v>
      </c>
    </row>
    <row r="11" spans="2:2" x14ac:dyDescent="0.2">
      <c r="B11" t="s">
        <v>2537</v>
      </c>
    </row>
    <row r="12" spans="2:2" x14ac:dyDescent="0.2">
      <c r="B12" t="s">
        <v>2533</v>
      </c>
    </row>
    <row r="13" spans="2:2" x14ac:dyDescent="0.2">
      <c r="B13" t="s">
        <v>2510</v>
      </c>
    </row>
    <row r="14" spans="2:2" x14ac:dyDescent="0.2">
      <c r="B14" t="s">
        <v>2534</v>
      </c>
    </row>
    <row r="15" spans="2:2" x14ac:dyDescent="0.2">
      <c r="B15" t="s">
        <v>2547</v>
      </c>
    </row>
    <row r="16" spans="2:2" x14ac:dyDescent="0.2">
      <c r="B16" t="s">
        <v>2535</v>
      </c>
    </row>
    <row r="17" spans="2:2" x14ac:dyDescent="0.2">
      <c r="B17" t="s">
        <v>2536</v>
      </c>
    </row>
    <row r="18" spans="2:2" x14ac:dyDescent="0.2">
      <c r="B18" t="s">
        <v>2543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10D4F-0597-415A-90D1-7AAF37089A5A}">
  <dimension ref="A1:T214"/>
  <sheetViews>
    <sheetView topLeftCell="A150" zoomScale="68" zoomScaleNormal="68" workbookViewId="0">
      <selection activeCell="C190" sqref="C190"/>
    </sheetView>
  </sheetViews>
  <sheetFormatPr defaultRowHeight="15" x14ac:dyDescent="0.2"/>
  <cols>
    <col min="1" max="1" width="14.796875" bestFit="1" customWidth="1"/>
    <col min="2" max="2" width="22.1953125" bestFit="1" customWidth="1"/>
    <col min="3" max="3" width="15.46875" bestFit="1" customWidth="1"/>
    <col min="4" max="4" width="16.140625" bestFit="1" customWidth="1"/>
    <col min="5" max="5" width="9.68359375" bestFit="1" customWidth="1"/>
    <col min="6" max="7" width="11.97265625" bestFit="1" customWidth="1"/>
    <col min="8" max="8" width="20.58203125" bestFit="1" customWidth="1"/>
    <col min="9" max="9" width="14.796875" bestFit="1" customWidth="1"/>
    <col min="10" max="10" width="25.55859375" customWidth="1"/>
    <col min="11" max="11" width="13.046875" customWidth="1"/>
    <col min="12" max="12" width="11.1640625" bestFit="1" customWidth="1"/>
    <col min="13" max="13" width="20.58203125" hidden="1" customWidth="1"/>
    <col min="14" max="14" width="15.33203125" bestFit="1" customWidth="1"/>
    <col min="15" max="15" width="6.58984375" bestFit="1" customWidth="1"/>
    <col min="16" max="16" width="29.7265625" bestFit="1" customWidth="1"/>
    <col min="17" max="17" width="10.22265625" bestFit="1" customWidth="1"/>
    <col min="18" max="18" width="6.58984375" bestFit="1" customWidth="1"/>
    <col min="19" max="19" width="23.5390625" bestFit="1" customWidth="1"/>
    <col min="20" max="20" width="6.72265625" bestFit="1" customWidth="1"/>
    <col min="21" max="21" width="6.58984375" bestFit="1" customWidth="1"/>
    <col min="22" max="22" width="6.58984375" customWidth="1"/>
    <col min="23" max="23" width="10.625" customWidth="1"/>
    <col min="24" max="32" width="6.58984375" bestFit="1" customWidth="1"/>
    <col min="33" max="33" width="8.7421875" bestFit="1" customWidth="1"/>
    <col min="34" max="61" width="6.859375" bestFit="1" customWidth="1"/>
    <col min="62" max="62" width="9.01171875" bestFit="1" customWidth="1"/>
    <col min="63" max="91" width="6.72265625" bestFit="1" customWidth="1"/>
    <col min="92" max="92" width="8.875" bestFit="1" customWidth="1"/>
    <col min="93" max="93" width="11.02734375" bestFit="1" customWidth="1"/>
  </cols>
  <sheetData>
    <row r="1" spans="1:12" x14ac:dyDescent="0.2">
      <c r="A1" t="s">
        <v>2516</v>
      </c>
    </row>
    <row r="3" spans="1:12" x14ac:dyDescent="0.2">
      <c r="A3" t="s">
        <v>2511</v>
      </c>
      <c r="B3" t="s">
        <v>2512</v>
      </c>
      <c r="C3" t="s">
        <v>2513</v>
      </c>
      <c r="D3" t="s">
        <v>2515</v>
      </c>
      <c r="E3" t="s">
        <v>2514</v>
      </c>
      <c r="G3" t="s">
        <v>2517</v>
      </c>
      <c r="H3" t="s">
        <v>2</v>
      </c>
      <c r="I3" t="s">
        <v>4</v>
      </c>
      <c r="K3" t="s">
        <v>2518</v>
      </c>
    </row>
    <row r="4" spans="1:12" x14ac:dyDescent="0.2">
      <c r="A4">
        <v>2400</v>
      </c>
      <c r="B4">
        <v>11997</v>
      </c>
      <c r="C4">
        <v>649019.80000000144</v>
      </c>
      <c r="D4">
        <v>3.9620833333333332</v>
      </c>
      <c r="E4">
        <v>2.3424999999999998</v>
      </c>
      <c r="G4" t="str">
        <f>TEXT(GETPIVOTDATA("Count of TX ID",$A$3),"#,##")</f>
        <v>2,400</v>
      </c>
      <c r="H4" t="str">
        <f>TEXT(GETPIVOTDATA("Sum of Quantity",$A$3),"#,##")</f>
        <v>11,997</v>
      </c>
      <c r="I4" t="str">
        <f>TEXT(GETPIVOTDATA("Sum of Amount",$A$3),"$#,##,.0k")</f>
        <v>$649.0k</v>
      </c>
      <c r="K4" t="str">
        <f>TEXT(GETPIVOTDATA("Average of Rating C",$A$3),"0.0")</f>
        <v>4.0</v>
      </c>
      <c r="L4" t="str">
        <f>TEXT(GETPIVOTDATA("Average of Days to Deliver",$A$3),"0.0")</f>
        <v>2.3</v>
      </c>
    </row>
    <row r="8" spans="1:12" x14ac:dyDescent="0.2">
      <c r="A8" t="s">
        <v>2539</v>
      </c>
    </row>
    <row r="10" spans="1:12" x14ac:dyDescent="0.2">
      <c r="A10" s="6" t="s">
        <v>2519</v>
      </c>
      <c r="B10" t="s">
        <v>2512</v>
      </c>
      <c r="C10" t="s">
        <v>2513</v>
      </c>
    </row>
    <row r="11" spans="1:12" x14ac:dyDescent="0.2">
      <c r="A11" s="7">
        <v>1</v>
      </c>
      <c r="B11">
        <v>546</v>
      </c>
      <c r="C11" s="8">
        <v>32413.300000000003</v>
      </c>
    </row>
    <row r="12" spans="1:12" x14ac:dyDescent="0.2">
      <c r="A12" s="7">
        <v>2</v>
      </c>
      <c r="B12">
        <v>905</v>
      </c>
      <c r="C12" s="8">
        <v>49562.999999999993</v>
      </c>
    </row>
    <row r="13" spans="1:12" x14ac:dyDescent="0.2">
      <c r="A13" s="7">
        <v>3</v>
      </c>
      <c r="B13">
        <v>796</v>
      </c>
      <c r="C13" s="8">
        <v>41700.400000000016</v>
      </c>
    </row>
    <row r="14" spans="1:12" x14ac:dyDescent="0.2">
      <c r="A14" s="7">
        <v>4</v>
      </c>
      <c r="B14">
        <v>913</v>
      </c>
      <c r="C14" s="8">
        <v>46782.599999999984</v>
      </c>
    </row>
    <row r="15" spans="1:12" x14ac:dyDescent="0.2">
      <c r="A15" s="7">
        <v>5</v>
      </c>
      <c r="B15">
        <v>844</v>
      </c>
      <c r="C15" s="8">
        <v>42676.100000000006</v>
      </c>
    </row>
    <row r="16" spans="1:12" x14ac:dyDescent="0.2">
      <c r="A16" s="7">
        <v>6</v>
      </c>
      <c r="B16">
        <v>1202</v>
      </c>
      <c r="C16" s="8">
        <v>62910.7</v>
      </c>
    </row>
    <row r="17" spans="1:13" x14ac:dyDescent="0.2">
      <c r="A17" s="7">
        <v>7</v>
      </c>
      <c r="B17">
        <v>935</v>
      </c>
      <c r="C17" s="8">
        <v>50332.200000000004</v>
      </c>
    </row>
    <row r="18" spans="1:13" x14ac:dyDescent="0.2">
      <c r="A18" s="7">
        <v>8</v>
      </c>
      <c r="B18">
        <v>1128</v>
      </c>
      <c r="C18" s="8">
        <v>58760.599999999977</v>
      </c>
      <c r="G18" s="5"/>
    </row>
    <row r="19" spans="1:13" x14ac:dyDescent="0.2">
      <c r="A19" s="7">
        <v>9</v>
      </c>
      <c r="B19">
        <v>1007</v>
      </c>
      <c r="C19" s="8">
        <v>52017.299999999996</v>
      </c>
    </row>
    <row r="20" spans="1:13" x14ac:dyDescent="0.2">
      <c r="A20" s="7">
        <v>10</v>
      </c>
      <c r="B20">
        <v>1128</v>
      </c>
      <c r="C20" s="8">
        <v>64915.700000000033</v>
      </c>
    </row>
    <row r="21" spans="1:13" x14ac:dyDescent="0.2">
      <c r="A21" s="7">
        <v>11</v>
      </c>
      <c r="B21">
        <v>861</v>
      </c>
      <c r="C21" s="8">
        <v>45943.80000000001</v>
      </c>
    </row>
    <row r="22" spans="1:13" x14ac:dyDescent="0.2">
      <c r="A22" s="7">
        <v>12</v>
      </c>
      <c r="B22">
        <v>944</v>
      </c>
      <c r="C22" s="8">
        <v>55077.900000000031</v>
      </c>
    </row>
    <row r="23" spans="1:13" x14ac:dyDescent="0.2">
      <c r="A23" s="7">
        <v>13</v>
      </c>
      <c r="B23">
        <v>788</v>
      </c>
      <c r="C23" s="8">
        <v>45926.19999999999</v>
      </c>
    </row>
    <row r="24" spans="1:13" x14ac:dyDescent="0.2">
      <c r="A24" s="7" t="s">
        <v>2520</v>
      </c>
      <c r="B24">
        <v>11997</v>
      </c>
      <c r="C24" s="8">
        <v>649019.79999999993</v>
      </c>
    </row>
    <row r="27" spans="1:13" x14ac:dyDescent="0.2">
      <c r="A27" t="s">
        <v>2538</v>
      </c>
    </row>
    <row r="29" spans="1:13" x14ac:dyDescent="0.2">
      <c r="A29" s="6" t="s">
        <v>2513</v>
      </c>
      <c r="B29" s="6" t="s">
        <v>2521</v>
      </c>
    </row>
    <row r="30" spans="1:13" ht="27" customHeight="1" x14ac:dyDescent="0.2">
      <c r="A30" s="6" t="s">
        <v>2519</v>
      </c>
      <c r="B30" t="s">
        <v>2522</v>
      </c>
      <c r="C30" t="s">
        <v>2523</v>
      </c>
      <c r="D30" t="s">
        <v>2524</v>
      </c>
      <c r="E30" t="s">
        <v>2525</v>
      </c>
      <c r="F30" t="s">
        <v>2520</v>
      </c>
      <c r="H30" s="11"/>
      <c r="I30" s="12" t="str">
        <f t="shared" ref="I30:I35" si="0">B30</f>
        <v>Female</v>
      </c>
      <c r="J30" s="12"/>
      <c r="K30" s="12" t="str">
        <f t="shared" ref="K30:M35" si="1">C30</f>
        <v>Male</v>
      </c>
      <c r="L30" s="12" t="str">
        <f t="shared" si="1"/>
        <v>Other</v>
      </c>
      <c r="M30" s="12" t="str">
        <f t="shared" si="1"/>
        <v>Unknown</v>
      </c>
    </row>
    <row r="31" spans="1:13" ht="27" customHeight="1" x14ac:dyDescent="0.2">
      <c r="A31" s="7" t="s">
        <v>18</v>
      </c>
      <c r="B31" s="9">
        <v>0.18961825201634841</v>
      </c>
      <c r="C31" s="9">
        <v>0.12262322351336576</v>
      </c>
      <c r="D31" s="9">
        <v>1.060537752469185E-2</v>
      </c>
      <c r="E31" s="9">
        <v>3.0599220547662797E-2</v>
      </c>
      <c r="F31" s="9">
        <v>0.35344607360206881</v>
      </c>
      <c r="H31" s="11" t="str">
        <f>A31</f>
        <v>App</v>
      </c>
      <c r="I31" s="10">
        <f t="shared" si="0"/>
        <v>0.18961825201634841</v>
      </c>
      <c r="J31" s="10"/>
      <c r="K31" s="10">
        <f t="shared" si="1"/>
        <v>0.12262322351336576</v>
      </c>
      <c r="L31" s="10">
        <f t="shared" si="1"/>
        <v>1.060537752469185E-2</v>
      </c>
      <c r="M31" s="10">
        <f t="shared" si="1"/>
        <v>3.0599220547662797E-2</v>
      </c>
    </row>
    <row r="32" spans="1:13" ht="27" customHeight="1" x14ac:dyDescent="0.2">
      <c r="A32" s="7" t="s">
        <v>51</v>
      </c>
      <c r="B32" s="9">
        <v>5.0283982091147303E-2</v>
      </c>
      <c r="C32" s="9">
        <v>4.3060781812819873E-2</v>
      </c>
      <c r="D32" s="9">
        <v>1.5320025675641944E-3</v>
      </c>
      <c r="E32" s="9">
        <v>1.7794988689097006E-2</v>
      </c>
      <c r="F32" s="9">
        <v>0.11267175516062837</v>
      </c>
      <c r="H32" s="11" t="str">
        <f>A32</f>
        <v>Instagram</v>
      </c>
      <c r="I32" s="10">
        <f t="shared" si="0"/>
        <v>5.0283982091147303E-2</v>
      </c>
      <c r="J32" s="10"/>
      <c r="K32" s="10">
        <f t="shared" si="1"/>
        <v>4.3060781812819873E-2</v>
      </c>
      <c r="L32" s="10">
        <f t="shared" si="1"/>
        <v>1.5320025675641944E-3</v>
      </c>
      <c r="M32" s="10">
        <f t="shared" si="1"/>
        <v>1.7794988689097006E-2</v>
      </c>
    </row>
    <row r="33" spans="1:13" ht="27" customHeight="1" x14ac:dyDescent="0.2">
      <c r="A33" s="7" t="s">
        <v>70</v>
      </c>
      <c r="B33" s="9">
        <v>6.3496059750411282E-2</v>
      </c>
      <c r="C33" s="9">
        <v>4.6071629863988765E-2</v>
      </c>
      <c r="D33" s="9">
        <v>2.306247051322625E-3</v>
      </c>
      <c r="E33" s="9">
        <v>3.8927934093844286E-3</v>
      </c>
      <c r="F33" s="9">
        <v>0.11576673007510711</v>
      </c>
      <c r="H33" s="11" t="str">
        <f>A33</f>
        <v>Partner App</v>
      </c>
      <c r="I33" s="10">
        <f t="shared" si="0"/>
        <v>6.3496059750411282E-2</v>
      </c>
      <c r="J33" s="10"/>
      <c r="K33" s="10">
        <f t="shared" si="1"/>
        <v>4.6071629863988765E-2</v>
      </c>
      <c r="L33" s="10">
        <f t="shared" si="1"/>
        <v>2.306247051322625E-3</v>
      </c>
      <c r="M33" s="10">
        <f t="shared" si="1"/>
        <v>3.8927934093844286E-3</v>
      </c>
    </row>
    <row r="34" spans="1:13" ht="27" customHeight="1" x14ac:dyDescent="0.2">
      <c r="A34" s="7" t="s">
        <v>40</v>
      </c>
      <c r="B34" s="9">
        <v>9.6337892927149532E-2</v>
      </c>
      <c r="C34" s="9">
        <v>6.7920115842382611E-2</v>
      </c>
      <c r="D34" s="9">
        <v>5.4979832664581261E-3</v>
      </c>
      <c r="E34" s="9">
        <v>1.2933041488102518E-2</v>
      </c>
      <c r="F34" s="9">
        <v>0.1826890335240928</v>
      </c>
      <c r="H34" s="11" t="str">
        <f>A34</f>
        <v>Target.com</v>
      </c>
      <c r="I34" s="10">
        <f t="shared" si="0"/>
        <v>9.6337892927149532E-2</v>
      </c>
      <c r="J34" s="10"/>
      <c r="K34" s="10">
        <f t="shared" si="1"/>
        <v>6.7920115842382611E-2</v>
      </c>
      <c r="L34" s="10">
        <f t="shared" si="1"/>
        <v>5.4979832664581261E-3</v>
      </c>
      <c r="M34" s="10">
        <f t="shared" si="1"/>
        <v>1.2933041488102518E-2</v>
      </c>
    </row>
    <row r="35" spans="1:13" ht="27" customHeight="1" x14ac:dyDescent="0.2">
      <c r="A35" s="7" t="s">
        <v>35</v>
      </c>
      <c r="B35" s="9">
        <v>0.12522098709469262</v>
      </c>
      <c r="C35" s="9">
        <v>9.1492740283116228E-2</v>
      </c>
      <c r="D35" s="9">
        <v>6.3042760790965081E-3</v>
      </c>
      <c r="E35" s="9">
        <v>1.2408404181197551E-2</v>
      </c>
      <c r="F35" s="9">
        <v>0.23542640763810288</v>
      </c>
      <c r="H35" s="11" t="str">
        <f>A35</f>
        <v>Website</v>
      </c>
      <c r="I35" s="10">
        <f t="shared" si="0"/>
        <v>0.12522098709469262</v>
      </c>
      <c r="J35" s="10"/>
      <c r="K35" s="10">
        <f t="shared" si="1"/>
        <v>9.1492740283116228E-2</v>
      </c>
      <c r="L35" s="10">
        <f t="shared" si="1"/>
        <v>6.3042760790965081E-3</v>
      </c>
      <c r="M35" s="10">
        <f t="shared" si="1"/>
        <v>1.2408404181197551E-2</v>
      </c>
    </row>
    <row r="36" spans="1:13" x14ac:dyDescent="0.2">
      <c r="A36" s="7" t="s">
        <v>2520</v>
      </c>
      <c r="B36" s="9">
        <v>0.52495717387974916</v>
      </c>
      <c r="C36" s="9">
        <v>0.3711684913156732</v>
      </c>
      <c r="D36" s="9">
        <v>2.6245886489133303E-2</v>
      </c>
      <c r="E36" s="9">
        <v>7.7628448315444312E-2</v>
      </c>
      <c r="F36" s="9">
        <v>1</v>
      </c>
    </row>
    <row r="39" spans="1:13" x14ac:dyDescent="0.2">
      <c r="A39" s="7" t="s">
        <v>2540</v>
      </c>
    </row>
    <row r="40" spans="1:13" x14ac:dyDescent="0.2">
      <c r="A40" s="7"/>
    </row>
    <row r="41" spans="1:13" x14ac:dyDescent="0.2">
      <c r="A41" s="6" t="s">
        <v>2519</v>
      </c>
      <c r="B41" t="s">
        <v>2511</v>
      </c>
    </row>
    <row r="42" spans="1:13" x14ac:dyDescent="0.2">
      <c r="A42" s="7">
        <v>1</v>
      </c>
      <c r="B42">
        <v>397</v>
      </c>
    </row>
    <row r="43" spans="1:13" x14ac:dyDescent="0.2">
      <c r="A43" s="7">
        <v>2</v>
      </c>
      <c r="B43">
        <v>540</v>
      </c>
    </row>
    <row r="44" spans="1:13" x14ac:dyDescent="0.2">
      <c r="A44" s="7">
        <v>3</v>
      </c>
      <c r="B44">
        <v>375</v>
      </c>
    </row>
    <row r="45" spans="1:13" x14ac:dyDescent="0.2">
      <c r="A45" s="7">
        <v>4</v>
      </c>
      <c r="B45">
        <v>246</v>
      </c>
    </row>
    <row r="46" spans="1:13" x14ac:dyDescent="0.2">
      <c r="A46" s="7">
        <v>5</v>
      </c>
      <c r="B46">
        <v>195</v>
      </c>
    </row>
    <row r="47" spans="1:13" x14ac:dyDescent="0.2">
      <c r="A47" s="7" t="s">
        <v>2527</v>
      </c>
      <c r="B47">
        <v>414</v>
      </c>
    </row>
    <row r="48" spans="1:13" x14ac:dyDescent="0.2">
      <c r="A48" s="7" t="s">
        <v>2526</v>
      </c>
      <c r="B48">
        <v>233</v>
      </c>
    </row>
    <row r="49" spans="1:6" x14ac:dyDescent="0.2">
      <c r="A49" s="7" t="s">
        <v>2520</v>
      </c>
      <c r="B49">
        <v>2400</v>
      </c>
    </row>
    <row r="52" spans="1:6" x14ac:dyDescent="0.2">
      <c r="A52" s="7" t="s">
        <v>2541</v>
      </c>
    </row>
    <row r="53" spans="1:6" x14ac:dyDescent="0.2">
      <c r="A53" s="7"/>
    </row>
    <row r="54" spans="1:6" x14ac:dyDescent="0.2">
      <c r="A54" s="6" t="s">
        <v>2512</v>
      </c>
      <c r="B54" s="6" t="s">
        <v>2521</v>
      </c>
    </row>
    <row r="55" spans="1:6" x14ac:dyDescent="0.2">
      <c r="A55" s="6" t="s">
        <v>2519</v>
      </c>
      <c r="B55" t="s">
        <v>2522</v>
      </c>
      <c r="C55" t="s">
        <v>2523</v>
      </c>
      <c r="D55" t="s">
        <v>2524</v>
      </c>
      <c r="E55" t="s">
        <v>2525</v>
      </c>
      <c r="F55" t="s">
        <v>2520</v>
      </c>
    </row>
    <row r="56" spans="1:6" x14ac:dyDescent="0.2">
      <c r="A56" s="7" t="s">
        <v>44</v>
      </c>
      <c r="B56">
        <v>744</v>
      </c>
      <c r="C56">
        <v>713</v>
      </c>
      <c r="D56">
        <v>90</v>
      </c>
      <c r="E56">
        <v>98</v>
      </c>
      <c r="F56">
        <v>1645</v>
      </c>
    </row>
    <row r="57" spans="1:6" x14ac:dyDescent="0.2">
      <c r="A57" s="7" t="s">
        <v>39</v>
      </c>
      <c r="B57">
        <v>716</v>
      </c>
      <c r="C57">
        <v>598</v>
      </c>
      <c r="D57">
        <v>18</v>
      </c>
      <c r="E57">
        <v>214</v>
      </c>
      <c r="F57">
        <v>1546</v>
      </c>
    </row>
    <row r="58" spans="1:6" x14ac:dyDescent="0.2">
      <c r="A58" s="7" t="s">
        <v>26</v>
      </c>
      <c r="B58">
        <v>627</v>
      </c>
      <c r="C58">
        <v>393</v>
      </c>
      <c r="D58">
        <v>29</v>
      </c>
      <c r="E58">
        <v>137</v>
      </c>
      <c r="F58">
        <v>1186</v>
      </c>
    </row>
    <row r="59" spans="1:6" x14ac:dyDescent="0.2">
      <c r="A59" s="7" t="s">
        <v>22</v>
      </c>
      <c r="B59">
        <v>568</v>
      </c>
      <c r="C59">
        <v>306</v>
      </c>
      <c r="D59">
        <v>22</v>
      </c>
      <c r="E59">
        <v>16</v>
      </c>
      <c r="F59">
        <v>912</v>
      </c>
    </row>
    <row r="60" spans="1:6" x14ac:dyDescent="0.2">
      <c r="A60" s="7" t="s">
        <v>54</v>
      </c>
      <c r="B60">
        <v>482</v>
      </c>
      <c r="C60">
        <v>295</v>
      </c>
      <c r="D60">
        <v>8</v>
      </c>
      <c r="E60">
        <v>22</v>
      </c>
      <c r="F60">
        <v>807</v>
      </c>
    </row>
    <row r="61" spans="1:6" x14ac:dyDescent="0.2">
      <c r="A61" s="7" t="s">
        <v>16</v>
      </c>
      <c r="B61">
        <v>428</v>
      </c>
      <c r="C61">
        <v>293</v>
      </c>
      <c r="E61">
        <v>24</v>
      </c>
      <c r="F61">
        <v>745</v>
      </c>
    </row>
    <row r="62" spans="1:6" x14ac:dyDescent="0.2">
      <c r="A62" s="7" t="s">
        <v>46</v>
      </c>
      <c r="B62">
        <v>445</v>
      </c>
      <c r="C62">
        <v>202</v>
      </c>
      <c r="D62">
        <v>14</v>
      </c>
      <c r="E62">
        <v>39</v>
      </c>
      <c r="F62">
        <v>700</v>
      </c>
    </row>
    <row r="63" spans="1:6" x14ac:dyDescent="0.2">
      <c r="A63" s="7" t="s">
        <v>32</v>
      </c>
      <c r="B63">
        <v>431</v>
      </c>
      <c r="C63">
        <v>187</v>
      </c>
      <c r="D63">
        <v>14</v>
      </c>
      <c r="E63">
        <v>15</v>
      </c>
      <c r="F63">
        <v>647</v>
      </c>
    </row>
    <row r="64" spans="1:6" x14ac:dyDescent="0.2">
      <c r="A64" s="7" t="s">
        <v>42</v>
      </c>
      <c r="B64">
        <v>264</v>
      </c>
      <c r="C64">
        <v>318</v>
      </c>
      <c r="D64">
        <v>15</v>
      </c>
      <c r="E64">
        <v>9</v>
      </c>
      <c r="F64">
        <v>606</v>
      </c>
    </row>
    <row r="65" spans="1:6" x14ac:dyDescent="0.2">
      <c r="A65" s="7" t="s">
        <v>37</v>
      </c>
      <c r="B65">
        <v>296</v>
      </c>
      <c r="C65">
        <v>275</v>
      </c>
      <c r="D65">
        <v>9</v>
      </c>
      <c r="E65">
        <v>23</v>
      </c>
      <c r="F65">
        <v>603</v>
      </c>
    </row>
    <row r="66" spans="1:6" x14ac:dyDescent="0.2">
      <c r="A66" s="7" t="s">
        <v>123</v>
      </c>
      <c r="B66">
        <v>153</v>
      </c>
      <c r="C66">
        <v>246</v>
      </c>
      <c r="D66">
        <v>30</v>
      </c>
      <c r="E66">
        <v>8</v>
      </c>
      <c r="F66">
        <v>437</v>
      </c>
    </row>
    <row r="67" spans="1:6" x14ac:dyDescent="0.2">
      <c r="A67" s="7" t="s">
        <v>146</v>
      </c>
      <c r="B67">
        <v>189</v>
      </c>
      <c r="C67">
        <v>168</v>
      </c>
      <c r="D67">
        <v>10</v>
      </c>
      <c r="E67">
        <v>31</v>
      </c>
      <c r="F67">
        <v>398</v>
      </c>
    </row>
    <row r="68" spans="1:6" x14ac:dyDescent="0.2">
      <c r="A68" s="7" t="s">
        <v>69</v>
      </c>
      <c r="B68">
        <v>234</v>
      </c>
      <c r="C68">
        <v>93</v>
      </c>
      <c r="D68">
        <v>19</v>
      </c>
      <c r="E68">
        <v>24</v>
      </c>
      <c r="F68">
        <v>370</v>
      </c>
    </row>
    <row r="69" spans="1:6" x14ac:dyDescent="0.2">
      <c r="A69" s="7" t="s">
        <v>30</v>
      </c>
      <c r="B69">
        <v>146</v>
      </c>
      <c r="C69">
        <v>94</v>
      </c>
      <c r="D69">
        <v>4</v>
      </c>
      <c r="E69">
        <v>28</v>
      </c>
      <c r="F69">
        <v>272</v>
      </c>
    </row>
    <row r="70" spans="1:6" x14ac:dyDescent="0.2">
      <c r="A70" s="7" t="s">
        <v>135</v>
      </c>
      <c r="B70">
        <v>127</v>
      </c>
      <c r="C70">
        <v>118</v>
      </c>
      <c r="D70">
        <v>13</v>
      </c>
      <c r="E70">
        <v>12</v>
      </c>
      <c r="F70">
        <v>270</v>
      </c>
    </row>
    <row r="71" spans="1:6" x14ac:dyDescent="0.2">
      <c r="A71" s="7" t="s">
        <v>67</v>
      </c>
      <c r="B71">
        <v>179</v>
      </c>
      <c r="C71">
        <v>76</v>
      </c>
      <c r="D71">
        <v>3</v>
      </c>
      <c r="F71">
        <v>258</v>
      </c>
    </row>
    <row r="72" spans="1:6" x14ac:dyDescent="0.2">
      <c r="A72" s="7" t="s">
        <v>128</v>
      </c>
      <c r="B72">
        <v>99</v>
      </c>
      <c r="C72">
        <v>69</v>
      </c>
      <c r="D72">
        <v>3</v>
      </c>
      <c r="E72">
        <v>24</v>
      </c>
      <c r="F72">
        <v>195</v>
      </c>
    </row>
    <row r="73" spans="1:6" x14ac:dyDescent="0.2">
      <c r="A73" s="7" t="s">
        <v>76</v>
      </c>
      <c r="B73">
        <v>75</v>
      </c>
      <c r="C73">
        <v>103</v>
      </c>
      <c r="D73">
        <v>4</v>
      </c>
      <c r="E73">
        <v>6</v>
      </c>
      <c r="F73">
        <v>188</v>
      </c>
    </row>
    <row r="74" spans="1:6" x14ac:dyDescent="0.2">
      <c r="A74" s="7" t="s">
        <v>81</v>
      </c>
      <c r="B74">
        <v>43</v>
      </c>
      <c r="C74">
        <v>90</v>
      </c>
      <c r="D74">
        <v>8</v>
      </c>
      <c r="E74">
        <v>6</v>
      </c>
      <c r="F74">
        <v>147</v>
      </c>
    </row>
    <row r="75" spans="1:6" x14ac:dyDescent="0.2">
      <c r="A75" s="7" t="s">
        <v>171</v>
      </c>
      <c r="B75">
        <v>26</v>
      </c>
      <c r="C75">
        <v>35</v>
      </c>
      <c r="D75">
        <v>4</v>
      </c>
      <c r="F75">
        <v>65</v>
      </c>
    </row>
    <row r="76" spans="1:6" x14ac:dyDescent="0.2">
      <c r="A76" s="7" t="s">
        <v>2520</v>
      </c>
      <c r="B76">
        <v>6272</v>
      </c>
      <c r="C76">
        <v>4672</v>
      </c>
      <c r="D76">
        <v>317</v>
      </c>
      <c r="E76">
        <v>736</v>
      </c>
      <c r="F76">
        <v>11997</v>
      </c>
    </row>
    <row r="79" spans="1:6" x14ac:dyDescent="0.2">
      <c r="A79" s="7" t="s">
        <v>2542</v>
      </c>
    </row>
    <row r="81" spans="1:20" x14ac:dyDescent="0.2">
      <c r="A81" s="6" t="s">
        <v>2519</v>
      </c>
      <c r="B81" t="s">
        <v>2512</v>
      </c>
    </row>
    <row r="82" spans="1:20" x14ac:dyDescent="0.2">
      <c r="A82" s="7" t="s">
        <v>2522</v>
      </c>
      <c r="B82">
        <v>6272</v>
      </c>
    </row>
    <row r="83" spans="1:20" x14ac:dyDescent="0.2">
      <c r="A83" s="7" t="s">
        <v>2523</v>
      </c>
      <c r="B83">
        <v>4672</v>
      </c>
    </row>
    <row r="84" spans="1:20" x14ac:dyDescent="0.2">
      <c r="A84" s="7" t="s">
        <v>2524</v>
      </c>
      <c r="B84">
        <v>317</v>
      </c>
    </row>
    <row r="85" spans="1:20" x14ac:dyDescent="0.2">
      <c r="A85" s="7" t="s">
        <v>2525</v>
      </c>
      <c r="B85">
        <v>736</v>
      </c>
    </row>
    <row r="86" spans="1:20" x14ac:dyDescent="0.2">
      <c r="A86" s="7" t="s">
        <v>2520</v>
      </c>
      <c r="B86">
        <v>11997</v>
      </c>
    </row>
    <row r="89" spans="1:20" x14ac:dyDescent="0.2">
      <c r="A89" s="7" t="s">
        <v>2544</v>
      </c>
    </row>
    <row r="90" spans="1:20" x14ac:dyDescent="0.2">
      <c r="A90" s="7"/>
    </row>
    <row r="91" spans="1:20" x14ac:dyDescent="0.2">
      <c r="A91" s="6" t="s">
        <v>10</v>
      </c>
      <c r="B91" s="6" t="s">
        <v>11</v>
      </c>
      <c r="C91" t="s">
        <v>2513</v>
      </c>
      <c r="D91" t="s">
        <v>2512</v>
      </c>
    </row>
    <row r="92" spans="1:20" x14ac:dyDescent="0.2">
      <c r="A92" t="s">
        <v>19</v>
      </c>
      <c r="B92" t="s">
        <v>115</v>
      </c>
      <c r="C92">
        <v>31884.999999999996</v>
      </c>
      <c r="D92">
        <v>579</v>
      </c>
      <c r="G92" t="str">
        <f>IF(A92="","",A92)</f>
        <v>California</v>
      </c>
      <c r="H92" t="str">
        <f t="shared" ref="H92:I92" si="2">B92</f>
        <v>Alameda County</v>
      </c>
      <c r="I92">
        <f t="shared" si="2"/>
        <v>31884.999999999996</v>
      </c>
      <c r="K92" t="str">
        <f>IF(A92="","",A92)</f>
        <v>California</v>
      </c>
      <c r="L92" t="str">
        <f t="shared" ref="L92:N92" si="3">B92</f>
        <v>Alameda County</v>
      </c>
      <c r="M92">
        <f t="shared" si="3"/>
        <v>31884.999999999996</v>
      </c>
      <c r="N92">
        <f t="shared" si="3"/>
        <v>579</v>
      </c>
      <c r="Q92" s="14"/>
      <c r="T92" s="13"/>
    </row>
    <row r="93" spans="1:20" x14ac:dyDescent="0.2">
      <c r="A93" t="s">
        <v>19</v>
      </c>
      <c r="B93" t="s">
        <v>20</v>
      </c>
      <c r="C93">
        <v>10.9</v>
      </c>
      <c r="D93">
        <v>1</v>
      </c>
      <c r="G93" t="str">
        <f t="shared" ref="G93:G129" si="4">IF(A93="","",A93)</f>
        <v>California</v>
      </c>
      <c r="H93" t="str">
        <f t="shared" ref="H93:H129" si="5">B93</f>
        <v>Alpine County</v>
      </c>
      <c r="I93">
        <f t="shared" ref="I93:I129" si="6">C93</f>
        <v>10.9</v>
      </c>
      <c r="K93" t="str">
        <f t="shared" ref="K93:K129" si="7">IF(A93="","",A93)</f>
        <v>California</v>
      </c>
      <c r="L93" t="str">
        <f t="shared" ref="L93:L129" si="8">B93</f>
        <v>Alpine County</v>
      </c>
      <c r="M93">
        <f t="shared" ref="M93:M129" si="9">C93</f>
        <v>10.9</v>
      </c>
      <c r="N93">
        <f t="shared" ref="N93:N129" si="10">D93</f>
        <v>1</v>
      </c>
      <c r="Q93" s="14"/>
      <c r="T93" s="13"/>
    </row>
    <row r="94" spans="1:20" x14ac:dyDescent="0.2">
      <c r="A94" t="s">
        <v>19</v>
      </c>
      <c r="B94" t="s">
        <v>641</v>
      </c>
      <c r="C94">
        <v>800.3</v>
      </c>
      <c r="D94">
        <v>9</v>
      </c>
      <c r="G94" t="str">
        <f t="shared" si="4"/>
        <v>California</v>
      </c>
      <c r="H94" t="str">
        <f t="shared" si="5"/>
        <v>Amador County</v>
      </c>
      <c r="I94">
        <f t="shared" si="6"/>
        <v>800.3</v>
      </c>
      <c r="K94" t="str">
        <f t="shared" si="7"/>
        <v>California</v>
      </c>
      <c r="L94" t="str">
        <f t="shared" si="8"/>
        <v>Amador County</v>
      </c>
      <c r="M94">
        <f t="shared" si="9"/>
        <v>800.3</v>
      </c>
      <c r="N94">
        <f t="shared" si="10"/>
        <v>9</v>
      </c>
      <c r="Q94" s="14"/>
      <c r="T94" s="13"/>
    </row>
    <row r="95" spans="1:20" x14ac:dyDescent="0.2">
      <c r="A95" t="s">
        <v>19</v>
      </c>
      <c r="B95" t="s">
        <v>967</v>
      </c>
      <c r="C95">
        <v>1062.5999999999999</v>
      </c>
      <c r="D95">
        <v>35</v>
      </c>
      <c r="G95" t="str">
        <f t="shared" si="4"/>
        <v>California</v>
      </c>
      <c r="H95" t="str">
        <f t="shared" si="5"/>
        <v>Butte County</v>
      </c>
      <c r="I95">
        <f t="shared" si="6"/>
        <v>1062.5999999999999</v>
      </c>
      <c r="K95" t="str">
        <f t="shared" si="7"/>
        <v>California</v>
      </c>
      <c r="L95" t="str">
        <f t="shared" si="8"/>
        <v>Butte County</v>
      </c>
      <c r="M95">
        <f t="shared" si="9"/>
        <v>1062.5999999999999</v>
      </c>
      <c r="N95">
        <f t="shared" si="10"/>
        <v>35</v>
      </c>
      <c r="Q95" s="14"/>
      <c r="T95" s="13"/>
    </row>
    <row r="96" spans="1:20" x14ac:dyDescent="0.2">
      <c r="A96" t="s">
        <v>19</v>
      </c>
      <c r="B96" t="s">
        <v>84</v>
      </c>
      <c r="C96">
        <v>326.20000000000005</v>
      </c>
      <c r="D96">
        <v>12</v>
      </c>
      <c r="G96" t="str">
        <f t="shared" si="4"/>
        <v>California</v>
      </c>
      <c r="H96" t="str">
        <f t="shared" si="5"/>
        <v>Calaveras County</v>
      </c>
      <c r="I96">
        <f t="shared" si="6"/>
        <v>326.20000000000005</v>
      </c>
      <c r="K96" t="str">
        <f t="shared" si="7"/>
        <v>California</v>
      </c>
      <c r="L96" t="str">
        <f t="shared" si="8"/>
        <v>Calaveras County</v>
      </c>
      <c r="M96">
        <f t="shared" si="9"/>
        <v>326.20000000000005</v>
      </c>
      <c r="N96">
        <f t="shared" si="10"/>
        <v>12</v>
      </c>
      <c r="Q96" s="14"/>
      <c r="T96" s="13"/>
    </row>
    <row r="97" spans="1:20" x14ac:dyDescent="0.2">
      <c r="A97" t="s">
        <v>19</v>
      </c>
      <c r="B97" t="s">
        <v>1383</v>
      </c>
      <c r="C97">
        <v>167.5</v>
      </c>
      <c r="D97">
        <v>4</v>
      </c>
      <c r="G97" t="str">
        <f t="shared" si="4"/>
        <v>California</v>
      </c>
      <c r="H97" t="str">
        <f t="shared" si="5"/>
        <v>Colusa County</v>
      </c>
      <c r="I97">
        <f t="shared" si="6"/>
        <v>167.5</v>
      </c>
      <c r="K97" t="str">
        <f t="shared" si="7"/>
        <v>California</v>
      </c>
      <c r="L97" t="str">
        <f t="shared" si="8"/>
        <v>Colusa County</v>
      </c>
      <c r="M97">
        <f t="shared" si="9"/>
        <v>167.5</v>
      </c>
      <c r="N97">
        <f t="shared" si="10"/>
        <v>4</v>
      </c>
      <c r="Q97" s="14"/>
      <c r="T97" s="13"/>
    </row>
    <row r="98" spans="1:20" x14ac:dyDescent="0.2">
      <c r="A98" t="s">
        <v>19</v>
      </c>
      <c r="B98" t="s">
        <v>24</v>
      </c>
      <c r="C98">
        <v>16168.7</v>
      </c>
      <c r="D98">
        <v>341</v>
      </c>
      <c r="G98" t="str">
        <f t="shared" si="4"/>
        <v>California</v>
      </c>
      <c r="H98" t="str">
        <f t="shared" si="5"/>
        <v>Contra Costa County</v>
      </c>
      <c r="I98">
        <f t="shared" si="6"/>
        <v>16168.7</v>
      </c>
      <c r="K98" t="str">
        <f t="shared" si="7"/>
        <v>California</v>
      </c>
      <c r="L98" t="str">
        <f t="shared" si="8"/>
        <v>Contra Costa County</v>
      </c>
      <c r="M98">
        <f t="shared" si="9"/>
        <v>16168.7</v>
      </c>
      <c r="N98">
        <f t="shared" si="10"/>
        <v>341</v>
      </c>
      <c r="T98" s="13"/>
    </row>
    <row r="99" spans="1:20" x14ac:dyDescent="0.2">
      <c r="A99" t="s">
        <v>19</v>
      </c>
      <c r="B99" t="s">
        <v>2204</v>
      </c>
      <c r="C99">
        <v>322.40000000000003</v>
      </c>
      <c r="D99">
        <v>13</v>
      </c>
      <c r="G99" t="str">
        <f t="shared" si="4"/>
        <v>California</v>
      </c>
      <c r="H99" t="str">
        <f t="shared" si="5"/>
        <v>Del Norte County</v>
      </c>
      <c r="I99">
        <f t="shared" si="6"/>
        <v>322.40000000000003</v>
      </c>
      <c r="K99" t="str">
        <f t="shared" si="7"/>
        <v>California</v>
      </c>
      <c r="L99" t="str">
        <f t="shared" si="8"/>
        <v>Del Norte County</v>
      </c>
      <c r="M99">
        <f t="shared" si="9"/>
        <v>322.40000000000003</v>
      </c>
      <c r="N99">
        <f t="shared" si="10"/>
        <v>13</v>
      </c>
      <c r="T99" s="13"/>
    </row>
    <row r="100" spans="1:20" x14ac:dyDescent="0.2">
      <c r="A100" t="s">
        <v>19</v>
      </c>
      <c r="B100" t="s">
        <v>437</v>
      </c>
      <c r="C100">
        <v>2092.8000000000002</v>
      </c>
      <c r="D100">
        <v>31</v>
      </c>
      <c r="G100" t="str">
        <f t="shared" si="4"/>
        <v>California</v>
      </c>
      <c r="H100" t="str">
        <f t="shared" si="5"/>
        <v>El Dorado County</v>
      </c>
      <c r="I100">
        <f t="shared" si="6"/>
        <v>2092.8000000000002</v>
      </c>
      <c r="K100" t="str">
        <f t="shared" si="7"/>
        <v>California</v>
      </c>
      <c r="L100" t="str">
        <f t="shared" si="8"/>
        <v>El Dorado County</v>
      </c>
      <c r="M100">
        <f t="shared" si="9"/>
        <v>2092.8000000000002</v>
      </c>
      <c r="N100">
        <f t="shared" si="10"/>
        <v>31</v>
      </c>
      <c r="T100" s="13"/>
    </row>
    <row r="101" spans="1:20" x14ac:dyDescent="0.2">
      <c r="A101" t="s">
        <v>19</v>
      </c>
      <c r="B101" t="s">
        <v>28</v>
      </c>
      <c r="C101">
        <v>12662.500000000002</v>
      </c>
      <c r="D101">
        <v>279</v>
      </c>
      <c r="G101" t="str">
        <f t="shared" si="4"/>
        <v>California</v>
      </c>
      <c r="H101" t="str">
        <f t="shared" si="5"/>
        <v>Fresno County</v>
      </c>
      <c r="I101">
        <f t="shared" si="6"/>
        <v>12662.500000000002</v>
      </c>
      <c r="K101" t="str">
        <f t="shared" si="7"/>
        <v>California</v>
      </c>
      <c r="L101" t="str">
        <f t="shared" si="8"/>
        <v>Fresno County</v>
      </c>
      <c r="M101">
        <f t="shared" si="9"/>
        <v>12662.500000000002</v>
      </c>
      <c r="N101">
        <f t="shared" si="10"/>
        <v>279</v>
      </c>
      <c r="T101" s="13"/>
    </row>
    <row r="102" spans="1:20" x14ac:dyDescent="0.2">
      <c r="A102" t="s">
        <v>19</v>
      </c>
      <c r="B102" t="s">
        <v>208</v>
      </c>
      <c r="C102">
        <v>343.2</v>
      </c>
      <c r="D102">
        <v>9</v>
      </c>
      <c r="G102" t="str">
        <f t="shared" si="4"/>
        <v>California</v>
      </c>
      <c r="H102" t="str">
        <f t="shared" si="5"/>
        <v>Glenn County</v>
      </c>
      <c r="I102">
        <f t="shared" si="6"/>
        <v>343.2</v>
      </c>
      <c r="K102" t="str">
        <f t="shared" si="7"/>
        <v>California</v>
      </c>
      <c r="L102" t="str">
        <f t="shared" si="8"/>
        <v>Glenn County</v>
      </c>
      <c r="M102">
        <f t="shared" si="9"/>
        <v>343.2</v>
      </c>
      <c r="N102">
        <f t="shared" si="10"/>
        <v>9</v>
      </c>
      <c r="T102" s="13"/>
    </row>
    <row r="103" spans="1:20" x14ac:dyDescent="0.2">
      <c r="A103" t="s">
        <v>19</v>
      </c>
      <c r="B103" t="s">
        <v>587</v>
      </c>
      <c r="C103">
        <v>2188.2999999999997</v>
      </c>
      <c r="D103">
        <v>49</v>
      </c>
      <c r="G103" t="str">
        <f t="shared" si="4"/>
        <v>California</v>
      </c>
      <c r="H103" t="str">
        <f t="shared" si="5"/>
        <v>Humboldt County</v>
      </c>
      <c r="I103">
        <f t="shared" si="6"/>
        <v>2188.2999999999997</v>
      </c>
      <c r="K103" t="str">
        <f t="shared" si="7"/>
        <v>California</v>
      </c>
      <c r="L103" t="str">
        <f t="shared" si="8"/>
        <v>Humboldt County</v>
      </c>
      <c r="M103">
        <f t="shared" si="9"/>
        <v>2188.2999999999997</v>
      </c>
      <c r="N103">
        <f t="shared" si="10"/>
        <v>49</v>
      </c>
      <c r="T103" s="13"/>
    </row>
    <row r="104" spans="1:20" x14ac:dyDescent="0.2">
      <c r="A104" t="s">
        <v>19</v>
      </c>
      <c r="B104" t="s">
        <v>331</v>
      </c>
      <c r="C104">
        <v>2661.5999999999995</v>
      </c>
      <c r="D104">
        <v>59</v>
      </c>
      <c r="G104" t="str">
        <f t="shared" si="4"/>
        <v>California</v>
      </c>
      <c r="H104" t="str">
        <f t="shared" si="5"/>
        <v>Imperial County</v>
      </c>
      <c r="I104">
        <f t="shared" si="6"/>
        <v>2661.5999999999995</v>
      </c>
      <c r="K104" t="str">
        <f t="shared" si="7"/>
        <v>California</v>
      </c>
      <c r="L104" t="str">
        <f t="shared" si="8"/>
        <v>Imperial County</v>
      </c>
      <c r="M104">
        <f t="shared" si="9"/>
        <v>2661.5999999999995</v>
      </c>
      <c r="N104">
        <f t="shared" si="10"/>
        <v>59</v>
      </c>
      <c r="T104" s="13"/>
    </row>
    <row r="105" spans="1:20" x14ac:dyDescent="0.2">
      <c r="A105" t="s">
        <v>19</v>
      </c>
      <c r="B105" t="s">
        <v>86</v>
      </c>
      <c r="C105">
        <v>887.5</v>
      </c>
      <c r="D105">
        <v>8</v>
      </c>
      <c r="G105" t="str">
        <f t="shared" si="4"/>
        <v>California</v>
      </c>
      <c r="H105" t="str">
        <f t="shared" si="5"/>
        <v>Inyo County</v>
      </c>
      <c r="I105">
        <f t="shared" si="6"/>
        <v>887.5</v>
      </c>
      <c r="K105" t="str">
        <f t="shared" si="7"/>
        <v>California</v>
      </c>
      <c r="L105" t="str">
        <f t="shared" si="8"/>
        <v>Inyo County</v>
      </c>
      <c r="M105">
        <f t="shared" si="9"/>
        <v>887.5</v>
      </c>
      <c r="N105">
        <f t="shared" si="10"/>
        <v>8</v>
      </c>
      <c r="T105" s="13"/>
    </row>
    <row r="106" spans="1:20" x14ac:dyDescent="0.2">
      <c r="A106" t="s">
        <v>19</v>
      </c>
      <c r="B106" t="s">
        <v>147</v>
      </c>
      <c r="C106">
        <v>11354.199999999993</v>
      </c>
      <c r="D106">
        <v>222</v>
      </c>
      <c r="G106" t="str">
        <f t="shared" si="4"/>
        <v>California</v>
      </c>
      <c r="H106" t="str">
        <f t="shared" si="5"/>
        <v>Kern County</v>
      </c>
      <c r="I106">
        <f t="shared" si="6"/>
        <v>11354.199999999993</v>
      </c>
      <c r="K106" t="str">
        <f t="shared" si="7"/>
        <v>California</v>
      </c>
      <c r="L106" t="str">
        <f t="shared" si="8"/>
        <v>Kern County</v>
      </c>
      <c r="M106">
        <f t="shared" si="9"/>
        <v>11354.199999999993</v>
      </c>
      <c r="N106">
        <f t="shared" si="10"/>
        <v>222</v>
      </c>
      <c r="T106" s="13"/>
    </row>
    <row r="107" spans="1:20" x14ac:dyDescent="0.2">
      <c r="A107" t="s">
        <v>19</v>
      </c>
      <c r="B107" t="s">
        <v>334</v>
      </c>
      <c r="C107">
        <v>1558.4</v>
      </c>
      <c r="D107">
        <v>36</v>
      </c>
      <c r="G107" t="str">
        <f t="shared" si="4"/>
        <v>California</v>
      </c>
      <c r="H107" t="str">
        <f t="shared" si="5"/>
        <v>Kings County</v>
      </c>
      <c r="I107">
        <f t="shared" si="6"/>
        <v>1558.4</v>
      </c>
      <c r="K107" t="str">
        <f t="shared" si="7"/>
        <v>California</v>
      </c>
      <c r="L107" t="str">
        <f t="shared" si="8"/>
        <v>Kings County</v>
      </c>
      <c r="M107">
        <f t="shared" si="9"/>
        <v>1558.4</v>
      </c>
      <c r="N107">
        <f t="shared" si="10"/>
        <v>36</v>
      </c>
      <c r="T107" s="13"/>
    </row>
    <row r="108" spans="1:20" x14ac:dyDescent="0.2">
      <c r="A108" t="s">
        <v>19</v>
      </c>
      <c r="B108" t="s">
        <v>949</v>
      </c>
      <c r="C108">
        <v>2223.9</v>
      </c>
      <c r="D108">
        <v>30</v>
      </c>
      <c r="G108" t="str">
        <f t="shared" si="4"/>
        <v>California</v>
      </c>
      <c r="H108" t="str">
        <f t="shared" si="5"/>
        <v>Lake County</v>
      </c>
      <c r="I108">
        <f t="shared" si="6"/>
        <v>2223.9</v>
      </c>
      <c r="K108" t="str">
        <f t="shared" si="7"/>
        <v>California</v>
      </c>
      <c r="L108" t="str">
        <f t="shared" si="8"/>
        <v>Lake County</v>
      </c>
      <c r="M108">
        <f t="shared" si="9"/>
        <v>2223.9</v>
      </c>
      <c r="N108">
        <f t="shared" si="10"/>
        <v>30</v>
      </c>
      <c r="T108" s="13"/>
    </row>
    <row r="109" spans="1:20" x14ac:dyDescent="0.2">
      <c r="A109" t="s">
        <v>19</v>
      </c>
      <c r="B109" t="s">
        <v>1426</v>
      </c>
      <c r="C109">
        <v>26.2</v>
      </c>
      <c r="D109">
        <v>1</v>
      </c>
      <c r="G109" t="str">
        <f t="shared" si="4"/>
        <v>California</v>
      </c>
      <c r="H109" t="str">
        <f t="shared" si="5"/>
        <v>Lassen County</v>
      </c>
      <c r="I109">
        <f t="shared" si="6"/>
        <v>26.2</v>
      </c>
      <c r="K109" t="str">
        <f t="shared" si="7"/>
        <v>California</v>
      </c>
      <c r="L109" t="str">
        <f t="shared" si="8"/>
        <v>Lassen County</v>
      </c>
      <c r="M109">
        <f t="shared" si="9"/>
        <v>26.2</v>
      </c>
      <c r="N109">
        <f t="shared" si="10"/>
        <v>1</v>
      </c>
      <c r="T109" s="13"/>
    </row>
    <row r="110" spans="1:20" x14ac:dyDescent="0.2">
      <c r="A110" t="s">
        <v>19</v>
      </c>
      <c r="B110" t="s">
        <v>33</v>
      </c>
      <c r="C110">
        <v>215551.19999999981</v>
      </c>
      <c r="D110">
        <v>3991</v>
      </c>
      <c r="G110" t="str">
        <f t="shared" si="4"/>
        <v>California</v>
      </c>
      <c r="H110" t="str">
        <f t="shared" si="5"/>
        <v>Los Angeles County</v>
      </c>
      <c r="I110">
        <f t="shared" si="6"/>
        <v>215551.19999999981</v>
      </c>
      <c r="K110" t="str">
        <f t="shared" si="7"/>
        <v>California</v>
      </c>
      <c r="L110" t="str">
        <f t="shared" si="8"/>
        <v>Los Angeles County</v>
      </c>
      <c r="M110">
        <f t="shared" si="9"/>
        <v>215551.19999999981</v>
      </c>
      <c r="N110">
        <f t="shared" si="10"/>
        <v>3991</v>
      </c>
      <c r="T110" s="13"/>
    </row>
    <row r="111" spans="1:20" x14ac:dyDescent="0.2">
      <c r="A111" t="s">
        <v>19</v>
      </c>
      <c r="B111" t="s">
        <v>364</v>
      </c>
      <c r="C111">
        <v>2687.3999999999996</v>
      </c>
      <c r="D111">
        <v>45</v>
      </c>
      <c r="G111" t="str">
        <f t="shared" si="4"/>
        <v>California</v>
      </c>
      <c r="H111" t="str">
        <f t="shared" si="5"/>
        <v>Madera County</v>
      </c>
      <c r="I111">
        <f t="shared" si="6"/>
        <v>2687.3999999999996</v>
      </c>
      <c r="K111" t="str">
        <f t="shared" si="7"/>
        <v>California</v>
      </c>
      <c r="L111" t="str">
        <f t="shared" si="8"/>
        <v>Madera County</v>
      </c>
      <c r="M111">
        <f t="shared" si="9"/>
        <v>2687.3999999999996</v>
      </c>
      <c r="N111">
        <f t="shared" si="10"/>
        <v>45</v>
      </c>
      <c r="T111" s="13"/>
    </row>
    <row r="112" spans="1:20" x14ac:dyDescent="0.2">
      <c r="A112" t="s">
        <v>19</v>
      </c>
      <c r="B112" t="s">
        <v>545</v>
      </c>
      <c r="C112">
        <v>1463.3000000000002</v>
      </c>
      <c r="D112">
        <v>39</v>
      </c>
      <c r="G112" t="str">
        <f t="shared" si="4"/>
        <v>California</v>
      </c>
      <c r="H112" t="str">
        <f t="shared" si="5"/>
        <v>Marin County</v>
      </c>
      <c r="I112">
        <f t="shared" si="6"/>
        <v>1463.3000000000002</v>
      </c>
      <c r="K112" t="str">
        <f t="shared" si="7"/>
        <v>California</v>
      </c>
      <c r="L112" t="str">
        <f t="shared" si="8"/>
        <v>Marin County</v>
      </c>
      <c r="M112">
        <f t="shared" si="9"/>
        <v>1463.3000000000002</v>
      </c>
      <c r="N112">
        <f t="shared" si="10"/>
        <v>39</v>
      </c>
      <c r="T112" s="13"/>
    </row>
    <row r="113" spans="1:20" x14ac:dyDescent="0.2">
      <c r="A113" t="s">
        <v>19</v>
      </c>
      <c r="B113" t="s">
        <v>416</v>
      </c>
      <c r="C113">
        <v>445.79999999999995</v>
      </c>
      <c r="D113">
        <v>6</v>
      </c>
      <c r="G113" t="str">
        <f t="shared" si="4"/>
        <v>California</v>
      </c>
      <c r="H113" t="str">
        <f t="shared" si="5"/>
        <v>Mariposa County</v>
      </c>
      <c r="I113">
        <f t="shared" si="6"/>
        <v>445.79999999999995</v>
      </c>
      <c r="K113" t="str">
        <f t="shared" si="7"/>
        <v>California</v>
      </c>
      <c r="L113" t="str">
        <f t="shared" si="8"/>
        <v>Mariposa County</v>
      </c>
      <c r="M113">
        <f t="shared" si="9"/>
        <v>445.79999999999995</v>
      </c>
      <c r="N113">
        <f t="shared" si="10"/>
        <v>6</v>
      </c>
      <c r="T113" s="13"/>
    </row>
    <row r="114" spans="1:20" x14ac:dyDescent="0.2">
      <c r="A114" t="s">
        <v>19</v>
      </c>
      <c r="B114" t="s">
        <v>258</v>
      </c>
      <c r="C114">
        <v>273.59999999999997</v>
      </c>
      <c r="D114">
        <v>9</v>
      </c>
      <c r="G114" t="str">
        <f t="shared" si="4"/>
        <v>California</v>
      </c>
      <c r="H114" t="str">
        <f t="shared" si="5"/>
        <v>Mendocino County</v>
      </c>
      <c r="I114">
        <f t="shared" si="6"/>
        <v>273.59999999999997</v>
      </c>
      <c r="K114" t="str">
        <f t="shared" si="7"/>
        <v>California</v>
      </c>
      <c r="L114" t="str">
        <f t="shared" si="8"/>
        <v>Mendocino County</v>
      </c>
      <c r="M114">
        <f t="shared" si="9"/>
        <v>273.59999999999997</v>
      </c>
      <c r="N114">
        <f t="shared" si="10"/>
        <v>9</v>
      </c>
      <c r="T114" s="13"/>
    </row>
    <row r="115" spans="1:20" x14ac:dyDescent="0.2">
      <c r="A115" t="s">
        <v>19</v>
      </c>
      <c r="B115" t="s">
        <v>186</v>
      </c>
      <c r="C115">
        <v>2690.4</v>
      </c>
      <c r="D115">
        <v>60</v>
      </c>
      <c r="G115" t="str">
        <f t="shared" si="4"/>
        <v>California</v>
      </c>
      <c r="H115" t="str">
        <f t="shared" si="5"/>
        <v>Merced County</v>
      </c>
      <c r="I115">
        <f t="shared" si="6"/>
        <v>2690.4</v>
      </c>
      <c r="K115" t="str">
        <f t="shared" si="7"/>
        <v>California</v>
      </c>
      <c r="L115" t="str">
        <f t="shared" si="8"/>
        <v>Merced County</v>
      </c>
      <c r="M115">
        <f t="shared" si="9"/>
        <v>2690.4</v>
      </c>
      <c r="N115">
        <f t="shared" si="10"/>
        <v>60</v>
      </c>
      <c r="T115" s="13"/>
    </row>
    <row r="116" spans="1:20" x14ac:dyDescent="0.2">
      <c r="A116" t="s">
        <v>19</v>
      </c>
      <c r="B116" t="s">
        <v>392</v>
      </c>
      <c r="C116">
        <v>28.4</v>
      </c>
      <c r="D116">
        <v>2</v>
      </c>
      <c r="G116" t="str">
        <f t="shared" si="4"/>
        <v>California</v>
      </c>
      <c r="H116" t="str">
        <f t="shared" si="5"/>
        <v>Modoc County</v>
      </c>
      <c r="I116">
        <f t="shared" si="6"/>
        <v>28.4</v>
      </c>
      <c r="K116" t="str">
        <f t="shared" si="7"/>
        <v>California</v>
      </c>
      <c r="L116" t="str">
        <f t="shared" si="8"/>
        <v>Modoc County</v>
      </c>
      <c r="M116">
        <f t="shared" si="9"/>
        <v>28.4</v>
      </c>
      <c r="N116">
        <f t="shared" si="10"/>
        <v>2</v>
      </c>
      <c r="T116" s="13"/>
    </row>
    <row r="117" spans="1:20" x14ac:dyDescent="0.2">
      <c r="A117" t="s">
        <v>19</v>
      </c>
      <c r="B117" t="s">
        <v>670</v>
      </c>
      <c r="C117">
        <v>204.8</v>
      </c>
      <c r="D117">
        <v>4</v>
      </c>
      <c r="G117" t="str">
        <f t="shared" si="4"/>
        <v>California</v>
      </c>
      <c r="H117" t="str">
        <f t="shared" si="5"/>
        <v>Mono County</v>
      </c>
      <c r="I117">
        <f t="shared" si="6"/>
        <v>204.8</v>
      </c>
      <c r="K117" t="str">
        <f t="shared" si="7"/>
        <v>California</v>
      </c>
      <c r="L117" t="str">
        <f t="shared" si="8"/>
        <v>Mono County</v>
      </c>
      <c r="M117">
        <f t="shared" si="9"/>
        <v>204.8</v>
      </c>
      <c r="N117">
        <f t="shared" si="10"/>
        <v>4</v>
      </c>
      <c r="T117" s="13"/>
    </row>
    <row r="118" spans="1:20" x14ac:dyDescent="0.2">
      <c r="A118" t="s">
        <v>19</v>
      </c>
      <c r="B118" t="s">
        <v>802</v>
      </c>
      <c r="C118">
        <v>1607.8999999999999</v>
      </c>
      <c r="D118">
        <v>31</v>
      </c>
      <c r="G118" t="str">
        <f t="shared" si="4"/>
        <v>California</v>
      </c>
      <c r="H118" t="str">
        <f t="shared" si="5"/>
        <v>Monterey County</v>
      </c>
      <c r="I118">
        <f t="shared" si="6"/>
        <v>1607.8999999999999</v>
      </c>
      <c r="K118" t="str">
        <f t="shared" si="7"/>
        <v>California</v>
      </c>
      <c r="L118" t="str">
        <f t="shared" si="8"/>
        <v>Monterey County</v>
      </c>
      <c r="M118">
        <f t="shared" si="9"/>
        <v>1607.8999999999999</v>
      </c>
      <c r="N118">
        <f t="shared" si="10"/>
        <v>31</v>
      </c>
      <c r="T118" s="13"/>
    </row>
    <row r="119" spans="1:20" x14ac:dyDescent="0.2">
      <c r="A119" t="s">
        <v>19</v>
      </c>
      <c r="B119" t="s">
        <v>98</v>
      </c>
      <c r="C119">
        <v>6444.9</v>
      </c>
      <c r="D119">
        <v>88</v>
      </c>
      <c r="G119" t="str">
        <f t="shared" si="4"/>
        <v>California</v>
      </c>
      <c r="H119" t="str">
        <f t="shared" si="5"/>
        <v>Napa County</v>
      </c>
      <c r="I119">
        <f t="shared" si="6"/>
        <v>6444.9</v>
      </c>
      <c r="K119" t="str">
        <f t="shared" si="7"/>
        <v>California</v>
      </c>
      <c r="L119" t="str">
        <f t="shared" si="8"/>
        <v>Napa County</v>
      </c>
      <c r="M119">
        <f t="shared" si="9"/>
        <v>6444.9</v>
      </c>
      <c r="N119">
        <f t="shared" si="10"/>
        <v>88</v>
      </c>
      <c r="T119" s="13"/>
    </row>
    <row r="120" spans="1:20" x14ac:dyDescent="0.2">
      <c r="A120" t="s">
        <v>19</v>
      </c>
      <c r="B120" t="s">
        <v>49</v>
      </c>
      <c r="C120">
        <v>1809.3</v>
      </c>
      <c r="D120">
        <v>25</v>
      </c>
      <c r="G120" t="str">
        <f t="shared" si="4"/>
        <v>California</v>
      </c>
      <c r="H120" t="str">
        <f t="shared" si="5"/>
        <v>Nevada County</v>
      </c>
      <c r="I120">
        <f t="shared" si="6"/>
        <v>1809.3</v>
      </c>
      <c r="K120" t="str">
        <f t="shared" si="7"/>
        <v>California</v>
      </c>
      <c r="L120" t="str">
        <f t="shared" si="8"/>
        <v>Nevada County</v>
      </c>
      <c r="M120">
        <f t="shared" si="9"/>
        <v>1809.3</v>
      </c>
      <c r="N120">
        <f t="shared" si="10"/>
        <v>25</v>
      </c>
      <c r="T120" s="13"/>
    </row>
    <row r="121" spans="1:20" x14ac:dyDescent="0.2">
      <c r="A121" t="s">
        <v>19</v>
      </c>
      <c r="B121" t="s">
        <v>188</v>
      </c>
      <c r="C121">
        <v>9680.399999999996</v>
      </c>
      <c r="D121">
        <v>178</v>
      </c>
      <c r="G121" t="str">
        <f t="shared" si="4"/>
        <v>California</v>
      </c>
      <c r="H121" t="str">
        <f t="shared" si="5"/>
        <v>Orange County</v>
      </c>
      <c r="I121">
        <f t="shared" si="6"/>
        <v>9680.399999999996</v>
      </c>
      <c r="K121" t="str">
        <f t="shared" si="7"/>
        <v>California</v>
      </c>
      <c r="L121" t="str">
        <f t="shared" si="8"/>
        <v>Orange County</v>
      </c>
      <c r="M121">
        <f t="shared" si="9"/>
        <v>9680.399999999996</v>
      </c>
      <c r="N121">
        <f t="shared" si="10"/>
        <v>178</v>
      </c>
      <c r="T121" s="13"/>
    </row>
    <row r="122" spans="1:20" x14ac:dyDescent="0.2">
      <c r="A122" t="s">
        <v>19</v>
      </c>
      <c r="B122" t="s">
        <v>52</v>
      </c>
      <c r="C122">
        <v>9414.7999999999993</v>
      </c>
      <c r="D122">
        <v>141</v>
      </c>
      <c r="G122" t="str">
        <f t="shared" si="4"/>
        <v>California</v>
      </c>
      <c r="H122" t="str">
        <f t="shared" si="5"/>
        <v>Placer County</v>
      </c>
      <c r="I122">
        <f t="shared" si="6"/>
        <v>9414.7999999999993</v>
      </c>
      <c r="K122" t="str">
        <f t="shared" si="7"/>
        <v>California</v>
      </c>
      <c r="L122" t="str">
        <f t="shared" si="8"/>
        <v>Placer County</v>
      </c>
      <c r="M122">
        <f t="shared" si="9"/>
        <v>9414.7999999999993</v>
      </c>
      <c r="N122">
        <f t="shared" si="10"/>
        <v>141</v>
      </c>
      <c r="T122" s="13"/>
    </row>
    <row r="123" spans="1:20" x14ac:dyDescent="0.2">
      <c r="A123" t="s">
        <v>19</v>
      </c>
      <c r="B123" t="s">
        <v>338</v>
      </c>
      <c r="C123">
        <v>206.1</v>
      </c>
      <c r="D123">
        <v>6</v>
      </c>
      <c r="G123" t="str">
        <f t="shared" si="4"/>
        <v>California</v>
      </c>
      <c r="H123" t="str">
        <f t="shared" si="5"/>
        <v>Plumas County</v>
      </c>
      <c r="I123">
        <f t="shared" si="6"/>
        <v>206.1</v>
      </c>
      <c r="K123" t="str">
        <f t="shared" si="7"/>
        <v>California</v>
      </c>
      <c r="L123" t="str">
        <f t="shared" si="8"/>
        <v>Plumas County</v>
      </c>
      <c r="M123">
        <f t="shared" si="9"/>
        <v>206.1</v>
      </c>
      <c r="N123">
        <f t="shared" si="10"/>
        <v>6</v>
      </c>
      <c r="T123" s="13"/>
    </row>
    <row r="124" spans="1:20" x14ac:dyDescent="0.2">
      <c r="A124" t="s">
        <v>19</v>
      </c>
      <c r="B124" t="s">
        <v>158</v>
      </c>
      <c r="C124">
        <v>7691.3</v>
      </c>
      <c r="D124">
        <v>178</v>
      </c>
      <c r="G124" t="str">
        <f t="shared" si="4"/>
        <v>California</v>
      </c>
      <c r="H124" t="str">
        <f t="shared" si="5"/>
        <v>Riverside County</v>
      </c>
      <c r="I124">
        <f t="shared" si="6"/>
        <v>7691.3</v>
      </c>
      <c r="K124" t="str">
        <f t="shared" si="7"/>
        <v>California</v>
      </c>
      <c r="L124" t="str">
        <f t="shared" si="8"/>
        <v>Riverside County</v>
      </c>
      <c r="M124">
        <f t="shared" si="9"/>
        <v>7691.3</v>
      </c>
      <c r="N124">
        <f t="shared" si="10"/>
        <v>178</v>
      </c>
      <c r="T124" s="13"/>
    </row>
    <row r="125" spans="1:20" x14ac:dyDescent="0.2">
      <c r="A125" t="s">
        <v>19</v>
      </c>
      <c r="B125" t="s">
        <v>55</v>
      </c>
      <c r="C125">
        <v>37784.900000000016</v>
      </c>
      <c r="D125">
        <v>699</v>
      </c>
      <c r="G125" t="str">
        <f t="shared" si="4"/>
        <v>California</v>
      </c>
      <c r="H125" t="str">
        <f t="shared" si="5"/>
        <v>Sacramento County</v>
      </c>
      <c r="I125">
        <f t="shared" si="6"/>
        <v>37784.900000000016</v>
      </c>
      <c r="K125" t="str">
        <f t="shared" si="7"/>
        <v>California</v>
      </c>
      <c r="L125" t="str">
        <f t="shared" si="8"/>
        <v>Sacramento County</v>
      </c>
      <c r="M125">
        <f t="shared" si="9"/>
        <v>37784.900000000016</v>
      </c>
      <c r="N125">
        <f t="shared" si="10"/>
        <v>699</v>
      </c>
      <c r="T125" s="13"/>
    </row>
    <row r="126" spans="1:20" x14ac:dyDescent="0.2">
      <c r="A126" t="s">
        <v>19</v>
      </c>
      <c r="B126" t="s">
        <v>342</v>
      </c>
      <c r="C126">
        <v>1129.7</v>
      </c>
      <c r="D126">
        <v>23</v>
      </c>
      <c r="G126" t="str">
        <f t="shared" si="4"/>
        <v>California</v>
      </c>
      <c r="H126" t="str">
        <f t="shared" si="5"/>
        <v>San Benito County</v>
      </c>
      <c r="I126">
        <f t="shared" si="6"/>
        <v>1129.7</v>
      </c>
      <c r="K126" t="str">
        <f t="shared" si="7"/>
        <v>California</v>
      </c>
      <c r="L126" t="str">
        <f t="shared" si="8"/>
        <v>San Benito County</v>
      </c>
      <c r="M126">
        <f t="shared" si="9"/>
        <v>1129.7</v>
      </c>
      <c r="N126">
        <f t="shared" si="10"/>
        <v>23</v>
      </c>
      <c r="T126" s="13"/>
    </row>
    <row r="127" spans="1:20" x14ac:dyDescent="0.2">
      <c r="A127" t="s">
        <v>19</v>
      </c>
      <c r="B127" t="s">
        <v>59</v>
      </c>
      <c r="C127">
        <v>20988.9</v>
      </c>
      <c r="D127">
        <v>356</v>
      </c>
      <c r="G127" t="str">
        <f t="shared" si="4"/>
        <v>California</v>
      </c>
      <c r="H127" t="str">
        <f t="shared" si="5"/>
        <v>San Bernardino County</v>
      </c>
      <c r="I127">
        <f t="shared" si="6"/>
        <v>20988.9</v>
      </c>
      <c r="K127" t="str">
        <f t="shared" si="7"/>
        <v>California</v>
      </c>
      <c r="L127" t="str">
        <f t="shared" si="8"/>
        <v>San Bernardino County</v>
      </c>
      <c r="M127">
        <f t="shared" si="9"/>
        <v>20988.9</v>
      </c>
      <c r="N127">
        <f t="shared" si="10"/>
        <v>356</v>
      </c>
      <c r="T127" s="13"/>
    </row>
    <row r="128" spans="1:20" x14ac:dyDescent="0.2">
      <c r="A128" t="s">
        <v>19</v>
      </c>
      <c r="B128" t="s">
        <v>62</v>
      </c>
      <c r="C128">
        <v>98367.099999999977</v>
      </c>
      <c r="D128">
        <v>1768</v>
      </c>
      <c r="G128" t="str">
        <f t="shared" si="4"/>
        <v>California</v>
      </c>
      <c r="H128" t="str">
        <f t="shared" si="5"/>
        <v>San Diego County</v>
      </c>
      <c r="I128">
        <f t="shared" si="6"/>
        <v>98367.099999999977</v>
      </c>
      <c r="K128" t="str">
        <f t="shared" si="7"/>
        <v>California</v>
      </c>
      <c r="L128" t="str">
        <f t="shared" si="8"/>
        <v>San Diego County</v>
      </c>
      <c r="M128">
        <f t="shared" si="9"/>
        <v>98367.099999999977</v>
      </c>
      <c r="N128">
        <f t="shared" si="10"/>
        <v>1768</v>
      </c>
      <c r="T128" s="13"/>
    </row>
    <row r="129" spans="1:20" x14ac:dyDescent="0.2">
      <c r="A129" t="s">
        <v>19</v>
      </c>
      <c r="B129" t="s">
        <v>103</v>
      </c>
      <c r="C129">
        <v>21911.9</v>
      </c>
      <c r="D129">
        <v>307</v>
      </c>
      <c r="G129" t="str">
        <f t="shared" si="4"/>
        <v>California</v>
      </c>
      <c r="H129" t="str">
        <f t="shared" si="5"/>
        <v>San Francisco</v>
      </c>
      <c r="I129">
        <f t="shared" si="6"/>
        <v>21911.9</v>
      </c>
      <c r="K129" t="str">
        <f t="shared" si="7"/>
        <v>California</v>
      </c>
      <c r="L129" t="str">
        <f t="shared" si="8"/>
        <v>San Francisco</v>
      </c>
      <c r="M129">
        <f t="shared" si="9"/>
        <v>21911.9</v>
      </c>
      <c r="N129">
        <f t="shared" si="10"/>
        <v>307</v>
      </c>
      <c r="T129" s="13"/>
    </row>
    <row r="130" spans="1:20" x14ac:dyDescent="0.2">
      <c r="A130" t="s">
        <v>19</v>
      </c>
      <c r="B130" t="s">
        <v>201</v>
      </c>
      <c r="C130">
        <v>5441.2</v>
      </c>
      <c r="D130">
        <v>117</v>
      </c>
      <c r="T130" s="13"/>
    </row>
    <row r="131" spans="1:20" x14ac:dyDescent="0.2">
      <c r="A131" t="s">
        <v>19</v>
      </c>
      <c r="B131" t="s">
        <v>429</v>
      </c>
      <c r="C131">
        <v>392.8</v>
      </c>
      <c r="D131">
        <v>13</v>
      </c>
      <c r="T131" s="13"/>
    </row>
    <row r="132" spans="1:20" x14ac:dyDescent="0.2">
      <c r="A132" t="s">
        <v>19</v>
      </c>
      <c r="B132" t="s">
        <v>72</v>
      </c>
      <c r="C132">
        <v>16172.000000000005</v>
      </c>
      <c r="D132">
        <v>364</v>
      </c>
      <c r="T132" s="13"/>
    </row>
    <row r="133" spans="1:20" x14ac:dyDescent="0.2">
      <c r="A133" t="s">
        <v>19</v>
      </c>
      <c r="B133" t="s">
        <v>74</v>
      </c>
      <c r="C133">
        <v>4334.9999999999991</v>
      </c>
      <c r="D133">
        <v>95</v>
      </c>
      <c r="T133" s="13"/>
    </row>
    <row r="134" spans="1:20" x14ac:dyDescent="0.2">
      <c r="A134" t="s">
        <v>19</v>
      </c>
      <c r="B134" t="s">
        <v>77</v>
      </c>
      <c r="C134">
        <v>37449.000000000007</v>
      </c>
      <c r="D134">
        <v>737</v>
      </c>
      <c r="T134" s="13"/>
    </row>
    <row r="135" spans="1:20" x14ac:dyDescent="0.2">
      <c r="A135" t="s">
        <v>19</v>
      </c>
      <c r="B135" t="s">
        <v>309</v>
      </c>
      <c r="C135">
        <v>2447.5</v>
      </c>
      <c r="D135">
        <v>39</v>
      </c>
      <c r="T135" s="13"/>
    </row>
    <row r="136" spans="1:20" x14ac:dyDescent="0.2">
      <c r="A136" t="s">
        <v>19</v>
      </c>
      <c r="B136" t="s">
        <v>1116</v>
      </c>
      <c r="C136">
        <v>3391.1</v>
      </c>
      <c r="D136">
        <v>56</v>
      </c>
      <c r="T136" s="13"/>
    </row>
    <row r="137" spans="1:20" x14ac:dyDescent="0.2">
      <c r="A137" t="s">
        <v>19</v>
      </c>
      <c r="B137" t="s">
        <v>700</v>
      </c>
      <c r="C137">
        <v>30.8</v>
      </c>
      <c r="D137">
        <v>2</v>
      </c>
      <c r="T137" s="13"/>
    </row>
    <row r="138" spans="1:20" x14ac:dyDescent="0.2">
      <c r="A138" t="s">
        <v>19</v>
      </c>
      <c r="B138" t="s">
        <v>268</v>
      </c>
      <c r="C138">
        <v>332.3</v>
      </c>
      <c r="D138">
        <v>8</v>
      </c>
      <c r="T138" s="13"/>
    </row>
    <row r="139" spans="1:20" x14ac:dyDescent="0.2">
      <c r="A139" t="s">
        <v>19</v>
      </c>
      <c r="B139" t="s">
        <v>377</v>
      </c>
      <c r="C139">
        <v>3175.9999999999995</v>
      </c>
      <c r="D139">
        <v>52</v>
      </c>
      <c r="T139" s="13"/>
    </row>
    <row r="140" spans="1:20" x14ac:dyDescent="0.2">
      <c r="A140" t="s">
        <v>19</v>
      </c>
      <c r="B140" t="s">
        <v>108</v>
      </c>
      <c r="C140">
        <v>20939.600000000002</v>
      </c>
      <c r="D140">
        <v>295</v>
      </c>
      <c r="T140" s="13"/>
    </row>
    <row r="141" spans="1:20" x14ac:dyDescent="0.2">
      <c r="A141" t="s">
        <v>19</v>
      </c>
      <c r="B141" t="s">
        <v>110</v>
      </c>
      <c r="C141">
        <v>10185.899999999996</v>
      </c>
      <c r="D141">
        <v>195</v>
      </c>
      <c r="T141" s="13"/>
    </row>
    <row r="142" spans="1:20" x14ac:dyDescent="0.2">
      <c r="A142" t="s">
        <v>19</v>
      </c>
      <c r="B142" t="s">
        <v>292</v>
      </c>
      <c r="C142">
        <v>958.7</v>
      </c>
      <c r="D142">
        <v>20</v>
      </c>
      <c r="T142" s="13"/>
    </row>
    <row r="143" spans="1:20" x14ac:dyDescent="0.2">
      <c r="A143" t="s">
        <v>19</v>
      </c>
      <c r="B143" t="s">
        <v>79</v>
      </c>
      <c r="C143">
        <v>323</v>
      </c>
      <c r="D143">
        <v>6</v>
      </c>
      <c r="T143" s="13"/>
    </row>
    <row r="144" spans="1:20" x14ac:dyDescent="0.2">
      <c r="A144" t="s">
        <v>19</v>
      </c>
      <c r="B144" t="s">
        <v>608</v>
      </c>
      <c r="C144">
        <v>167.70000000000002</v>
      </c>
      <c r="D144">
        <v>5</v>
      </c>
      <c r="T144" s="13"/>
    </row>
    <row r="145" spans="1:20" x14ac:dyDescent="0.2">
      <c r="A145" t="s">
        <v>19</v>
      </c>
      <c r="B145" t="s">
        <v>113</v>
      </c>
      <c r="C145">
        <v>3978.5</v>
      </c>
      <c r="D145">
        <v>94</v>
      </c>
      <c r="T145" s="13"/>
    </row>
    <row r="146" spans="1:20" x14ac:dyDescent="0.2">
      <c r="A146" t="s">
        <v>19</v>
      </c>
      <c r="B146" t="s">
        <v>997</v>
      </c>
      <c r="C146">
        <v>1405</v>
      </c>
      <c r="D146">
        <v>28</v>
      </c>
      <c r="T146" s="13"/>
    </row>
    <row r="147" spans="1:20" x14ac:dyDescent="0.2">
      <c r="A147" t="s">
        <v>19</v>
      </c>
      <c r="B147" t="s">
        <v>82</v>
      </c>
      <c r="C147">
        <v>9869.0999999999985</v>
      </c>
      <c r="D147">
        <v>179</v>
      </c>
      <c r="T147" s="13"/>
    </row>
    <row r="148" spans="1:20" x14ac:dyDescent="0.2">
      <c r="A148" t="s">
        <v>19</v>
      </c>
      <c r="B148" t="s">
        <v>243</v>
      </c>
      <c r="C148">
        <v>615.29999999999995</v>
      </c>
      <c r="D148">
        <v>15</v>
      </c>
      <c r="T148" s="13"/>
    </row>
    <row r="149" spans="1:20" x14ac:dyDescent="0.2">
      <c r="A149" t="s">
        <v>19</v>
      </c>
      <c r="B149" t="s">
        <v>1911</v>
      </c>
      <c r="C149">
        <v>285</v>
      </c>
      <c r="D149">
        <v>3</v>
      </c>
      <c r="T149" s="13"/>
    </row>
    <row r="150" spans="1:20" x14ac:dyDescent="0.2">
      <c r="A150" t="s">
        <v>2532</v>
      </c>
      <c r="C150">
        <v>649019.79999999981</v>
      </c>
      <c r="D150">
        <v>11997</v>
      </c>
    </row>
    <row r="151" spans="1:20" x14ac:dyDescent="0.2">
      <c r="A151" t="s">
        <v>2520</v>
      </c>
      <c r="C151">
        <v>649019.79999999981</v>
      </c>
      <c r="D151">
        <v>11997</v>
      </c>
    </row>
    <row r="153" spans="1:20" x14ac:dyDescent="0.2">
      <c r="A153" t="s">
        <v>2545</v>
      </c>
    </row>
    <row r="154" spans="1:20" x14ac:dyDescent="0.2">
      <c r="A154" s="6" t="s">
        <v>2519</v>
      </c>
      <c r="B154" t="s">
        <v>2511</v>
      </c>
    </row>
    <row r="155" spans="1:20" x14ac:dyDescent="0.2">
      <c r="A155" s="7">
        <v>0</v>
      </c>
      <c r="B155">
        <v>175</v>
      </c>
    </row>
    <row r="156" spans="1:20" x14ac:dyDescent="0.2">
      <c r="A156" s="7">
        <v>1</v>
      </c>
      <c r="B156">
        <v>888</v>
      </c>
    </row>
    <row r="157" spans="1:20" x14ac:dyDescent="0.2">
      <c r="A157" s="7">
        <v>2</v>
      </c>
      <c r="B157">
        <v>538</v>
      </c>
      <c r="I157" s="13"/>
      <c r="R157" t="str">
        <f>SUBSTITUTE(Q167, "micheal)", "")</f>
        <v/>
      </c>
    </row>
    <row r="158" spans="1:20" x14ac:dyDescent="0.2">
      <c r="A158" s="7">
        <v>3</v>
      </c>
      <c r="B158">
        <v>344</v>
      </c>
      <c r="I158" s="13"/>
    </row>
    <row r="159" spans="1:20" x14ac:dyDescent="0.2">
      <c r="A159" s="7">
        <v>4</v>
      </c>
      <c r="B159">
        <v>200</v>
      </c>
      <c r="I159" s="13"/>
    </row>
    <row r="160" spans="1:20" x14ac:dyDescent="0.2">
      <c r="A160" s="7">
        <v>5</v>
      </c>
      <c r="B160">
        <v>94</v>
      </c>
    </row>
    <row r="161" spans="1:19" x14ac:dyDescent="0.2">
      <c r="A161" s="7">
        <v>6</v>
      </c>
      <c r="B161">
        <v>51</v>
      </c>
    </row>
    <row r="162" spans="1:19" x14ac:dyDescent="0.2">
      <c r="A162" s="7">
        <v>7</v>
      </c>
      <c r="B162">
        <v>32</v>
      </c>
    </row>
    <row r="163" spans="1:19" x14ac:dyDescent="0.2">
      <c r="A163" s="7">
        <v>8</v>
      </c>
      <c r="B163">
        <v>23</v>
      </c>
    </row>
    <row r="164" spans="1:19" x14ac:dyDescent="0.2">
      <c r="A164" s="7">
        <v>9</v>
      </c>
      <c r="B164">
        <v>9</v>
      </c>
    </row>
    <row r="165" spans="1:19" x14ac:dyDescent="0.2">
      <c r="A165" s="7">
        <v>10</v>
      </c>
      <c r="B165">
        <v>8</v>
      </c>
    </row>
    <row r="166" spans="1:19" x14ac:dyDescent="0.2">
      <c r="A166" s="7">
        <v>11</v>
      </c>
      <c r="B166">
        <v>11</v>
      </c>
    </row>
    <row r="167" spans="1:19" x14ac:dyDescent="0.2">
      <c r="A167" s="7">
        <v>12</v>
      </c>
      <c r="B167">
        <v>4</v>
      </c>
      <c r="S167" t="str">
        <f>REPLACE(Q167,7,2,"a")</f>
        <v>a</v>
      </c>
    </row>
    <row r="168" spans="1:19" x14ac:dyDescent="0.2">
      <c r="A168" s="7">
        <v>13</v>
      </c>
      <c r="B168">
        <v>10</v>
      </c>
    </row>
    <row r="169" spans="1:19" x14ac:dyDescent="0.2">
      <c r="A169" s="7">
        <v>14</v>
      </c>
      <c r="B169">
        <v>13</v>
      </c>
    </row>
    <row r="170" spans="1:19" x14ac:dyDescent="0.2">
      <c r="A170" s="7" t="s">
        <v>2520</v>
      </c>
      <c r="B170">
        <v>2400</v>
      </c>
    </row>
    <row r="172" spans="1:19" x14ac:dyDescent="0.2">
      <c r="C172" s="13"/>
    </row>
    <row r="173" spans="1:19" x14ac:dyDescent="0.2">
      <c r="C173" s="13"/>
    </row>
    <row r="174" spans="1:19" x14ac:dyDescent="0.2">
      <c r="A174" t="s">
        <v>2546</v>
      </c>
      <c r="C174" s="13"/>
    </row>
    <row r="175" spans="1:19" x14ac:dyDescent="0.2">
      <c r="A175" s="6" t="s">
        <v>2511</v>
      </c>
      <c r="B175" s="6" t="s">
        <v>2521</v>
      </c>
    </row>
    <row r="176" spans="1:19" x14ac:dyDescent="0.2">
      <c r="A176" s="6" t="s">
        <v>2519</v>
      </c>
      <c r="B176">
        <v>1</v>
      </c>
      <c r="C176">
        <v>2</v>
      </c>
      <c r="D176">
        <v>3</v>
      </c>
      <c r="E176">
        <v>4</v>
      </c>
      <c r="F176">
        <v>5</v>
      </c>
      <c r="G176" t="s">
        <v>2520</v>
      </c>
    </row>
    <row r="177" spans="1:7" x14ac:dyDescent="0.2">
      <c r="A177" s="7" t="s">
        <v>2529</v>
      </c>
      <c r="B177">
        <v>7</v>
      </c>
      <c r="C177">
        <v>37</v>
      </c>
      <c r="D177">
        <v>150</v>
      </c>
      <c r="E177">
        <v>312</v>
      </c>
      <c r="F177">
        <v>224</v>
      </c>
      <c r="G177">
        <v>730</v>
      </c>
    </row>
    <row r="178" spans="1:7" x14ac:dyDescent="0.2">
      <c r="A178" s="7" t="s">
        <v>2530</v>
      </c>
      <c r="B178">
        <v>8</v>
      </c>
      <c r="C178">
        <v>51</v>
      </c>
      <c r="D178">
        <v>182</v>
      </c>
      <c r="E178">
        <v>373</v>
      </c>
      <c r="F178">
        <v>247</v>
      </c>
      <c r="G178">
        <v>861</v>
      </c>
    </row>
    <row r="179" spans="1:7" x14ac:dyDescent="0.2">
      <c r="A179" s="7" t="s">
        <v>2531</v>
      </c>
      <c r="B179">
        <v>6</v>
      </c>
      <c r="C179">
        <v>39</v>
      </c>
      <c r="D179">
        <v>163</v>
      </c>
      <c r="E179">
        <v>351</v>
      </c>
      <c r="F179">
        <v>250</v>
      </c>
      <c r="G179">
        <v>809</v>
      </c>
    </row>
    <row r="180" spans="1:7" x14ac:dyDescent="0.2">
      <c r="A180" s="7" t="s">
        <v>2520</v>
      </c>
      <c r="B180">
        <v>21</v>
      </c>
      <c r="C180">
        <v>127</v>
      </c>
      <c r="D180">
        <v>495</v>
      </c>
      <c r="E180">
        <v>1036</v>
      </c>
      <c r="F180">
        <v>721</v>
      </c>
      <c r="G180">
        <v>2400</v>
      </c>
    </row>
    <row r="193" spans="3:3" x14ac:dyDescent="0.2">
      <c r="C193" s="13"/>
    </row>
    <row r="194" spans="3:3" x14ac:dyDescent="0.2">
      <c r="C194" s="13"/>
    </row>
    <row r="195" spans="3:3" x14ac:dyDescent="0.2">
      <c r="C195" s="13"/>
    </row>
    <row r="196" spans="3:3" x14ac:dyDescent="0.2">
      <c r="C196" s="13"/>
    </row>
    <row r="197" spans="3:3" x14ac:dyDescent="0.2">
      <c r="C197" s="13"/>
    </row>
    <row r="198" spans="3:3" x14ac:dyDescent="0.2">
      <c r="C198" s="13"/>
    </row>
    <row r="199" spans="3:3" x14ac:dyDescent="0.2">
      <c r="C199" s="13"/>
    </row>
    <row r="200" spans="3:3" x14ac:dyDescent="0.2">
      <c r="C200" s="13"/>
    </row>
    <row r="201" spans="3:3" x14ac:dyDescent="0.2">
      <c r="C201" s="13"/>
    </row>
    <row r="202" spans="3:3" x14ac:dyDescent="0.2">
      <c r="C202" s="13"/>
    </row>
    <row r="203" spans="3:3" x14ac:dyDescent="0.2">
      <c r="C203" s="13"/>
    </row>
    <row r="204" spans="3:3" x14ac:dyDescent="0.2">
      <c r="C204" s="13"/>
    </row>
    <row r="205" spans="3:3" x14ac:dyDescent="0.2">
      <c r="C205" s="13"/>
    </row>
    <row r="206" spans="3:3" x14ac:dyDescent="0.2">
      <c r="C206" s="13"/>
    </row>
    <row r="207" spans="3:3" x14ac:dyDescent="0.2">
      <c r="C207" s="13"/>
    </row>
    <row r="208" spans="3:3" x14ac:dyDescent="0.2">
      <c r="C208" s="13"/>
    </row>
    <row r="209" spans="3:3" x14ac:dyDescent="0.2">
      <c r="C209" s="13"/>
    </row>
    <row r="210" spans="3:3" x14ac:dyDescent="0.2">
      <c r="C210" s="13"/>
    </row>
    <row r="211" spans="3:3" x14ac:dyDescent="0.2">
      <c r="C211" s="13"/>
    </row>
    <row r="212" spans="3:3" x14ac:dyDescent="0.2">
      <c r="C212" s="13"/>
    </row>
    <row r="213" spans="3:3" x14ac:dyDescent="0.2">
      <c r="C213" s="13"/>
    </row>
    <row r="214" spans="3:3" x14ac:dyDescent="0.2">
      <c r="C214" s="13"/>
    </row>
  </sheetData>
  <conditionalFormatting sqref="I31:M35">
    <cfRule type="colorScale" priority="1">
      <colorScale>
        <cfvo type="min"/>
        <cfvo type="percentile" val="50"/>
        <cfvo type="max"/>
        <color rgb="FFF8696B"/>
        <color rgb="FFFCFCFF"/>
        <color rgb="FF5A8AC6"/>
      </colorScale>
    </cfRule>
  </conditionalFormatting>
  <pageMargins left="0.7" right="0.7" top="0.75" bottom="0.75" header="0.3" footer="0.3"/>
  <pageSetup orientation="portrait" r:id="rId10"/>
  <drawing r:id="rId11"/>
  <legacy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91A6C-AE33-4293-AEA1-98EDB963F4CB}">
  <dimension ref="E5:I10"/>
  <sheetViews>
    <sheetView showGridLines="0" tabSelected="1" topLeftCell="AX1" zoomScale="63" zoomScaleNormal="52" zoomScalePageLayoutView="42" workbookViewId="0">
      <selection activeCell="M49" sqref="M49"/>
    </sheetView>
  </sheetViews>
  <sheetFormatPr defaultRowHeight="15" x14ac:dyDescent="0.2"/>
  <cols>
    <col min="1" max="1" width="2.28515625" customWidth="1"/>
    <col min="2" max="2" width="17.21875" customWidth="1"/>
    <col min="3" max="3" width="2.5546875" customWidth="1"/>
    <col min="11" max="11" width="7.93359375" customWidth="1"/>
  </cols>
  <sheetData>
    <row r="5" spans="5:9" x14ac:dyDescent="0.2">
      <c r="E5" s="11"/>
      <c r="F5" s="12" t="e">
        <f>#REF!</f>
        <v>#REF!</v>
      </c>
      <c r="G5" s="12" t="e">
        <f>#REF!</f>
        <v>#REF!</v>
      </c>
      <c r="H5" s="12" t="e">
        <f>#REF!</f>
        <v>#REF!</v>
      </c>
      <c r="I5" s="12" t="e">
        <f>#REF!</f>
        <v>#REF!</v>
      </c>
    </row>
    <row r="6" spans="5:9" x14ac:dyDescent="0.2">
      <c r="E6" s="11" t="e">
        <f>#REF!</f>
        <v>#REF!</v>
      </c>
      <c r="F6" s="10" t="e">
        <f>#REF!</f>
        <v>#REF!</v>
      </c>
      <c r="G6" s="10" t="e">
        <f>#REF!</f>
        <v>#REF!</v>
      </c>
      <c r="H6" s="10" t="e">
        <f>#REF!</f>
        <v>#REF!</v>
      </c>
      <c r="I6" s="10" t="e">
        <f>#REF!</f>
        <v>#REF!</v>
      </c>
    </row>
    <row r="7" spans="5:9" x14ac:dyDescent="0.2">
      <c r="E7" s="11" t="e">
        <f>#REF!</f>
        <v>#REF!</v>
      </c>
      <c r="F7" s="10" t="e">
        <f>#REF!</f>
        <v>#REF!</v>
      </c>
      <c r="G7" s="10" t="e">
        <f>#REF!</f>
        <v>#REF!</v>
      </c>
      <c r="H7" s="10" t="e">
        <f>#REF!</f>
        <v>#REF!</v>
      </c>
      <c r="I7" s="10" t="e">
        <f>#REF!</f>
        <v>#REF!</v>
      </c>
    </row>
    <row r="8" spans="5:9" x14ac:dyDescent="0.2">
      <c r="E8" s="11" t="e">
        <f>#REF!</f>
        <v>#REF!</v>
      </c>
      <c r="F8" s="10" t="e">
        <f>#REF!</f>
        <v>#REF!</v>
      </c>
      <c r="G8" s="10" t="e">
        <f>#REF!</f>
        <v>#REF!</v>
      </c>
      <c r="H8" s="10" t="e">
        <f>#REF!</f>
        <v>#REF!</v>
      </c>
      <c r="I8" s="10" t="e">
        <f>#REF!</f>
        <v>#REF!</v>
      </c>
    </row>
    <row r="9" spans="5:9" x14ac:dyDescent="0.2">
      <c r="E9" s="11" t="e">
        <f>#REF!</f>
        <v>#REF!</v>
      </c>
      <c r="F9" s="10" t="e">
        <f>#REF!</f>
        <v>#REF!</v>
      </c>
      <c r="G9" s="10" t="e">
        <f>#REF!</f>
        <v>#REF!</v>
      </c>
      <c r="H9" s="10" t="e">
        <f>#REF!</f>
        <v>#REF!</v>
      </c>
      <c r="I9" s="10" t="e">
        <f>#REF!</f>
        <v>#REF!</v>
      </c>
    </row>
    <row r="10" spans="5:9" x14ac:dyDescent="0.2">
      <c r="E10" s="11" t="e">
        <f>#REF!</f>
        <v>#REF!</v>
      </c>
      <c r="F10" s="10" t="e">
        <f>#REF!</f>
        <v>#REF!</v>
      </c>
      <c r="G10" s="10" t="e">
        <f>#REF!</f>
        <v>#REF!</v>
      </c>
      <c r="H10" s="10" t="e">
        <f>#REF!</f>
        <v>#REF!</v>
      </c>
      <c r="I10" s="10" t="e">
        <f>#REF!</f>
        <v>#REF!</v>
      </c>
    </row>
  </sheetData>
  <conditionalFormatting sqref="F6:I10">
    <cfRule type="colorScale" priority="1">
      <colorScale>
        <cfvo type="min"/>
        <cfvo type="percentile" val="50"/>
        <cfvo type="max"/>
        <color rgb="FFF8696B"/>
        <color rgb="FFFCFCFF"/>
        <color rgb="FF5A8AC6"/>
      </colorScale>
    </cfRule>
  </conditionalFormatting>
  <pageMargins left="0.7" right="0.7" top="0.75" bottom="0.75" header="0.3" footer="0.3"/>
  <pageSetup scale="34"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vt:lpstr>
      <vt:lpstr>Questions &amp; KPIs</vt:lpstr>
      <vt:lpstr>Workings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Saviour Micheal</cp:lastModifiedBy>
  <dcterms:created xsi:type="dcterms:W3CDTF">2025-06-13T02:42:26Z</dcterms:created>
  <dcterms:modified xsi:type="dcterms:W3CDTF">2026-02-09T23:18:34Z</dcterms:modified>
</cp:coreProperties>
</file>